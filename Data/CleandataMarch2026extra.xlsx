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alejandromunoz/Documents/UC Davis/RA/Cash Flow Yield/Data/"/>
    </mc:Choice>
  </mc:AlternateContent>
  <xr:revisionPtr revIDLastSave="0" documentId="13_ncr:1_{AEB521CF-BA09-DA4B-A5FD-93ECC34EA5EF}" xr6:coauthVersionLast="47" xr6:coauthVersionMax="47" xr10:uidLastSave="{00000000-0000-0000-0000-000000000000}"/>
  <bookViews>
    <workbookView xWindow="0" yWindow="740" windowWidth="30240" windowHeight="18900" xr2:uid="{A25722B2-7301-B848-BBC0-93D128E20D1D}"/>
  </bookViews>
  <sheets>
    <sheet name="Summary All Corps" sheetId="16" r:id="rId1"/>
    <sheet name="B1" sheetId="17" r:id="rId2"/>
    <sheet name="L4" sheetId="2" r:id="rId3"/>
    <sheet name="CapitalDataL4+" sheetId="1" r:id="rId4"/>
    <sheet name="L224" sheetId="15" r:id="rId5"/>
    <sheet name="S5" sheetId="4" r:id="rId6"/>
    <sheet name="S6" sheetId="5" r:id="rId7"/>
    <sheet name="NIPA 1.14" sheetId="6" r:id="rId8"/>
    <sheet name="FA 6.1" sheetId="7" r:id="rId9"/>
    <sheet name="FA 6.4" sheetId="8" r:id="rId10"/>
    <sheet name="FA 6.7" sheetId="9" r:id="rId11"/>
    <sheet name="SOI 1945" sheetId="10" r:id="rId12"/>
    <sheet name="Inflation Forecasts" sheetId="19" r:id="rId13"/>
    <sheet name="Interest Rates" sheetId="11" r:id="rId14"/>
    <sheet name="PCE Deflator" sheetId="12" r:id="rId15"/>
    <sheet name="Top Corporate Tax Rate" sheetId="13" r:id="rId16"/>
    <sheet name="Gravelle Rates" sheetId="14" r:id="rId17"/>
    <sheet name="CRSP Data" sheetId="18" r:id="rId18"/>
    <sheet name="rstar estimates" sheetId="20" r:id="rId19"/>
    <sheet name="estimating expected growth" sheetId="21" r:id="rId20"/>
    <sheet name="CRSP-EV" sheetId="22" r:id="rId21"/>
    <sheet name="compustat" sheetId="23"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H175" i="4" l="1"/>
  <c r="CG175" i="4"/>
  <c r="CF175" i="4"/>
  <c r="CE175" i="4"/>
  <c r="CD175" i="4"/>
  <c r="CC175" i="4"/>
  <c r="CB175" i="4"/>
  <c r="CA175" i="4"/>
  <c r="BZ175" i="4"/>
  <c r="BY175" i="4"/>
  <c r="BX175" i="4"/>
  <c r="BW175" i="4"/>
  <c r="BV175" i="4"/>
  <c r="BU175" i="4"/>
  <c r="BT175" i="4"/>
  <c r="BS175" i="4"/>
  <c r="BR175" i="4"/>
  <c r="BQ175" i="4"/>
  <c r="BP175" i="4"/>
  <c r="BO175" i="4"/>
  <c r="BN175" i="4"/>
  <c r="BM175" i="4"/>
  <c r="BL175" i="4"/>
  <c r="BK175" i="4"/>
  <c r="BJ175" i="4"/>
  <c r="BI175" i="4"/>
  <c r="BH175" i="4"/>
  <c r="BG175" i="4"/>
  <c r="BF175" i="4"/>
  <c r="BE175" i="4"/>
  <c r="BD175" i="4"/>
  <c r="BC175" i="4"/>
  <c r="BB175" i="4"/>
  <c r="BA175" i="4"/>
  <c r="AZ175" i="4"/>
  <c r="AY175" i="4"/>
  <c r="AX175" i="4"/>
  <c r="AW175" i="4"/>
  <c r="AV175" i="4"/>
  <c r="AU175" i="4"/>
  <c r="AT175" i="4"/>
  <c r="AS175" i="4"/>
  <c r="AR175" i="4"/>
  <c r="AQ175" i="4"/>
  <c r="AP175" i="4"/>
  <c r="AO175" i="4"/>
  <c r="AN175" i="4"/>
  <c r="AM175" i="4"/>
  <c r="AL175" i="4"/>
  <c r="AK175" i="4"/>
  <c r="AJ175" i="4"/>
  <c r="AI175" i="4"/>
  <c r="AH175" i="4"/>
  <c r="AG175" i="4"/>
  <c r="AF175" i="4"/>
  <c r="AE175" i="4"/>
  <c r="AD175" i="4"/>
  <c r="AC175" i="4"/>
  <c r="AB175" i="4"/>
  <c r="AA175" i="4"/>
  <c r="Z175" i="4"/>
  <c r="Y175" i="4"/>
  <c r="X175" i="4"/>
  <c r="W175" i="4"/>
  <c r="V175" i="4"/>
  <c r="U175" i="4"/>
  <c r="T175" i="4"/>
  <c r="S175" i="4"/>
  <c r="R175" i="4"/>
  <c r="Q175" i="4"/>
  <c r="P175" i="4"/>
  <c r="O175" i="4"/>
  <c r="N175" i="4"/>
  <c r="M175" i="4"/>
  <c r="L175" i="4"/>
  <c r="K175" i="4"/>
  <c r="J175" i="4"/>
  <c r="I175" i="4"/>
  <c r="H175" i="4"/>
  <c r="CH174" i="4"/>
  <c r="CG174" i="4"/>
  <c r="CF174" i="4"/>
  <c r="CE174" i="4"/>
  <c r="CD174" i="4"/>
  <c r="CC174" i="4"/>
  <c r="CB174" i="4"/>
  <c r="CA174" i="4"/>
  <c r="BZ174" i="4"/>
  <c r="BY174" i="4"/>
  <c r="BX174" i="4"/>
  <c r="BW174" i="4"/>
  <c r="BV174" i="4"/>
  <c r="BU174" i="4"/>
  <c r="BT174" i="4"/>
  <c r="BS174" i="4"/>
  <c r="BR174" i="4"/>
  <c r="BQ174" i="4"/>
  <c r="BP174" i="4"/>
  <c r="BO174" i="4"/>
  <c r="BN174" i="4"/>
  <c r="BM174" i="4"/>
  <c r="BL174" i="4"/>
  <c r="BK174" i="4"/>
  <c r="BJ174" i="4"/>
  <c r="BI174" i="4"/>
  <c r="BH174" i="4"/>
  <c r="BG174" i="4"/>
  <c r="BF174" i="4"/>
  <c r="BE174" i="4"/>
  <c r="BD174" i="4"/>
  <c r="BC174" i="4"/>
  <c r="BB174" i="4"/>
  <c r="BA174" i="4"/>
  <c r="AZ174" i="4"/>
  <c r="AY174" i="4"/>
  <c r="AX174" i="4"/>
  <c r="AW174" i="4"/>
  <c r="AV174" i="4"/>
  <c r="AU174" i="4"/>
  <c r="AT174" i="4"/>
  <c r="AS174" i="4"/>
  <c r="AR174" i="4"/>
  <c r="AQ174" i="4"/>
  <c r="AP174" i="4"/>
  <c r="AO174" i="4"/>
  <c r="AN174" i="4"/>
  <c r="AM174" i="4"/>
  <c r="AL174" i="4"/>
  <c r="AK174" i="4"/>
  <c r="AJ174" i="4"/>
  <c r="AI174" i="4"/>
  <c r="AH174" i="4"/>
  <c r="AG174" i="4"/>
  <c r="AF174" i="4"/>
  <c r="AE174" i="4"/>
  <c r="AD174" i="4"/>
  <c r="AC174" i="4"/>
  <c r="AB174" i="4"/>
  <c r="AA174" i="4"/>
  <c r="Z174" i="4"/>
  <c r="Y174" i="4"/>
  <c r="X174" i="4"/>
  <c r="W174" i="4"/>
  <c r="V174" i="4"/>
  <c r="U174" i="4"/>
  <c r="T174" i="4"/>
  <c r="S174" i="4"/>
  <c r="R174" i="4"/>
  <c r="Q174" i="4"/>
  <c r="P174" i="4"/>
  <c r="O174" i="4"/>
  <c r="N174" i="4"/>
  <c r="M174" i="4"/>
  <c r="L174" i="4"/>
  <c r="K174" i="4"/>
  <c r="J174" i="4"/>
  <c r="I174" i="4"/>
  <c r="H174" i="4"/>
  <c r="CH173" i="4"/>
  <c r="CG173" i="4"/>
  <c r="CF173" i="4"/>
  <c r="CE173" i="4"/>
  <c r="CD173" i="4"/>
  <c r="CC173" i="4"/>
  <c r="CB173" i="4"/>
  <c r="CA173" i="4"/>
  <c r="BZ173" i="4"/>
  <c r="BY173" i="4"/>
  <c r="BX173" i="4"/>
  <c r="BW173" i="4"/>
  <c r="BV173" i="4"/>
  <c r="BU173" i="4"/>
  <c r="BT173" i="4"/>
  <c r="BS173" i="4"/>
  <c r="BR173" i="4"/>
  <c r="BQ173" i="4"/>
  <c r="BP173" i="4"/>
  <c r="BO173" i="4"/>
  <c r="BN173" i="4"/>
  <c r="BM173" i="4"/>
  <c r="BL173" i="4"/>
  <c r="BK173" i="4"/>
  <c r="BJ173" i="4"/>
  <c r="BI173" i="4"/>
  <c r="BH173" i="4"/>
  <c r="BG173" i="4"/>
  <c r="BF173" i="4"/>
  <c r="BE173" i="4"/>
  <c r="BD173" i="4"/>
  <c r="BC173" i="4"/>
  <c r="BB173" i="4"/>
  <c r="BA173" i="4"/>
  <c r="AZ173" i="4"/>
  <c r="AY173" i="4"/>
  <c r="AX173" i="4"/>
  <c r="AW173" i="4"/>
  <c r="AV173" i="4"/>
  <c r="AU173" i="4"/>
  <c r="AT173" i="4"/>
  <c r="AS173" i="4"/>
  <c r="AR173" i="4"/>
  <c r="AQ173" i="4"/>
  <c r="AP173" i="4"/>
  <c r="AO173" i="4"/>
  <c r="AN173" i="4"/>
  <c r="AM173" i="4"/>
  <c r="AL173" i="4"/>
  <c r="AK173" i="4"/>
  <c r="AJ173" i="4"/>
  <c r="AI173" i="4"/>
  <c r="AH173" i="4"/>
  <c r="AG173" i="4"/>
  <c r="AF173" i="4"/>
  <c r="AE173" i="4"/>
  <c r="AD173" i="4"/>
  <c r="AC173" i="4"/>
  <c r="AB173" i="4"/>
  <c r="AA173" i="4"/>
  <c r="Z173" i="4"/>
  <c r="Y173" i="4"/>
  <c r="X173" i="4"/>
  <c r="W173" i="4"/>
  <c r="V173" i="4"/>
  <c r="U173" i="4"/>
  <c r="T173" i="4"/>
  <c r="S173" i="4"/>
  <c r="R173" i="4"/>
  <c r="Q173" i="4"/>
  <c r="P173" i="4"/>
  <c r="O173" i="4"/>
  <c r="N173" i="4"/>
  <c r="M173" i="4"/>
  <c r="L173" i="4"/>
  <c r="K173" i="4"/>
  <c r="J173" i="4"/>
  <c r="I173" i="4"/>
  <c r="H173" i="4"/>
  <c r="CH172" i="4"/>
  <c r="CG172" i="4"/>
  <c r="CF172" i="4"/>
  <c r="CE172" i="4"/>
  <c r="CD172" i="4"/>
  <c r="CC172" i="4"/>
  <c r="CB172" i="4"/>
  <c r="CA172" i="4"/>
  <c r="BZ172" i="4"/>
  <c r="BY172" i="4"/>
  <c r="BX172" i="4"/>
  <c r="BW172" i="4"/>
  <c r="BV172" i="4"/>
  <c r="BU172" i="4"/>
  <c r="BT172" i="4"/>
  <c r="BS172" i="4"/>
  <c r="BR172" i="4"/>
  <c r="BQ172" i="4"/>
  <c r="BP172" i="4"/>
  <c r="BO172" i="4"/>
  <c r="BN172" i="4"/>
  <c r="BM172" i="4"/>
  <c r="BL172" i="4"/>
  <c r="BK172" i="4"/>
  <c r="BJ172" i="4"/>
  <c r="BI172" i="4"/>
  <c r="BH172" i="4"/>
  <c r="BG172" i="4"/>
  <c r="BF172" i="4"/>
  <c r="BE172" i="4"/>
  <c r="BD172" i="4"/>
  <c r="BC172" i="4"/>
  <c r="BB172" i="4"/>
  <c r="BA172" i="4"/>
  <c r="AZ172" i="4"/>
  <c r="AY172" i="4"/>
  <c r="AX172" i="4"/>
  <c r="AW172" i="4"/>
  <c r="AV172" i="4"/>
  <c r="AU172" i="4"/>
  <c r="AT172" i="4"/>
  <c r="AS172" i="4"/>
  <c r="AR172" i="4"/>
  <c r="AQ172" i="4"/>
  <c r="AP172" i="4"/>
  <c r="AO172" i="4"/>
  <c r="AN172" i="4"/>
  <c r="AM172" i="4"/>
  <c r="AL172" i="4"/>
  <c r="AK172" i="4"/>
  <c r="AJ172" i="4"/>
  <c r="AI172" i="4"/>
  <c r="AH172" i="4"/>
  <c r="AG172" i="4"/>
  <c r="AF172" i="4"/>
  <c r="AE172" i="4"/>
  <c r="AD172" i="4"/>
  <c r="AC172" i="4"/>
  <c r="AB172" i="4"/>
  <c r="AA172" i="4"/>
  <c r="Z172" i="4"/>
  <c r="Y172" i="4"/>
  <c r="X172" i="4"/>
  <c r="W172" i="4"/>
  <c r="V172" i="4"/>
  <c r="U172" i="4"/>
  <c r="T172" i="4"/>
  <c r="S172" i="4"/>
  <c r="R172" i="4"/>
  <c r="Q172" i="4"/>
  <c r="P172" i="4"/>
  <c r="O172" i="4"/>
  <c r="N172" i="4"/>
  <c r="M172" i="4"/>
  <c r="L172" i="4"/>
  <c r="K172" i="4"/>
  <c r="J172" i="4"/>
  <c r="I172" i="4"/>
  <c r="H172" i="4"/>
  <c r="CT49" i="16"/>
  <c r="CS49" i="16"/>
  <c r="CR49" i="16"/>
  <c r="CQ49" i="16"/>
  <c r="CP49" i="16"/>
  <c r="CO49" i="16"/>
  <c r="CN49" i="16"/>
  <c r="CM49" i="16"/>
  <c r="CL49" i="16"/>
  <c r="CK49" i="16"/>
  <c r="CJ49" i="16"/>
  <c r="CI49" i="16"/>
  <c r="CH49" i="16"/>
  <c r="CG49" i="16"/>
  <c r="CF49" i="16"/>
  <c r="CE49" i="16"/>
  <c r="CD49" i="16"/>
  <c r="CC49" i="16"/>
  <c r="CB49" i="16"/>
  <c r="CA49" i="16"/>
  <c r="BZ49" i="16"/>
  <c r="BY49" i="16"/>
  <c r="BX49" i="16"/>
  <c r="BW49" i="16"/>
  <c r="BV49" i="16"/>
  <c r="BU49" i="16"/>
  <c r="BT49" i="16"/>
  <c r="BS49" i="16"/>
  <c r="BR49" i="16"/>
  <c r="BQ49" i="16"/>
  <c r="BP49" i="16"/>
  <c r="BO49" i="16"/>
  <c r="BN49" i="16"/>
  <c r="BM49" i="16"/>
  <c r="BL49" i="16"/>
  <c r="BK49" i="16"/>
  <c r="BJ49" i="16"/>
  <c r="BI49" i="16"/>
  <c r="BH49" i="16"/>
  <c r="BG49" i="16"/>
  <c r="BF49" i="16"/>
  <c r="BE49" i="16"/>
  <c r="BD49" i="16"/>
  <c r="BC49" i="16"/>
  <c r="BB49" i="16"/>
  <c r="BA49" i="16"/>
  <c r="AZ49" i="16"/>
  <c r="AY49" i="16"/>
  <c r="AX49" i="16"/>
  <c r="AW49" i="16"/>
  <c r="AV49" i="16"/>
  <c r="AU49" i="16"/>
  <c r="AT49" i="16"/>
  <c r="AS49" i="16"/>
  <c r="AR49" i="16"/>
  <c r="AQ49" i="16"/>
  <c r="AP49" i="16"/>
  <c r="AO49" i="16"/>
  <c r="AN49" i="16"/>
  <c r="AM49" i="16"/>
  <c r="AL49" i="16"/>
  <c r="AK49" i="16"/>
  <c r="AJ49" i="16"/>
  <c r="AI49" i="16"/>
  <c r="AH49" i="16"/>
  <c r="AG49" i="16"/>
  <c r="AF49" i="16"/>
  <c r="AE49" i="16"/>
  <c r="AD49" i="16"/>
  <c r="AC49" i="16"/>
  <c r="AB49" i="16"/>
  <c r="AA49" i="16"/>
  <c r="Z49" i="16"/>
  <c r="Y49" i="16"/>
  <c r="X49" i="16"/>
  <c r="W49" i="16"/>
  <c r="V49" i="16"/>
  <c r="U49" i="16"/>
  <c r="T49" i="16"/>
  <c r="S49" i="16"/>
  <c r="R49" i="16"/>
  <c r="Q49" i="16"/>
  <c r="P49" i="16"/>
  <c r="O49" i="16"/>
  <c r="N49" i="16"/>
  <c r="M49" i="16"/>
  <c r="L49" i="16"/>
  <c r="K49" i="16"/>
  <c r="J49" i="16"/>
  <c r="I49" i="16"/>
  <c r="H49" i="16"/>
  <c r="G49" i="16"/>
  <c r="F49" i="16"/>
  <c r="E49" i="16"/>
  <c r="D49" i="16"/>
  <c r="CT48" i="16"/>
  <c r="CS48" i="16"/>
  <c r="CR48" i="16"/>
  <c r="CQ48" i="16"/>
  <c r="CP48" i="16"/>
  <c r="CO48" i="16"/>
  <c r="CN48" i="16"/>
  <c r="CM48" i="16"/>
  <c r="CL48" i="16"/>
  <c r="CK48" i="16"/>
  <c r="CJ48" i="16"/>
  <c r="CI48" i="16"/>
  <c r="CH48" i="16"/>
  <c r="CG48" i="16"/>
  <c r="CF48" i="16"/>
  <c r="CE48" i="16"/>
  <c r="CD48" i="16"/>
  <c r="CC48" i="16"/>
  <c r="CB48" i="16"/>
  <c r="CA48" i="16"/>
  <c r="BZ48" i="16"/>
  <c r="BY48" i="16"/>
  <c r="BX48" i="16"/>
  <c r="BW48" i="16"/>
  <c r="BV48" i="16"/>
  <c r="BU48" i="16"/>
  <c r="BT48" i="16"/>
  <c r="BS48" i="16"/>
  <c r="BR48" i="16"/>
  <c r="BQ48" i="16"/>
  <c r="BP48" i="16"/>
  <c r="BO48" i="16"/>
  <c r="BN48" i="16"/>
  <c r="BM48" i="16"/>
  <c r="BL48" i="16"/>
  <c r="BK48" i="16"/>
  <c r="BJ48" i="16"/>
  <c r="BI48" i="16"/>
  <c r="BH48" i="16"/>
  <c r="BG48" i="16"/>
  <c r="BF48" i="16"/>
  <c r="BE48" i="16"/>
  <c r="BD48" i="16"/>
  <c r="BC48" i="16"/>
  <c r="BB48" i="16"/>
  <c r="BA48" i="16"/>
  <c r="AZ48" i="16"/>
  <c r="AY48" i="16"/>
  <c r="AX48" i="16"/>
  <c r="AW48" i="16"/>
  <c r="AV48" i="16"/>
  <c r="AU48" i="16"/>
  <c r="AT48" i="16"/>
  <c r="AS48" i="16"/>
  <c r="AR48" i="16"/>
  <c r="AQ48" i="16"/>
  <c r="AP48" i="16"/>
  <c r="AO48" i="16"/>
  <c r="AN48" i="16"/>
  <c r="AM48" i="16"/>
  <c r="AL48" i="16"/>
  <c r="AK48" i="16"/>
  <c r="AJ48" i="16"/>
  <c r="AI48" i="16"/>
  <c r="AH48" i="16"/>
  <c r="AG48" i="16"/>
  <c r="AF48" i="16"/>
  <c r="AE48" i="16"/>
  <c r="AD48" i="16"/>
  <c r="AC48" i="16"/>
  <c r="AB48" i="16"/>
  <c r="AA48" i="16"/>
  <c r="Z48" i="16"/>
  <c r="Y48" i="16"/>
  <c r="X48" i="16"/>
  <c r="W48" i="16"/>
  <c r="V48" i="16"/>
  <c r="U48" i="16"/>
  <c r="T48" i="16"/>
  <c r="S48" i="16"/>
  <c r="R48" i="16"/>
  <c r="Q48" i="16"/>
  <c r="P48" i="16"/>
  <c r="O48" i="16"/>
  <c r="N48" i="16"/>
  <c r="M48" i="16"/>
  <c r="L48" i="16"/>
  <c r="K48" i="16"/>
  <c r="J48" i="16"/>
  <c r="I48" i="16"/>
  <c r="H48" i="16"/>
  <c r="G48" i="16"/>
  <c r="F48" i="16"/>
  <c r="E48" i="16"/>
  <c r="D48" i="16"/>
  <c r="CT47" i="16"/>
  <c r="CS47" i="16"/>
  <c r="CR47" i="16"/>
  <c r="CQ47" i="16"/>
  <c r="CP47" i="16"/>
  <c r="CO47" i="16"/>
  <c r="CN47" i="16"/>
  <c r="CM47" i="16"/>
  <c r="CL47" i="16"/>
  <c r="CK47" i="16"/>
  <c r="CJ47" i="16"/>
  <c r="CI47" i="16"/>
  <c r="CH47" i="16"/>
  <c r="CG47" i="16"/>
  <c r="CF47" i="16"/>
  <c r="CE47" i="16"/>
  <c r="CD47" i="16"/>
  <c r="CC47" i="16"/>
  <c r="CB47" i="16"/>
  <c r="CA47" i="16"/>
  <c r="BZ47" i="16"/>
  <c r="BY47" i="16"/>
  <c r="BX47" i="16"/>
  <c r="BW47" i="16"/>
  <c r="BV47" i="16"/>
  <c r="BU47" i="16"/>
  <c r="BT47" i="16"/>
  <c r="BS47" i="16"/>
  <c r="BR47" i="16"/>
  <c r="BQ47" i="16"/>
  <c r="BP47" i="16"/>
  <c r="BO47" i="16"/>
  <c r="BN47" i="16"/>
  <c r="BM47" i="16"/>
  <c r="BL47" i="16"/>
  <c r="BK47" i="16"/>
  <c r="BJ47" i="16"/>
  <c r="BI47" i="16"/>
  <c r="BH47" i="16"/>
  <c r="BG47" i="16"/>
  <c r="BF47" i="16"/>
  <c r="BE47" i="16"/>
  <c r="BD47" i="16"/>
  <c r="BC47" i="16"/>
  <c r="BB47" i="16"/>
  <c r="BA47" i="16"/>
  <c r="AZ47" i="16"/>
  <c r="AY47" i="16"/>
  <c r="AX47" i="16"/>
  <c r="AW47" i="16"/>
  <c r="AV47" i="16"/>
  <c r="AU47" i="16"/>
  <c r="AT47" i="16"/>
  <c r="AS47" i="16"/>
  <c r="AR47" i="16"/>
  <c r="AQ47" i="16"/>
  <c r="AP47" i="16"/>
  <c r="AO47" i="16"/>
  <c r="AN47" i="16"/>
  <c r="AM47" i="16"/>
  <c r="AL47" i="16"/>
  <c r="AK47" i="16"/>
  <c r="AJ47" i="16"/>
  <c r="AI47" i="16"/>
  <c r="AH47" i="16"/>
  <c r="AG47" i="16"/>
  <c r="AF47" i="16"/>
  <c r="AE47" i="16"/>
  <c r="AD47" i="16"/>
  <c r="AC47" i="16"/>
  <c r="AB47" i="16"/>
  <c r="AA47" i="16"/>
  <c r="Z47" i="16"/>
  <c r="Y47" i="16"/>
  <c r="X47" i="16"/>
  <c r="W47" i="16"/>
  <c r="V47" i="16"/>
  <c r="U47" i="16"/>
  <c r="T47" i="16"/>
  <c r="S47" i="16"/>
  <c r="R47" i="16"/>
  <c r="Q47" i="16"/>
  <c r="P47" i="16"/>
  <c r="O47" i="16"/>
  <c r="N47" i="16"/>
  <c r="M47" i="16"/>
  <c r="L47" i="16"/>
  <c r="K47" i="16"/>
  <c r="J47" i="16"/>
  <c r="I47" i="16"/>
  <c r="H47" i="16"/>
  <c r="G47" i="16"/>
  <c r="F47" i="16"/>
  <c r="E47" i="16"/>
  <c r="D47" i="16"/>
  <c r="C49" i="16"/>
  <c r="C48" i="16"/>
  <c r="C47" i="16"/>
  <c r="CT45" i="16"/>
  <c r="CS45" i="16"/>
  <c r="CR45" i="16"/>
  <c r="CQ45" i="16"/>
  <c r="CP45" i="16"/>
  <c r="CO45" i="16"/>
  <c r="CN45" i="16"/>
  <c r="CM45" i="16"/>
  <c r="CL45" i="16"/>
  <c r="CK45" i="16"/>
  <c r="CJ45" i="16"/>
  <c r="CI45" i="16"/>
  <c r="CH45" i="16"/>
  <c r="CG45" i="16"/>
  <c r="CF45" i="16"/>
  <c r="CE45" i="16"/>
  <c r="CD45" i="16"/>
  <c r="CC45" i="16"/>
  <c r="CB45" i="16"/>
  <c r="CA45" i="16"/>
  <c r="BZ45" i="16"/>
  <c r="BY45" i="16"/>
  <c r="BX45" i="16"/>
  <c r="BW45" i="16"/>
  <c r="BV45" i="16"/>
  <c r="BU45" i="16"/>
  <c r="BT45" i="16"/>
  <c r="BS45" i="16"/>
  <c r="BR45" i="16"/>
  <c r="BQ45" i="16"/>
  <c r="BP45" i="16"/>
  <c r="BO45" i="16"/>
  <c r="BN45" i="16"/>
  <c r="BM45" i="16"/>
  <c r="BL45" i="16"/>
  <c r="BK45" i="16"/>
  <c r="BJ45" i="16"/>
  <c r="BI45" i="16"/>
  <c r="BH45" i="16"/>
  <c r="BG45" i="16"/>
  <c r="BF45" i="16"/>
  <c r="BE45" i="16"/>
  <c r="BD45" i="16"/>
  <c r="BC45" i="16"/>
  <c r="BB45" i="16"/>
  <c r="BA45" i="16"/>
  <c r="AZ45" i="16"/>
  <c r="AY45" i="16"/>
  <c r="AX45" i="16"/>
  <c r="AW45" i="16"/>
  <c r="AV45" i="16"/>
  <c r="AU45" i="16"/>
  <c r="AT45" i="16"/>
  <c r="AS45" i="16"/>
  <c r="AR45" i="16"/>
  <c r="AQ45" i="16"/>
  <c r="AP45" i="16"/>
  <c r="AO45" i="16"/>
  <c r="AN45" i="16"/>
  <c r="AM45" i="16"/>
  <c r="AL45" i="16"/>
  <c r="AK45" i="16"/>
  <c r="AJ45" i="16"/>
  <c r="AI45" i="16"/>
  <c r="AH45" i="16"/>
  <c r="AG45" i="16"/>
  <c r="AF45" i="16"/>
  <c r="AE45" i="16"/>
  <c r="AD45" i="16"/>
  <c r="AC45" i="16"/>
  <c r="AB45" i="16"/>
  <c r="AA45" i="16"/>
  <c r="Z45" i="16"/>
  <c r="Y45" i="16"/>
  <c r="X45" i="16"/>
  <c r="W45" i="16"/>
  <c r="V45" i="16"/>
  <c r="U45" i="16"/>
  <c r="T45" i="16"/>
  <c r="S45" i="16"/>
  <c r="R45" i="16"/>
  <c r="Q45" i="16"/>
  <c r="P45" i="16"/>
  <c r="O45" i="16"/>
  <c r="N45" i="16"/>
  <c r="M45" i="16"/>
  <c r="L45" i="16"/>
  <c r="K45" i="16"/>
  <c r="J45" i="16"/>
  <c r="I45" i="16"/>
  <c r="H45" i="16"/>
  <c r="G45" i="16"/>
  <c r="F45" i="16"/>
  <c r="E45" i="16"/>
  <c r="D45" i="16"/>
  <c r="C45" i="16"/>
  <c r="CT44" i="16"/>
  <c r="CS44" i="16"/>
  <c r="CR44" i="16"/>
  <c r="CQ44" i="16"/>
  <c r="CP44" i="16"/>
  <c r="CO44" i="16"/>
  <c r="CN44" i="16"/>
  <c r="CM44" i="16"/>
  <c r="CL44" i="16"/>
  <c r="CK44" i="16"/>
  <c r="CJ44" i="16"/>
  <c r="CI44" i="16"/>
  <c r="CH44" i="16"/>
  <c r="CG44" i="16"/>
  <c r="CF44" i="16"/>
  <c r="CE44" i="16"/>
  <c r="CD44" i="16"/>
  <c r="CC44" i="16"/>
  <c r="CB44" i="16"/>
  <c r="CA44" i="16"/>
  <c r="BZ44" i="16"/>
  <c r="BY44" i="16"/>
  <c r="BX44" i="16"/>
  <c r="BW44" i="16"/>
  <c r="BV44" i="16"/>
  <c r="BU44" i="16"/>
  <c r="BT44" i="16"/>
  <c r="BS44" i="16"/>
  <c r="BR44" i="16"/>
  <c r="BQ44" i="16"/>
  <c r="BP44" i="16"/>
  <c r="BO44" i="16"/>
  <c r="BN44" i="16"/>
  <c r="BM44" i="16"/>
  <c r="BL44" i="16"/>
  <c r="BK44" i="16"/>
  <c r="BJ44" i="16"/>
  <c r="BI44" i="16"/>
  <c r="BH44" i="16"/>
  <c r="BG44" i="16"/>
  <c r="BF44" i="16"/>
  <c r="BE44" i="16"/>
  <c r="BD44" i="16"/>
  <c r="BC44" i="16"/>
  <c r="BB44" i="16"/>
  <c r="BA44" i="16"/>
  <c r="AZ44" i="16"/>
  <c r="AY44" i="16"/>
  <c r="AX44" i="16"/>
  <c r="AW44" i="16"/>
  <c r="AV44" i="16"/>
  <c r="AU44" i="16"/>
  <c r="AT44" i="16"/>
  <c r="AS44" i="16"/>
  <c r="AR44" i="16"/>
  <c r="AQ44" i="16"/>
  <c r="AP44" i="16"/>
  <c r="AO44" i="16"/>
  <c r="AN44" i="16"/>
  <c r="AM44" i="16"/>
  <c r="AL44" i="16"/>
  <c r="AK44" i="16"/>
  <c r="AJ44" i="16"/>
  <c r="AI44" i="16"/>
  <c r="AH44" i="16"/>
  <c r="AG44" i="16"/>
  <c r="AF44" i="16"/>
  <c r="AE44" i="16"/>
  <c r="AD44" i="16"/>
  <c r="AC44" i="16"/>
  <c r="AB44" i="16"/>
  <c r="AA44" i="16"/>
  <c r="Z44" i="16"/>
  <c r="Y44" i="16"/>
  <c r="X44" i="16"/>
  <c r="W44" i="16"/>
  <c r="V44" i="16"/>
  <c r="U44" i="16"/>
  <c r="T44" i="16"/>
  <c r="S44" i="16"/>
  <c r="R44" i="16"/>
  <c r="Q44" i="16"/>
  <c r="P44" i="16"/>
  <c r="O44" i="16"/>
  <c r="N44" i="16"/>
  <c r="M44" i="16"/>
  <c r="L44" i="16"/>
  <c r="K44" i="16"/>
  <c r="J44" i="16"/>
  <c r="I44" i="16"/>
  <c r="H44" i="16"/>
  <c r="G44" i="16"/>
  <c r="F44" i="16"/>
  <c r="E44" i="16"/>
  <c r="D44" i="16"/>
  <c r="C44" i="16"/>
  <c r="CT42" i="16"/>
  <c r="CS42" i="16"/>
  <c r="CR42" i="16"/>
  <c r="CQ42" i="16"/>
  <c r="CP42" i="16"/>
  <c r="CO42" i="16"/>
  <c r="CN42" i="16"/>
  <c r="CM42" i="16"/>
  <c r="CL42" i="16"/>
  <c r="CK42" i="16"/>
  <c r="CJ42" i="16"/>
  <c r="CI42" i="16"/>
  <c r="CH42" i="16"/>
  <c r="CG42" i="16"/>
  <c r="CF42" i="16"/>
  <c r="CE42" i="16"/>
  <c r="CD42" i="16"/>
  <c r="CC42" i="16"/>
  <c r="CB42" i="16"/>
  <c r="CA42" i="16"/>
  <c r="BZ42" i="16"/>
  <c r="BY42" i="16"/>
  <c r="BX42" i="16"/>
  <c r="BW42" i="16"/>
  <c r="BV42" i="16"/>
  <c r="BU42" i="16"/>
  <c r="BT42" i="16"/>
  <c r="BS42" i="16"/>
  <c r="BR42" i="16"/>
  <c r="BQ42" i="16"/>
  <c r="BP42" i="16"/>
  <c r="BO42" i="16"/>
  <c r="BN42" i="16"/>
  <c r="BM42" i="16"/>
  <c r="BL42" i="16"/>
  <c r="BK42" i="16"/>
  <c r="BJ42" i="16"/>
  <c r="BI42" i="16"/>
  <c r="BH42" i="16"/>
  <c r="BG42" i="16"/>
  <c r="BF42" i="16"/>
  <c r="BE42" i="16"/>
  <c r="BD42" i="16"/>
  <c r="BC42" i="16"/>
  <c r="BB42" i="16"/>
  <c r="BA42" i="16"/>
  <c r="AZ42" i="16"/>
  <c r="AY42" i="16"/>
  <c r="AX42" i="16"/>
  <c r="AW42" i="16"/>
  <c r="AV42" i="16"/>
  <c r="AU42" i="16"/>
  <c r="AT42" i="16"/>
  <c r="AS42" i="16"/>
  <c r="AR42" i="16"/>
  <c r="AQ42" i="16"/>
  <c r="AP42" i="16"/>
  <c r="AO42" i="16"/>
  <c r="AN42" i="16"/>
  <c r="AM42" i="16"/>
  <c r="AL42" i="16"/>
  <c r="AK42" i="16"/>
  <c r="AJ42" i="16"/>
  <c r="AI42" i="16"/>
  <c r="AH42" i="16"/>
  <c r="AG42" i="16"/>
  <c r="AF42" i="16"/>
  <c r="AE42" i="16"/>
  <c r="AD42" i="16"/>
  <c r="AC42" i="16"/>
  <c r="AB42" i="16"/>
  <c r="AA42" i="16"/>
  <c r="Z42" i="16"/>
  <c r="Y42" i="16"/>
  <c r="X42" i="16"/>
  <c r="W42" i="16"/>
  <c r="V42" i="16"/>
  <c r="U42" i="16"/>
  <c r="T42" i="16"/>
  <c r="S42" i="16"/>
  <c r="R42" i="16"/>
  <c r="Q42" i="16"/>
  <c r="P42" i="16"/>
  <c r="O42" i="16"/>
  <c r="N42" i="16"/>
  <c r="M42" i="16"/>
  <c r="L42" i="16"/>
  <c r="K42" i="16"/>
  <c r="J42" i="16"/>
  <c r="I42" i="16"/>
  <c r="H42" i="16"/>
  <c r="G42" i="16"/>
  <c r="F42" i="16"/>
  <c r="E42" i="16"/>
  <c r="D42" i="16"/>
  <c r="C42" i="16"/>
  <c r="CT41" i="16"/>
  <c r="CS41" i="16"/>
  <c r="CR41" i="16"/>
  <c r="CQ41" i="16"/>
  <c r="CP41" i="16"/>
  <c r="CO41" i="16"/>
  <c r="CN41" i="16"/>
  <c r="CM41" i="16"/>
  <c r="CL41" i="16"/>
  <c r="CK41" i="16"/>
  <c r="CJ41" i="16"/>
  <c r="CI41" i="16"/>
  <c r="CH41" i="16"/>
  <c r="CG41" i="16"/>
  <c r="CF41" i="16"/>
  <c r="CE41" i="16"/>
  <c r="CD41" i="16"/>
  <c r="CC41" i="16"/>
  <c r="CB41" i="16"/>
  <c r="CA41" i="16"/>
  <c r="BZ41" i="16"/>
  <c r="BY41" i="16"/>
  <c r="BX41" i="16"/>
  <c r="BW41" i="16"/>
  <c r="BV41" i="16"/>
  <c r="BU41" i="16"/>
  <c r="BT41" i="16"/>
  <c r="BS41" i="16"/>
  <c r="BR41" i="16"/>
  <c r="BQ41" i="16"/>
  <c r="BP41" i="16"/>
  <c r="BO41" i="16"/>
  <c r="BN41" i="16"/>
  <c r="BM41" i="16"/>
  <c r="BL41" i="16"/>
  <c r="BK41" i="16"/>
  <c r="BJ41" i="16"/>
  <c r="BI41" i="16"/>
  <c r="BH41" i="16"/>
  <c r="BG41" i="16"/>
  <c r="BF41" i="16"/>
  <c r="BE41" i="16"/>
  <c r="BD41" i="16"/>
  <c r="BC41" i="16"/>
  <c r="BB41" i="16"/>
  <c r="BA41" i="16"/>
  <c r="AZ41" i="16"/>
  <c r="AY41" i="16"/>
  <c r="AX41" i="16"/>
  <c r="AW41" i="16"/>
  <c r="AV41" i="16"/>
  <c r="AU41" i="16"/>
  <c r="AT41" i="16"/>
  <c r="AS41" i="16"/>
  <c r="AR41" i="16"/>
  <c r="AQ41" i="16"/>
  <c r="AP41" i="16"/>
  <c r="AO41" i="16"/>
  <c r="AN41" i="16"/>
  <c r="AM41" i="16"/>
  <c r="AL41" i="16"/>
  <c r="AK41" i="16"/>
  <c r="AJ41" i="16"/>
  <c r="AI41" i="16"/>
  <c r="AH41" i="16"/>
  <c r="AG41" i="16"/>
  <c r="AF41" i="16"/>
  <c r="AE41" i="16"/>
  <c r="AD41" i="16"/>
  <c r="AC41" i="16"/>
  <c r="AB41" i="16"/>
  <c r="AA41" i="16"/>
  <c r="Z41" i="16"/>
  <c r="Y41" i="16"/>
  <c r="X41" i="16"/>
  <c r="W41" i="16"/>
  <c r="V41" i="16"/>
  <c r="U41" i="16"/>
  <c r="T41" i="16"/>
  <c r="S41" i="16"/>
  <c r="R41" i="16"/>
  <c r="Q41" i="16"/>
  <c r="P41" i="16"/>
  <c r="O41" i="16"/>
  <c r="N41" i="16"/>
  <c r="M41" i="16"/>
  <c r="L41" i="16"/>
  <c r="K41" i="16"/>
  <c r="J41" i="16"/>
  <c r="I41" i="16"/>
  <c r="H41" i="16"/>
  <c r="G41" i="16"/>
  <c r="F41" i="16"/>
  <c r="E41" i="16"/>
  <c r="D41" i="16"/>
  <c r="C41" i="16"/>
  <c r="CQ70" i="6"/>
  <c r="CP70" i="6"/>
  <c r="CO70" i="6"/>
  <c r="CL70" i="6"/>
  <c r="CK70" i="6"/>
  <c r="CJ70" i="6"/>
  <c r="CI70" i="6"/>
  <c r="CE70" i="6"/>
  <c r="CD70" i="6"/>
  <c r="CC70" i="6"/>
  <c r="BZ70" i="6"/>
  <c r="BY70" i="6"/>
  <c r="BX70" i="6"/>
  <c r="BW70" i="6"/>
  <c r="BS70" i="6"/>
  <c r="BR70" i="6"/>
  <c r="BQ70" i="6"/>
  <c r="BN70" i="6"/>
  <c r="BM70" i="6"/>
  <c r="BL70" i="6"/>
  <c r="BK70" i="6"/>
  <c r="BG70" i="6"/>
  <c r="BF70" i="6"/>
  <c r="BE70" i="6"/>
  <c r="BB70" i="6"/>
  <c r="BA70" i="6"/>
  <c r="AZ70" i="6"/>
  <c r="AY70" i="6"/>
  <c r="AU70" i="6"/>
  <c r="AT70" i="6"/>
  <c r="AS70" i="6"/>
  <c r="AP70" i="6"/>
  <c r="AO70" i="6"/>
  <c r="AN70" i="6"/>
  <c r="AM70" i="6"/>
  <c r="AI70" i="6"/>
  <c r="AH70" i="6"/>
  <c r="AG70" i="6"/>
  <c r="AD70" i="6"/>
  <c r="AC70" i="6"/>
  <c r="AB70" i="6"/>
  <c r="AA70" i="6"/>
  <c r="W70" i="6"/>
  <c r="V70" i="6"/>
  <c r="U70" i="6"/>
  <c r="R70" i="6"/>
  <c r="Q70" i="6"/>
  <c r="P70" i="6"/>
  <c r="O70" i="6"/>
  <c r="K70" i="6"/>
  <c r="J70" i="6"/>
  <c r="I70" i="6"/>
  <c r="F70" i="6"/>
  <c r="E70" i="6"/>
  <c r="D70" i="6"/>
  <c r="CT69" i="6"/>
  <c r="CS69" i="6"/>
  <c r="CR69" i="6"/>
  <c r="CQ69" i="6"/>
  <c r="CP69" i="6"/>
  <c r="CO69" i="6"/>
  <c r="CN69" i="6"/>
  <c r="CM69" i="6"/>
  <c r="CL69" i="6"/>
  <c r="CK69" i="6"/>
  <c r="CJ69" i="6"/>
  <c r="CI69" i="6"/>
  <c r="CH69" i="6"/>
  <c r="CG69" i="6"/>
  <c r="CF69" i="6"/>
  <c r="CE69" i="6"/>
  <c r="CD69" i="6"/>
  <c r="CC69" i="6"/>
  <c r="CB69" i="6"/>
  <c r="CA69" i="6"/>
  <c r="BZ69" i="6"/>
  <c r="BY69" i="6"/>
  <c r="BX69" i="6"/>
  <c r="BW69" i="6"/>
  <c r="BV69" i="6"/>
  <c r="BU69" i="6"/>
  <c r="BT69" i="6"/>
  <c r="BS69" i="6"/>
  <c r="BR69" i="6"/>
  <c r="BQ69" i="6"/>
  <c r="BP69" i="6"/>
  <c r="BO69" i="6"/>
  <c r="BN69" i="6"/>
  <c r="BM69" i="6"/>
  <c r="BL69" i="6"/>
  <c r="BK69" i="6"/>
  <c r="BJ69" i="6"/>
  <c r="BI69" i="6"/>
  <c r="BH69" i="6"/>
  <c r="BG69" i="6"/>
  <c r="BF69" i="6"/>
  <c r="BE69" i="6"/>
  <c r="BD69" i="6"/>
  <c r="BC69" i="6"/>
  <c r="BB69" i="6"/>
  <c r="BA69" i="6"/>
  <c r="AZ69" i="6"/>
  <c r="AY69" i="6"/>
  <c r="AX69" i="6"/>
  <c r="AW69" i="6"/>
  <c r="AV69" i="6"/>
  <c r="AU69" i="6"/>
  <c r="AT69" i="6"/>
  <c r="AS69" i="6"/>
  <c r="AR69" i="6"/>
  <c r="AQ69" i="6"/>
  <c r="AP69" i="6"/>
  <c r="AO69" i="6"/>
  <c r="AN69" i="6"/>
  <c r="AM69" i="6"/>
  <c r="AL69" i="6"/>
  <c r="AK69" i="6"/>
  <c r="AJ69" i="6"/>
  <c r="AI69" i="6"/>
  <c r="AH69" i="6"/>
  <c r="AG69" i="6"/>
  <c r="AF69" i="6"/>
  <c r="AE69" i="6"/>
  <c r="AD69" i="6"/>
  <c r="AC69" i="6"/>
  <c r="AB69" i="6"/>
  <c r="AA69" i="6"/>
  <c r="Z69" i="6"/>
  <c r="Y69" i="6"/>
  <c r="X69" i="6"/>
  <c r="W69" i="6"/>
  <c r="V69" i="6"/>
  <c r="U69" i="6"/>
  <c r="T69" i="6"/>
  <c r="S69" i="6"/>
  <c r="R69" i="6"/>
  <c r="Q69" i="6"/>
  <c r="P69" i="6"/>
  <c r="O69" i="6"/>
  <c r="N69" i="6"/>
  <c r="M69" i="6"/>
  <c r="L69" i="6"/>
  <c r="K69" i="6"/>
  <c r="J69" i="6"/>
  <c r="I69" i="6"/>
  <c r="H69" i="6"/>
  <c r="G69" i="6"/>
  <c r="F69" i="6"/>
  <c r="E69" i="6"/>
  <c r="D69" i="6"/>
  <c r="CT68" i="6"/>
  <c r="CT70" i="6" s="1"/>
  <c r="CS68" i="6"/>
  <c r="CS70" i="6" s="1"/>
  <c r="CR68" i="6"/>
  <c r="CR70" i="6" s="1"/>
  <c r="CQ68" i="6"/>
  <c r="CP68" i="6"/>
  <c r="CO68" i="6"/>
  <c r="CN68" i="6"/>
  <c r="CN70" i="6" s="1"/>
  <c r="CM68" i="6"/>
  <c r="CM70" i="6" s="1"/>
  <c r="CL68" i="6"/>
  <c r="CK68" i="6"/>
  <c r="CJ68" i="6"/>
  <c r="CI68" i="6"/>
  <c r="CH68" i="6"/>
  <c r="CH70" i="6" s="1"/>
  <c r="CG68" i="6"/>
  <c r="CG70" i="6" s="1"/>
  <c r="CF68" i="6"/>
  <c r="CF70" i="6" s="1"/>
  <c r="CE68" i="6"/>
  <c r="CD68" i="6"/>
  <c r="CC68" i="6"/>
  <c r="CB68" i="6"/>
  <c r="CB70" i="6" s="1"/>
  <c r="CA68" i="6"/>
  <c r="CA70" i="6" s="1"/>
  <c r="BZ68" i="6"/>
  <c r="BY68" i="6"/>
  <c r="BX68" i="6"/>
  <c r="BW68" i="6"/>
  <c r="BV68" i="6"/>
  <c r="BV70" i="6" s="1"/>
  <c r="BU68" i="6"/>
  <c r="BU70" i="6" s="1"/>
  <c r="BT68" i="6"/>
  <c r="BT70" i="6" s="1"/>
  <c r="BS68" i="6"/>
  <c r="BR68" i="6"/>
  <c r="BQ68" i="6"/>
  <c r="BP68" i="6"/>
  <c r="BP70" i="6" s="1"/>
  <c r="BO68" i="6"/>
  <c r="BO70" i="6" s="1"/>
  <c r="BN68" i="6"/>
  <c r="BM68" i="6"/>
  <c r="BL68" i="6"/>
  <c r="BK68" i="6"/>
  <c r="BJ68" i="6"/>
  <c r="BJ70" i="6" s="1"/>
  <c r="BI68" i="6"/>
  <c r="BI70" i="6" s="1"/>
  <c r="BH68" i="6"/>
  <c r="BH70" i="6" s="1"/>
  <c r="BG68" i="6"/>
  <c r="BF68" i="6"/>
  <c r="BE68" i="6"/>
  <c r="BD68" i="6"/>
  <c r="BD70" i="6" s="1"/>
  <c r="BC68" i="6"/>
  <c r="BC70" i="6" s="1"/>
  <c r="BB68" i="6"/>
  <c r="BA68" i="6"/>
  <c r="AZ68" i="6"/>
  <c r="AY68" i="6"/>
  <c r="AX68" i="6"/>
  <c r="AX70" i="6" s="1"/>
  <c r="AW68" i="6"/>
  <c r="AW70" i="6" s="1"/>
  <c r="AV68" i="6"/>
  <c r="AV70" i="6" s="1"/>
  <c r="AU68" i="6"/>
  <c r="AT68" i="6"/>
  <c r="AS68" i="6"/>
  <c r="AR68" i="6"/>
  <c r="AR70" i="6" s="1"/>
  <c r="AQ68" i="6"/>
  <c r="AQ70" i="6" s="1"/>
  <c r="AP68" i="6"/>
  <c r="AO68" i="6"/>
  <c r="AN68" i="6"/>
  <c r="AM68" i="6"/>
  <c r="AL68" i="6"/>
  <c r="AL70" i="6" s="1"/>
  <c r="AK68" i="6"/>
  <c r="AK70" i="6" s="1"/>
  <c r="AJ68" i="6"/>
  <c r="AJ70" i="6" s="1"/>
  <c r="AI68" i="6"/>
  <c r="AH68" i="6"/>
  <c r="AG68" i="6"/>
  <c r="AF68" i="6"/>
  <c r="AF70" i="6" s="1"/>
  <c r="AE68" i="6"/>
  <c r="AE70" i="6" s="1"/>
  <c r="AD68" i="6"/>
  <c r="AC68" i="6"/>
  <c r="AB68" i="6"/>
  <c r="AA68" i="6"/>
  <c r="Z68" i="6"/>
  <c r="Z70" i="6" s="1"/>
  <c r="Y68" i="6"/>
  <c r="Y70" i="6" s="1"/>
  <c r="X68" i="6"/>
  <c r="X70" i="6" s="1"/>
  <c r="W68" i="6"/>
  <c r="V68" i="6"/>
  <c r="U68" i="6"/>
  <c r="T68" i="6"/>
  <c r="T70" i="6" s="1"/>
  <c r="S68" i="6"/>
  <c r="S70" i="6" s="1"/>
  <c r="R68" i="6"/>
  <c r="Q68" i="6"/>
  <c r="P68" i="6"/>
  <c r="O68" i="6"/>
  <c r="N68" i="6"/>
  <c r="N70" i="6" s="1"/>
  <c r="M68" i="6"/>
  <c r="M70" i="6" s="1"/>
  <c r="L68" i="6"/>
  <c r="L70" i="6" s="1"/>
  <c r="K68" i="6"/>
  <c r="J68" i="6"/>
  <c r="I68" i="6"/>
  <c r="H68" i="6"/>
  <c r="H70" i="6" s="1"/>
  <c r="G68" i="6"/>
  <c r="G70" i="6" s="1"/>
  <c r="F68" i="6"/>
  <c r="E68" i="6"/>
  <c r="D68" i="6"/>
  <c r="C68" i="6"/>
  <c r="C70" i="6" s="1"/>
  <c r="C69" i="6"/>
  <c r="D5" i="23"/>
  <c r="E5" i="23"/>
  <c r="F5" i="23"/>
  <c r="G5" i="23"/>
  <c r="H5" i="23"/>
  <c r="I5" i="23"/>
  <c r="J5" i="23"/>
  <c r="K5" i="23"/>
  <c r="L5" i="23"/>
  <c r="M5" i="23"/>
  <c r="N5" i="23"/>
  <c r="O5" i="23"/>
  <c r="P5" i="23"/>
  <c r="Q5" i="23"/>
  <c r="R5" i="23"/>
  <c r="S5" i="23"/>
  <c r="T5" i="23"/>
  <c r="U5" i="23"/>
  <c r="V5" i="23"/>
  <c r="W5" i="23"/>
  <c r="X5" i="23"/>
  <c r="Y5" i="23"/>
  <c r="Z5" i="23"/>
  <c r="AA5" i="23"/>
  <c r="AB5" i="23"/>
  <c r="AC5" i="23"/>
  <c r="AD5" i="23"/>
  <c r="AE5" i="23"/>
  <c r="AF5" i="23"/>
  <c r="AG5" i="23"/>
  <c r="AH5" i="23"/>
  <c r="AI5" i="23"/>
  <c r="AJ5" i="23"/>
  <c r="AK5" i="23"/>
  <c r="AL5" i="23"/>
  <c r="AM5" i="23"/>
  <c r="AN5" i="23"/>
  <c r="AO5" i="23"/>
  <c r="AP5" i="23"/>
  <c r="AQ5" i="23"/>
  <c r="AR5" i="23"/>
  <c r="AS5" i="23"/>
  <c r="AT5" i="23"/>
  <c r="AU5" i="23"/>
  <c r="AV5" i="23"/>
  <c r="AW5" i="23"/>
  <c r="AX5" i="23"/>
  <c r="AY5" i="23"/>
  <c r="AZ5" i="23"/>
  <c r="BA5" i="23"/>
  <c r="BB5" i="23"/>
  <c r="BC5" i="23"/>
  <c r="BD5" i="23"/>
  <c r="BE5" i="23"/>
  <c r="BF5" i="23"/>
  <c r="BG5" i="23"/>
  <c r="BH5" i="23"/>
  <c r="BI5" i="23"/>
  <c r="BJ5" i="23"/>
  <c r="BK5" i="23"/>
  <c r="BL5" i="23"/>
  <c r="BM5" i="23"/>
  <c r="BN5" i="23"/>
  <c r="BO5" i="23"/>
  <c r="BP5" i="23"/>
  <c r="BQ5" i="23"/>
  <c r="BR5" i="23"/>
  <c r="BS5" i="23"/>
  <c r="BT5" i="23"/>
  <c r="BU5" i="23"/>
  <c r="BV5" i="23"/>
  <c r="BW5" i="23"/>
  <c r="BX5" i="23"/>
  <c r="BY5" i="23"/>
  <c r="BZ5" i="23"/>
  <c r="CA5" i="23"/>
  <c r="CB5" i="23"/>
  <c r="CC5" i="23"/>
  <c r="CD5" i="23"/>
  <c r="CE5" i="23"/>
  <c r="CF5" i="23"/>
  <c r="CG5" i="23"/>
  <c r="CH5" i="23"/>
  <c r="CI5" i="23"/>
  <c r="CJ5" i="23"/>
  <c r="CK5" i="23"/>
  <c r="CL5" i="23"/>
  <c r="CM5" i="23"/>
  <c r="CN5" i="23"/>
  <c r="CO5" i="23"/>
  <c r="CP5" i="23"/>
  <c r="CQ5" i="23"/>
  <c r="CR5" i="23"/>
  <c r="CS5" i="23"/>
  <c r="CT5" i="23"/>
  <c r="CU5" i="23"/>
  <c r="D6" i="23"/>
  <c r="E6" i="23"/>
  <c r="F6" i="23"/>
  <c r="G6" i="23"/>
  <c r="H6" i="23"/>
  <c r="I6" i="23"/>
  <c r="J6" i="23"/>
  <c r="K6" i="23"/>
  <c r="L6" i="23"/>
  <c r="M6" i="23"/>
  <c r="N6" i="23"/>
  <c r="O6" i="23"/>
  <c r="P6" i="23"/>
  <c r="Q6" i="23"/>
  <c r="R6" i="23"/>
  <c r="S6" i="23"/>
  <c r="T6" i="23"/>
  <c r="U6" i="23"/>
  <c r="V6" i="23"/>
  <c r="W6" i="23"/>
  <c r="X6" i="23"/>
  <c r="Y6" i="23"/>
  <c r="Z6" i="23"/>
  <c r="AA6" i="23"/>
  <c r="AB6" i="23"/>
  <c r="AC6" i="23"/>
  <c r="AD6" i="23"/>
  <c r="AE6" i="23"/>
  <c r="AF6" i="23"/>
  <c r="AG6" i="23"/>
  <c r="AH6" i="23"/>
  <c r="AI6" i="23"/>
  <c r="AJ6" i="23"/>
  <c r="AK6" i="23"/>
  <c r="AL6" i="23"/>
  <c r="AM6" i="23"/>
  <c r="AN6" i="23"/>
  <c r="AO6" i="23"/>
  <c r="AP6" i="23"/>
  <c r="AQ6" i="23"/>
  <c r="AR6" i="23"/>
  <c r="AS6" i="23"/>
  <c r="AT6" i="23"/>
  <c r="AU6" i="23"/>
  <c r="AV6" i="23"/>
  <c r="AW6" i="23"/>
  <c r="AX6" i="23"/>
  <c r="AY6" i="23"/>
  <c r="AZ6" i="23"/>
  <c r="BA6" i="23"/>
  <c r="BB6" i="23"/>
  <c r="BC6" i="23"/>
  <c r="BD6" i="23"/>
  <c r="BE6" i="23"/>
  <c r="BF6" i="23"/>
  <c r="BG6" i="23"/>
  <c r="BH6" i="23"/>
  <c r="BI6" i="23"/>
  <c r="BJ6" i="23"/>
  <c r="BK6" i="23"/>
  <c r="BL6" i="23"/>
  <c r="BM6" i="23"/>
  <c r="BN6" i="23"/>
  <c r="BO6" i="23"/>
  <c r="BP6" i="23"/>
  <c r="BQ6" i="23"/>
  <c r="BR6" i="23"/>
  <c r="BS6" i="23"/>
  <c r="BT6" i="23"/>
  <c r="BU6" i="23"/>
  <c r="BV6" i="23"/>
  <c r="BW6" i="23"/>
  <c r="BX6" i="23"/>
  <c r="BY6" i="23"/>
  <c r="BZ6" i="23"/>
  <c r="CA6" i="23"/>
  <c r="CB6" i="23"/>
  <c r="CC6" i="23"/>
  <c r="CD6" i="23"/>
  <c r="CE6" i="23"/>
  <c r="CF6" i="23"/>
  <c r="CG6" i="23"/>
  <c r="CH6" i="23"/>
  <c r="CI6" i="23"/>
  <c r="CJ6" i="23"/>
  <c r="CK6" i="23"/>
  <c r="CL6" i="23"/>
  <c r="CM6" i="23"/>
  <c r="CN6" i="23"/>
  <c r="CO6" i="23"/>
  <c r="CP6" i="23"/>
  <c r="CQ6" i="23"/>
  <c r="CR6" i="23"/>
  <c r="CS6" i="23"/>
  <c r="CT6" i="23"/>
  <c r="CU6" i="23"/>
  <c r="CA2" i="23"/>
  <c r="CB2" i="23"/>
  <c r="CC2" i="23"/>
  <c r="CD2" i="23"/>
  <c r="CE2" i="23"/>
  <c r="CF2" i="23"/>
  <c r="CG2" i="23"/>
  <c r="CH2" i="23"/>
  <c r="CI2" i="23"/>
  <c r="CJ2" i="23"/>
  <c r="CK2" i="23"/>
  <c r="CL2" i="23"/>
  <c r="CM2" i="23"/>
  <c r="CN2" i="23"/>
  <c r="CO2" i="23"/>
  <c r="CP2" i="23"/>
  <c r="CQ2" i="23"/>
  <c r="CR2" i="23"/>
  <c r="CS2" i="23"/>
  <c r="CT2" i="23"/>
  <c r="CU2" i="23"/>
  <c r="CA3" i="23"/>
  <c r="CB3" i="23"/>
  <c r="CC3" i="23"/>
  <c r="CD3" i="23"/>
  <c r="CE3" i="23"/>
  <c r="CF3" i="23"/>
  <c r="CG3" i="23"/>
  <c r="CH3" i="23"/>
  <c r="CI3" i="23"/>
  <c r="CJ3" i="23"/>
  <c r="CK3" i="23"/>
  <c r="CL3" i="23"/>
  <c r="CM3" i="23"/>
  <c r="CN3" i="23"/>
  <c r="CO3" i="23"/>
  <c r="CP3" i="23"/>
  <c r="CQ3" i="23"/>
  <c r="CR3" i="23"/>
  <c r="CS3" i="23"/>
  <c r="CT3" i="23"/>
  <c r="CU3" i="23"/>
  <c r="CA4" i="23"/>
  <c r="CB4" i="23"/>
  <c r="CC4" i="23"/>
  <c r="CD4" i="23"/>
  <c r="CE4" i="23"/>
  <c r="CF4" i="23"/>
  <c r="CG4" i="23"/>
  <c r="CH4" i="23"/>
  <c r="CI4" i="23"/>
  <c r="CJ4" i="23"/>
  <c r="CK4" i="23"/>
  <c r="CL4" i="23"/>
  <c r="CM4" i="23"/>
  <c r="CN4" i="23"/>
  <c r="CO4" i="23"/>
  <c r="CP4" i="23"/>
  <c r="CQ4" i="23"/>
  <c r="CR4" i="23"/>
  <c r="CS4" i="23"/>
  <c r="CT4" i="23"/>
  <c r="CU4"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F2" i="23"/>
  <c r="AG2" i="23"/>
  <c r="AH2" i="23"/>
  <c r="AI2" i="23"/>
  <c r="AJ2" i="23"/>
  <c r="AK2" i="23"/>
  <c r="AL2" i="23"/>
  <c r="AM2" i="23"/>
  <c r="AN2" i="23"/>
  <c r="AO2" i="23"/>
  <c r="AP2" i="23"/>
  <c r="AQ2" i="23"/>
  <c r="AR2" i="23"/>
  <c r="AS2" i="23"/>
  <c r="AT2" i="23"/>
  <c r="AU2" i="23"/>
  <c r="AV2" i="23"/>
  <c r="AW2" i="23"/>
  <c r="AX2" i="23"/>
  <c r="AY2" i="23"/>
  <c r="AZ2" i="23"/>
  <c r="BA2" i="23"/>
  <c r="BB2" i="23"/>
  <c r="BC2" i="23"/>
  <c r="BD2" i="23"/>
  <c r="BE2" i="23"/>
  <c r="BF2" i="23"/>
  <c r="BG2" i="23"/>
  <c r="BH2" i="23"/>
  <c r="BI2" i="23"/>
  <c r="BJ2" i="23"/>
  <c r="BK2" i="23"/>
  <c r="BL2" i="23"/>
  <c r="BM2" i="23"/>
  <c r="BN2" i="23"/>
  <c r="BO2" i="23"/>
  <c r="BP2" i="23"/>
  <c r="BQ2" i="23"/>
  <c r="BR2" i="23"/>
  <c r="BS2" i="23"/>
  <c r="BT2" i="23"/>
  <c r="BU2" i="23"/>
  <c r="BV2" i="23"/>
  <c r="BW2" i="23"/>
  <c r="BX2" i="23"/>
  <c r="BY2" i="23"/>
  <c r="BZ2" i="23"/>
  <c r="D3" i="23"/>
  <c r="E3" i="23"/>
  <c r="F3" i="23"/>
  <c r="G3" i="23"/>
  <c r="H3" i="23"/>
  <c r="I3" i="23"/>
  <c r="J3" i="23"/>
  <c r="K3" i="23"/>
  <c r="L3" i="23"/>
  <c r="M3" i="23"/>
  <c r="N3" i="23"/>
  <c r="O3" i="23"/>
  <c r="P3" i="23"/>
  <c r="Q3" i="23"/>
  <c r="R3" i="23"/>
  <c r="S3" i="23"/>
  <c r="T3" i="23"/>
  <c r="U3" i="23"/>
  <c r="V3" i="23"/>
  <c r="W3" i="23"/>
  <c r="X3" i="23"/>
  <c r="Y3" i="23"/>
  <c r="Z3" i="23"/>
  <c r="AA3" i="23"/>
  <c r="AB3" i="23"/>
  <c r="AC3" i="23"/>
  <c r="AD3" i="23"/>
  <c r="AE3" i="23"/>
  <c r="AF3" i="23"/>
  <c r="AG3" i="23"/>
  <c r="AH3" i="23"/>
  <c r="AI3" i="23"/>
  <c r="AJ3" i="23"/>
  <c r="AK3" i="23"/>
  <c r="AL3" i="23"/>
  <c r="AM3" i="23"/>
  <c r="AN3" i="23"/>
  <c r="AO3" i="23"/>
  <c r="AP3" i="23"/>
  <c r="AQ3" i="23"/>
  <c r="AR3" i="23"/>
  <c r="AS3" i="23"/>
  <c r="AT3" i="23"/>
  <c r="AU3" i="23"/>
  <c r="AV3" i="23"/>
  <c r="AW3" i="23"/>
  <c r="AX3" i="23"/>
  <c r="AY3" i="23"/>
  <c r="AZ3" i="23"/>
  <c r="BA3" i="23"/>
  <c r="BB3" i="23"/>
  <c r="BC3" i="23"/>
  <c r="BD3" i="23"/>
  <c r="BE3" i="23"/>
  <c r="BF3" i="23"/>
  <c r="BG3" i="23"/>
  <c r="BH3" i="23"/>
  <c r="BI3" i="23"/>
  <c r="BJ3" i="23"/>
  <c r="BK3" i="23"/>
  <c r="BL3" i="23"/>
  <c r="BM3" i="23"/>
  <c r="BN3" i="23"/>
  <c r="BO3" i="23"/>
  <c r="BP3" i="23"/>
  <c r="BQ3" i="23"/>
  <c r="BR3" i="23"/>
  <c r="BS3" i="23"/>
  <c r="BT3" i="23"/>
  <c r="BU3" i="23"/>
  <c r="BV3" i="23"/>
  <c r="BW3" i="23"/>
  <c r="BX3" i="23"/>
  <c r="BY3" i="23"/>
  <c r="BZ3" i="23"/>
  <c r="D4" i="23"/>
  <c r="E4" i="23"/>
  <c r="F4" i="23"/>
  <c r="G4" i="23"/>
  <c r="H4" i="23"/>
  <c r="I4" i="23"/>
  <c r="J4" i="23"/>
  <c r="K4" i="23"/>
  <c r="L4" i="23"/>
  <c r="M4" i="23"/>
  <c r="N4" i="23"/>
  <c r="O4" i="23"/>
  <c r="P4" i="23"/>
  <c r="Q4" i="23"/>
  <c r="R4" i="23"/>
  <c r="S4" i="23"/>
  <c r="T4" i="23"/>
  <c r="U4" i="23"/>
  <c r="V4" i="23"/>
  <c r="W4" i="23"/>
  <c r="X4" i="23"/>
  <c r="Y4" i="23"/>
  <c r="Z4" i="23"/>
  <c r="AA4" i="23"/>
  <c r="AB4" i="23"/>
  <c r="AC4" i="23"/>
  <c r="AD4" i="23"/>
  <c r="AE4" i="23"/>
  <c r="AF4" i="23"/>
  <c r="AG4" i="23"/>
  <c r="AH4" i="23"/>
  <c r="AI4" i="23"/>
  <c r="AJ4" i="23"/>
  <c r="AK4" i="23"/>
  <c r="AL4" i="23"/>
  <c r="AM4" i="23"/>
  <c r="AN4" i="23"/>
  <c r="AO4" i="23"/>
  <c r="AP4" i="23"/>
  <c r="AQ4" i="23"/>
  <c r="AR4" i="23"/>
  <c r="AS4" i="23"/>
  <c r="AT4" i="23"/>
  <c r="AU4" i="23"/>
  <c r="AV4" i="23"/>
  <c r="AW4" i="23"/>
  <c r="AX4" i="23"/>
  <c r="AY4" i="23"/>
  <c r="AZ4" i="23"/>
  <c r="BA4" i="23"/>
  <c r="BB4" i="23"/>
  <c r="BC4" i="23"/>
  <c r="BD4" i="23"/>
  <c r="BE4" i="23"/>
  <c r="BF4" i="23"/>
  <c r="BG4" i="23"/>
  <c r="BH4" i="23"/>
  <c r="BI4" i="23"/>
  <c r="BJ4" i="23"/>
  <c r="BK4" i="23"/>
  <c r="BL4" i="23"/>
  <c r="BM4" i="23"/>
  <c r="BN4" i="23"/>
  <c r="BO4" i="23"/>
  <c r="BP4" i="23"/>
  <c r="BQ4" i="23"/>
  <c r="BR4" i="23"/>
  <c r="BS4" i="23"/>
  <c r="BT4" i="23"/>
  <c r="BU4" i="23"/>
  <c r="BV4" i="23"/>
  <c r="BW4" i="23"/>
  <c r="BX4" i="23"/>
  <c r="BY4" i="23"/>
  <c r="BZ4" i="23"/>
  <c r="C4" i="23"/>
  <c r="C3" i="23"/>
  <c r="C2" i="23"/>
  <c r="H13" i="22"/>
  <c r="I13" i="22"/>
  <c r="J13" i="22"/>
  <c r="K13" i="22"/>
  <c r="L13" i="22"/>
  <c r="M13" i="22"/>
  <c r="N13" i="22"/>
  <c r="O13" i="22"/>
  <c r="P13" i="22"/>
  <c r="Q13" i="22"/>
  <c r="R13" i="22"/>
  <c r="S13" i="22"/>
  <c r="T13" i="22"/>
  <c r="U13" i="22"/>
  <c r="V13" i="22"/>
  <c r="W13" i="22"/>
  <c r="X13" i="22"/>
  <c r="Y13" i="22"/>
  <c r="Z13" i="22"/>
  <c r="AA13" i="22"/>
  <c r="AB13" i="22"/>
  <c r="AC13" i="22"/>
  <c r="AD13" i="22"/>
  <c r="AE13" i="22"/>
  <c r="AF13" i="22"/>
  <c r="AG13" i="22"/>
  <c r="AH13" i="22"/>
  <c r="AI13" i="22"/>
  <c r="AJ13" i="22"/>
  <c r="AK13" i="22"/>
  <c r="AL13" i="22"/>
  <c r="AM13" i="22"/>
  <c r="AN13" i="22"/>
  <c r="AO13" i="22"/>
  <c r="AP13" i="22"/>
  <c r="AQ13" i="22"/>
  <c r="AR13" i="22"/>
  <c r="AS13" i="22"/>
  <c r="AT13" i="22"/>
  <c r="AU13" i="22"/>
  <c r="AV13" i="22"/>
  <c r="AW13" i="22"/>
  <c r="AX13" i="22"/>
  <c r="AY13" i="22"/>
  <c r="AZ13" i="22"/>
  <c r="BA13" i="22"/>
  <c r="BB13" i="22"/>
  <c r="BC13" i="22"/>
  <c r="BD13" i="22"/>
  <c r="BE13" i="22"/>
  <c r="BF13" i="22"/>
  <c r="BG13" i="22"/>
  <c r="BH13" i="22"/>
  <c r="BI13" i="22"/>
  <c r="BJ13" i="22"/>
  <c r="BK13" i="22"/>
  <c r="BL13" i="22"/>
  <c r="BM13" i="22"/>
  <c r="BN13" i="22"/>
  <c r="BO13" i="22"/>
  <c r="BP13" i="22"/>
  <c r="BQ13" i="22"/>
  <c r="BR13" i="22"/>
  <c r="BS13" i="22"/>
  <c r="BT13" i="22"/>
  <c r="BU13" i="22"/>
  <c r="BV13" i="22"/>
  <c r="BW13" i="22"/>
  <c r="BX13" i="22"/>
  <c r="BY13" i="22"/>
  <c r="BZ13" i="22"/>
  <c r="CA13" i="22"/>
  <c r="CB13" i="22"/>
  <c r="CC13" i="22"/>
  <c r="CD13" i="22"/>
  <c r="CE13" i="22"/>
  <c r="CF13" i="22"/>
  <c r="CG13" i="22"/>
  <c r="CH13" i="22"/>
  <c r="CI13" i="22"/>
  <c r="CJ13" i="22"/>
  <c r="CK13" i="22"/>
  <c r="CL13" i="22"/>
  <c r="CM13" i="22"/>
  <c r="CN13" i="22"/>
  <c r="CO13" i="22"/>
  <c r="CP13" i="22"/>
  <c r="CQ13" i="22"/>
  <c r="CR13" i="22"/>
  <c r="CS13" i="22"/>
  <c r="CT13" i="22"/>
  <c r="CU13" i="22"/>
  <c r="CV13" i="22"/>
  <c r="CW13" i="22"/>
  <c r="CX13" i="22"/>
  <c r="H14" i="22"/>
  <c r="I14" i="22"/>
  <c r="J14" i="22"/>
  <c r="K14" i="22"/>
  <c r="L14" i="22"/>
  <c r="M14" i="22"/>
  <c r="N14" i="22"/>
  <c r="O14" i="22"/>
  <c r="P14" i="22"/>
  <c r="Q14" i="22"/>
  <c r="R14" i="22"/>
  <c r="S14" i="22"/>
  <c r="T14" i="22"/>
  <c r="U14" i="22"/>
  <c r="V14" i="22"/>
  <c r="W14" i="22"/>
  <c r="X14" i="22"/>
  <c r="Y14" i="22"/>
  <c r="Z14" i="22"/>
  <c r="AA14" i="22"/>
  <c r="AB14" i="22"/>
  <c r="AC14" i="22"/>
  <c r="AD14" i="22"/>
  <c r="AE14" i="22"/>
  <c r="AF14" i="22"/>
  <c r="AG14" i="22"/>
  <c r="AH14" i="22"/>
  <c r="AI14" i="22"/>
  <c r="AJ14" i="22"/>
  <c r="AK14" i="22"/>
  <c r="AL14" i="22"/>
  <c r="AM14" i="22"/>
  <c r="AN14" i="22"/>
  <c r="AO14" i="22"/>
  <c r="AP14" i="22"/>
  <c r="AQ14" i="22"/>
  <c r="AR14" i="22"/>
  <c r="AS14" i="22"/>
  <c r="AT14" i="22"/>
  <c r="AU14" i="22"/>
  <c r="AV14" i="22"/>
  <c r="AW14" i="22"/>
  <c r="AX14" i="22"/>
  <c r="AY14" i="22"/>
  <c r="AZ14" i="22"/>
  <c r="BA14" i="22"/>
  <c r="BB14" i="22"/>
  <c r="BC14" i="22"/>
  <c r="BD14" i="22"/>
  <c r="BE14" i="22"/>
  <c r="BF14" i="22"/>
  <c r="BG14" i="22"/>
  <c r="BH14" i="22"/>
  <c r="BI14" i="22"/>
  <c r="BJ14" i="22"/>
  <c r="BK14" i="22"/>
  <c r="BL14" i="22"/>
  <c r="BM14" i="22"/>
  <c r="BN14" i="22"/>
  <c r="BO14" i="22"/>
  <c r="BP14" i="22"/>
  <c r="BQ14" i="22"/>
  <c r="BR14" i="22"/>
  <c r="BS14" i="22"/>
  <c r="BT14" i="22"/>
  <c r="BU14" i="22"/>
  <c r="BV14" i="22"/>
  <c r="BW14" i="22"/>
  <c r="BX14" i="22"/>
  <c r="BY14" i="22"/>
  <c r="BZ14" i="22"/>
  <c r="CA14" i="22"/>
  <c r="CB14" i="22"/>
  <c r="CC14" i="22"/>
  <c r="CD14" i="22"/>
  <c r="CE14" i="22"/>
  <c r="CF14" i="22"/>
  <c r="CG14" i="22"/>
  <c r="CH14" i="22"/>
  <c r="CI14" i="22"/>
  <c r="CJ14" i="22"/>
  <c r="CK14" i="22"/>
  <c r="CL14" i="22"/>
  <c r="CM14" i="22"/>
  <c r="CN14" i="22"/>
  <c r="CO14" i="22"/>
  <c r="CP14" i="22"/>
  <c r="CQ14" i="22"/>
  <c r="CR14" i="22"/>
  <c r="CS14" i="22"/>
  <c r="CT14" i="22"/>
  <c r="CU14" i="22"/>
  <c r="CV14" i="22"/>
  <c r="CW14" i="22"/>
  <c r="CX14" i="22"/>
  <c r="H15" i="22"/>
  <c r="I15" i="22"/>
  <c r="J15" i="22"/>
  <c r="K15" i="22"/>
  <c r="L15" i="22"/>
  <c r="M15" i="22"/>
  <c r="N15" i="22"/>
  <c r="O15" i="22"/>
  <c r="P15" i="22"/>
  <c r="Q15" i="22"/>
  <c r="R15" i="22"/>
  <c r="S15" i="22"/>
  <c r="T15" i="22"/>
  <c r="U15" i="22"/>
  <c r="V15" i="22"/>
  <c r="W15" i="22"/>
  <c r="X15" i="22"/>
  <c r="Y15" i="22"/>
  <c r="Z15" i="22"/>
  <c r="AA15" i="22"/>
  <c r="AB15" i="22"/>
  <c r="AC15" i="22"/>
  <c r="AD15" i="22"/>
  <c r="AE15" i="22"/>
  <c r="AF15" i="22"/>
  <c r="AG15" i="22"/>
  <c r="AH15" i="22"/>
  <c r="AI15" i="22"/>
  <c r="AJ15" i="22"/>
  <c r="AK15" i="22"/>
  <c r="AL15" i="22"/>
  <c r="AM15" i="22"/>
  <c r="AN15" i="22"/>
  <c r="AO15" i="22"/>
  <c r="AP15" i="22"/>
  <c r="AQ15" i="22"/>
  <c r="AR15" i="22"/>
  <c r="AS15" i="22"/>
  <c r="AT15" i="22"/>
  <c r="AU15" i="22"/>
  <c r="AV15" i="22"/>
  <c r="AW15" i="22"/>
  <c r="AX15" i="22"/>
  <c r="AY15" i="22"/>
  <c r="AZ15" i="22"/>
  <c r="BA15" i="22"/>
  <c r="BB15" i="22"/>
  <c r="BC15" i="22"/>
  <c r="BD15" i="22"/>
  <c r="BE15" i="22"/>
  <c r="BF15" i="22"/>
  <c r="BG15" i="22"/>
  <c r="BH15" i="22"/>
  <c r="BI15" i="22"/>
  <c r="BJ15" i="22"/>
  <c r="BK15" i="22"/>
  <c r="BL15" i="22"/>
  <c r="BM15" i="22"/>
  <c r="BN15" i="22"/>
  <c r="BO15" i="22"/>
  <c r="BP15" i="22"/>
  <c r="BQ15" i="22"/>
  <c r="BR15" i="22"/>
  <c r="BS15" i="22"/>
  <c r="BT15" i="22"/>
  <c r="BU15" i="22"/>
  <c r="BV15" i="22"/>
  <c r="BW15" i="22"/>
  <c r="BX15" i="22"/>
  <c r="BY15" i="22"/>
  <c r="BZ15" i="22"/>
  <c r="CA15" i="22"/>
  <c r="CB15" i="22"/>
  <c r="CC15" i="22"/>
  <c r="CD15" i="22"/>
  <c r="CE15" i="22"/>
  <c r="CF15" i="22"/>
  <c r="CG15" i="22"/>
  <c r="CH15" i="22"/>
  <c r="CI15" i="22"/>
  <c r="CJ15" i="22"/>
  <c r="CK15" i="22"/>
  <c r="CL15" i="22"/>
  <c r="CM15" i="22"/>
  <c r="CN15" i="22"/>
  <c r="CO15" i="22"/>
  <c r="CP15" i="22"/>
  <c r="CQ15" i="22"/>
  <c r="CR15" i="22"/>
  <c r="CS15" i="22"/>
  <c r="CT15" i="22"/>
  <c r="CU15" i="22"/>
  <c r="CV15" i="22"/>
  <c r="CW15" i="22"/>
  <c r="CX15" i="22"/>
  <c r="G15" i="22"/>
  <c r="G14" i="22"/>
  <c r="G13" i="22"/>
  <c r="J8" i="22"/>
  <c r="K8" i="22"/>
  <c r="L8" i="22"/>
  <c r="M8" i="22"/>
  <c r="N8" i="22"/>
  <c r="O8" i="22"/>
  <c r="P8" i="22"/>
  <c r="Q8" i="22"/>
  <c r="R8" i="22"/>
  <c r="S8" i="22"/>
  <c r="T8" i="22"/>
  <c r="U8" i="22"/>
  <c r="V8" i="22"/>
  <c r="W8" i="22"/>
  <c r="X8" i="22"/>
  <c r="Y8" i="22"/>
  <c r="Z8" i="22"/>
  <c r="AA8" i="22"/>
  <c r="AB8" i="22"/>
  <c r="AC8" i="22"/>
  <c r="AD8" i="22"/>
  <c r="AE8" i="22"/>
  <c r="AF8" i="22"/>
  <c r="AG8" i="22"/>
  <c r="AH8" i="22"/>
  <c r="AI8" i="22"/>
  <c r="AJ8" i="22"/>
  <c r="AK8" i="22"/>
  <c r="AL8" i="22"/>
  <c r="AM8" i="22"/>
  <c r="AN8" i="22"/>
  <c r="AO8" i="22"/>
  <c r="AP8" i="22"/>
  <c r="AQ8" i="22"/>
  <c r="AR8" i="22"/>
  <c r="AS8" i="22"/>
  <c r="AT8" i="22"/>
  <c r="AU8" i="22"/>
  <c r="AV8" i="22"/>
  <c r="AW8" i="22"/>
  <c r="AX8" i="22"/>
  <c r="AY8" i="22"/>
  <c r="AZ8" i="22"/>
  <c r="BA8" i="22"/>
  <c r="BB8" i="22"/>
  <c r="BC8" i="22"/>
  <c r="BD8" i="22"/>
  <c r="BE8" i="22"/>
  <c r="BF8" i="22"/>
  <c r="BG8" i="22"/>
  <c r="BH8" i="22"/>
  <c r="BI8" i="22"/>
  <c r="BJ8" i="22"/>
  <c r="BK8" i="22"/>
  <c r="BL8" i="22"/>
  <c r="BM8" i="22"/>
  <c r="BN8" i="22"/>
  <c r="BO8" i="22"/>
  <c r="BP8" i="22"/>
  <c r="BQ8" i="22"/>
  <c r="BR8" i="22"/>
  <c r="BS8" i="22"/>
  <c r="BT8" i="22"/>
  <c r="BU8" i="22"/>
  <c r="BV8" i="22"/>
  <c r="BW8" i="22"/>
  <c r="BX8" i="22"/>
  <c r="BY8" i="22"/>
  <c r="BZ8" i="22"/>
  <c r="CA8" i="22"/>
  <c r="CB8" i="22"/>
  <c r="CC8" i="22"/>
  <c r="CD8" i="22"/>
  <c r="CE8" i="22"/>
  <c r="CF8" i="22"/>
  <c r="CG8" i="22"/>
  <c r="CH8" i="22"/>
  <c r="CI8" i="22"/>
  <c r="CJ8" i="22"/>
  <c r="CK8" i="22"/>
  <c r="CL8" i="22"/>
  <c r="CM8" i="22"/>
  <c r="CN8" i="22"/>
  <c r="CO8" i="22"/>
  <c r="CP8" i="22"/>
  <c r="CQ8" i="22"/>
  <c r="CR8" i="22"/>
  <c r="CS8" i="22"/>
  <c r="CT8" i="22"/>
  <c r="CU8" i="22"/>
  <c r="CV8" i="22"/>
  <c r="CW8" i="22"/>
  <c r="CX8" i="22"/>
  <c r="J9" i="22"/>
  <c r="K9" i="22"/>
  <c r="L9" i="22"/>
  <c r="M9" i="22"/>
  <c r="N9" i="22"/>
  <c r="O9" i="22"/>
  <c r="P9" i="22"/>
  <c r="Q9" i="22"/>
  <c r="R9" i="22"/>
  <c r="S9" i="22"/>
  <c r="T9" i="22"/>
  <c r="U9" i="22"/>
  <c r="V9" i="22"/>
  <c r="W9" i="22"/>
  <c r="X9" i="22"/>
  <c r="Y9" i="22"/>
  <c r="Z9" i="22"/>
  <c r="AA9" i="22"/>
  <c r="AB9" i="22"/>
  <c r="AC9" i="22"/>
  <c r="AD9" i="22"/>
  <c r="AE9" i="22"/>
  <c r="AF9" i="22"/>
  <c r="AG9" i="22"/>
  <c r="AH9" i="22"/>
  <c r="AI9" i="22"/>
  <c r="AJ9" i="22"/>
  <c r="AK9" i="22"/>
  <c r="AL9" i="22"/>
  <c r="AM9" i="22"/>
  <c r="AN9" i="22"/>
  <c r="AO9" i="22"/>
  <c r="AP9" i="22"/>
  <c r="AQ9" i="22"/>
  <c r="AR9" i="22"/>
  <c r="AS9" i="22"/>
  <c r="AT9" i="22"/>
  <c r="AU9" i="22"/>
  <c r="AV9" i="22"/>
  <c r="AW9" i="22"/>
  <c r="AX9" i="22"/>
  <c r="AY9" i="22"/>
  <c r="AZ9" i="22"/>
  <c r="BA9" i="22"/>
  <c r="BB9" i="22"/>
  <c r="BC9" i="22"/>
  <c r="BD9" i="22"/>
  <c r="BE9" i="22"/>
  <c r="BF9" i="22"/>
  <c r="BG9" i="22"/>
  <c r="BH9" i="22"/>
  <c r="BI9" i="22"/>
  <c r="BJ9" i="22"/>
  <c r="BK9" i="22"/>
  <c r="BL9" i="22"/>
  <c r="BM9" i="22"/>
  <c r="BN9" i="22"/>
  <c r="BO9" i="22"/>
  <c r="BP9" i="22"/>
  <c r="BQ9" i="22"/>
  <c r="BR9" i="22"/>
  <c r="BS9" i="22"/>
  <c r="BT9" i="22"/>
  <c r="BU9" i="22"/>
  <c r="BV9" i="22"/>
  <c r="BW9" i="22"/>
  <c r="BX9" i="22"/>
  <c r="BY9" i="22"/>
  <c r="BZ9" i="22"/>
  <c r="CA9" i="22"/>
  <c r="CB9" i="22"/>
  <c r="CC9" i="22"/>
  <c r="CD9" i="22"/>
  <c r="CE9" i="22"/>
  <c r="CF9" i="22"/>
  <c r="CG9" i="22"/>
  <c r="CH9" i="22"/>
  <c r="CI9" i="22"/>
  <c r="CJ9" i="22"/>
  <c r="CK9" i="22"/>
  <c r="CL9" i="22"/>
  <c r="CM9" i="22"/>
  <c r="CN9" i="22"/>
  <c r="CO9" i="22"/>
  <c r="CP9" i="22"/>
  <c r="CQ9" i="22"/>
  <c r="CR9" i="22"/>
  <c r="CS9" i="22"/>
  <c r="CT9" i="22"/>
  <c r="CU9" i="22"/>
  <c r="CV9" i="22"/>
  <c r="CW9" i="22"/>
  <c r="CX9" i="22"/>
  <c r="J10" i="22"/>
  <c r="K10" i="22"/>
  <c r="L10" i="22"/>
  <c r="M10" i="22"/>
  <c r="N10" i="22"/>
  <c r="O10" i="22"/>
  <c r="P10" i="22"/>
  <c r="Q10" i="22"/>
  <c r="R10" i="22"/>
  <c r="S10" i="22"/>
  <c r="T10" i="22"/>
  <c r="U10" i="22"/>
  <c r="V10" i="22"/>
  <c r="W10" i="22"/>
  <c r="X10" i="22"/>
  <c r="Y10" i="22"/>
  <c r="Z10" i="22"/>
  <c r="AA10" i="22"/>
  <c r="AB10" i="22"/>
  <c r="AC10" i="22"/>
  <c r="AD10" i="22"/>
  <c r="AE10" i="22"/>
  <c r="AF10" i="22"/>
  <c r="AG10" i="22"/>
  <c r="AH10" i="22"/>
  <c r="AI10" i="22"/>
  <c r="AJ10" i="22"/>
  <c r="AK10" i="22"/>
  <c r="AL10" i="22"/>
  <c r="AM10" i="22"/>
  <c r="AN10" i="22"/>
  <c r="AO10" i="22"/>
  <c r="AP10" i="22"/>
  <c r="AQ10" i="22"/>
  <c r="AR10" i="22"/>
  <c r="AS10" i="22"/>
  <c r="AT10" i="22"/>
  <c r="AU10" i="22"/>
  <c r="AV10" i="22"/>
  <c r="AW10" i="22"/>
  <c r="AX10" i="22"/>
  <c r="AY10" i="22"/>
  <c r="AZ10" i="22"/>
  <c r="BA10" i="22"/>
  <c r="BB10" i="22"/>
  <c r="BC10" i="22"/>
  <c r="BD10" i="22"/>
  <c r="BE10" i="22"/>
  <c r="BF10" i="22"/>
  <c r="BG10" i="22"/>
  <c r="BH10" i="22"/>
  <c r="BI10" i="22"/>
  <c r="BJ10" i="22"/>
  <c r="BK10" i="22"/>
  <c r="BL10" i="22"/>
  <c r="BM10" i="22"/>
  <c r="BN10" i="22"/>
  <c r="BO10" i="22"/>
  <c r="BP10" i="22"/>
  <c r="BQ10" i="22"/>
  <c r="BR10" i="22"/>
  <c r="BS10" i="22"/>
  <c r="BT10" i="22"/>
  <c r="BU10" i="22"/>
  <c r="BV10" i="22"/>
  <c r="BW10" i="22"/>
  <c r="BX10" i="22"/>
  <c r="BY10" i="22"/>
  <c r="BZ10" i="22"/>
  <c r="CA10" i="22"/>
  <c r="CB10" i="22"/>
  <c r="CC10" i="22"/>
  <c r="CD10" i="22"/>
  <c r="CE10" i="22"/>
  <c r="CF10" i="22"/>
  <c r="CG10" i="22"/>
  <c r="CH10" i="22"/>
  <c r="CI10" i="22"/>
  <c r="CJ10" i="22"/>
  <c r="CK10" i="22"/>
  <c r="CL10" i="22"/>
  <c r="CM10" i="22"/>
  <c r="CN10" i="22"/>
  <c r="CO10" i="22"/>
  <c r="CP10" i="22"/>
  <c r="CQ10" i="22"/>
  <c r="CR10" i="22"/>
  <c r="CS10" i="22"/>
  <c r="CT10" i="22"/>
  <c r="CU10" i="22"/>
  <c r="CV10" i="22"/>
  <c r="CW10" i="22"/>
  <c r="CX10" i="22"/>
  <c r="G8" i="22"/>
  <c r="H8" i="22"/>
  <c r="I8" i="22"/>
  <c r="G9" i="22"/>
  <c r="H9" i="22"/>
  <c r="I9" i="22"/>
  <c r="G10" i="22"/>
  <c r="H10" i="22"/>
  <c r="I10" i="22"/>
  <c r="H2" i="22"/>
  <c r="I2" i="22" s="1"/>
  <c r="J2" i="22" s="1"/>
  <c r="K2" i="22" s="1"/>
  <c r="L2" i="22" s="1"/>
  <c r="M2" i="22" s="1"/>
  <c r="N2" i="22" s="1"/>
  <c r="O2" i="22" s="1"/>
  <c r="P2" i="22" s="1"/>
  <c r="Q2" i="22" s="1"/>
  <c r="R2" i="22" s="1"/>
  <c r="S2" i="22" s="1"/>
  <c r="T2" i="22" s="1"/>
  <c r="U2" i="22" s="1"/>
  <c r="V2" i="22" s="1"/>
  <c r="W2" i="22" s="1"/>
  <c r="X2" i="22" s="1"/>
  <c r="Y2" i="22" s="1"/>
  <c r="Z2" i="22" s="1"/>
  <c r="AA2" i="22" s="1"/>
  <c r="AB2" i="22" s="1"/>
  <c r="AC2" i="22" s="1"/>
  <c r="AD2" i="22" s="1"/>
  <c r="AE2" i="22" s="1"/>
  <c r="AF2" i="22" s="1"/>
  <c r="AG2" i="22" s="1"/>
  <c r="AH2" i="22" s="1"/>
  <c r="AI2" i="22" s="1"/>
  <c r="AJ2" i="22" s="1"/>
  <c r="AK2" i="22" s="1"/>
  <c r="AL2" i="22" s="1"/>
  <c r="AM2" i="22" s="1"/>
  <c r="AN2" i="22" s="1"/>
  <c r="AO2" i="22" s="1"/>
  <c r="AP2" i="22" s="1"/>
  <c r="AQ2" i="22" s="1"/>
  <c r="AR2" i="22" s="1"/>
  <c r="AS2" i="22" s="1"/>
  <c r="AT2" i="22" s="1"/>
  <c r="AU2" i="22" s="1"/>
  <c r="AV2" i="22" s="1"/>
  <c r="AW2" i="22" s="1"/>
  <c r="AX2" i="22" s="1"/>
  <c r="AY2" i="22" s="1"/>
  <c r="AZ2" i="22" s="1"/>
  <c r="BA2" i="22" s="1"/>
  <c r="BB2" i="22" s="1"/>
  <c r="BC2" i="22" s="1"/>
  <c r="BD2" i="22" s="1"/>
  <c r="BE2" i="22" s="1"/>
  <c r="BF2" i="22" s="1"/>
  <c r="BG2" i="22" s="1"/>
  <c r="BH2" i="22" s="1"/>
  <c r="BI2" i="22" s="1"/>
  <c r="BJ2" i="22" s="1"/>
  <c r="BK2" i="22" s="1"/>
  <c r="BL2" i="22" s="1"/>
  <c r="BM2" i="22" s="1"/>
  <c r="BN2" i="22" s="1"/>
  <c r="BO2" i="22" s="1"/>
  <c r="BP2" i="22" s="1"/>
  <c r="BQ2" i="22" s="1"/>
  <c r="BR2" i="22" s="1"/>
  <c r="BS2" i="22" s="1"/>
  <c r="BT2" i="22" s="1"/>
  <c r="BU2" i="22" s="1"/>
  <c r="BV2" i="22" s="1"/>
  <c r="BW2" i="22" s="1"/>
  <c r="BX2" i="22" s="1"/>
  <c r="BY2" i="22" s="1"/>
  <c r="BZ2" i="22" s="1"/>
  <c r="CA2" i="22" s="1"/>
  <c r="CB2" i="22" s="1"/>
  <c r="CC2" i="22" s="1"/>
  <c r="CD2" i="22" s="1"/>
  <c r="CE2" i="22" s="1"/>
  <c r="CF2" i="22" s="1"/>
  <c r="CG2" i="22" s="1"/>
  <c r="CH2" i="22" s="1"/>
  <c r="CI2" i="22" s="1"/>
  <c r="CJ2" i="22" s="1"/>
  <c r="CK2" i="22" s="1"/>
  <c r="CL2" i="22" s="1"/>
  <c r="CM2" i="22" s="1"/>
  <c r="CN2" i="22" s="1"/>
  <c r="CO2" i="22" s="1"/>
  <c r="CP2" i="22" s="1"/>
  <c r="CQ2" i="22" s="1"/>
  <c r="CR2" i="22" s="1"/>
  <c r="CS2" i="22" s="1"/>
  <c r="CT2" i="22" s="1"/>
  <c r="CU2" i="22" s="1"/>
  <c r="CV2" i="22" s="1"/>
  <c r="CW2" i="22" s="1"/>
  <c r="CX2" i="22" s="1"/>
  <c r="H3" i="22"/>
  <c r="I3" i="22"/>
  <c r="J3" i="22"/>
  <c r="K3" i="22"/>
  <c r="L3" i="22"/>
  <c r="M3" i="22"/>
  <c r="N3" i="22"/>
  <c r="O3" i="22"/>
  <c r="P3" i="22"/>
  <c r="Q3" i="22"/>
  <c r="R3" i="22"/>
  <c r="S3" i="22"/>
  <c r="T3" i="22"/>
  <c r="U3" i="22"/>
  <c r="V3" i="22"/>
  <c r="W3" i="22"/>
  <c r="X3" i="22"/>
  <c r="Y3" i="22"/>
  <c r="Z3" i="22"/>
  <c r="AA3" i="22"/>
  <c r="AB3" i="22"/>
  <c r="AC3" i="22"/>
  <c r="AD3" i="22"/>
  <c r="AE3" i="22"/>
  <c r="AF3" i="22"/>
  <c r="AG3" i="22"/>
  <c r="AH3" i="22"/>
  <c r="AI3" i="22"/>
  <c r="AJ3" i="22"/>
  <c r="AK3" i="22"/>
  <c r="AL3" i="22"/>
  <c r="AM3" i="22"/>
  <c r="AN3" i="22"/>
  <c r="AO3" i="22"/>
  <c r="AP3" i="22"/>
  <c r="AQ3" i="22"/>
  <c r="AR3" i="22"/>
  <c r="AS3" i="22"/>
  <c r="AT3" i="22"/>
  <c r="AU3" i="22"/>
  <c r="AV3" i="22"/>
  <c r="AW3" i="22"/>
  <c r="AX3" i="22"/>
  <c r="AY3" i="22"/>
  <c r="AZ3" i="22"/>
  <c r="BA3" i="22"/>
  <c r="BB3" i="22"/>
  <c r="BC3" i="22"/>
  <c r="BD3" i="22"/>
  <c r="BE3" i="22"/>
  <c r="BF3" i="22"/>
  <c r="BG3" i="22"/>
  <c r="BH3" i="22"/>
  <c r="BI3" i="22"/>
  <c r="BJ3" i="22"/>
  <c r="BK3" i="22"/>
  <c r="BL3" i="22"/>
  <c r="BM3" i="22"/>
  <c r="BN3" i="22"/>
  <c r="BO3" i="22"/>
  <c r="BP3" i="22"/>
  <c r="BQ3" i="22"/>
  <c r="BR3" i="22"/>
  <c r="BS3" i="22"/>
  <c r="BT3" i="22"/>
  <c r="BU3" i="22"/>
  <c r="BV3" i="22"/>
  <c r="BW3" i="22"/>
  <c r="BX3" i="22"/>
  <c r="BY3" i="22"/>
  <c r="BZ3" i="22"/>
  <c r="CA3" i="22"/>
  <c r="CB3" i="22"/>
  <c r="CC3" i="22"/>
  <c r="CD3" i="22"/>
  <c r="CE3" i="22"/>
  <c r="CF3" i="22"/>
  <c r="CG3" i="22"/>
  <c r="CH3" i="22"/>
  <c r="CI3" i="22"/>
  <c r="CJ3" i="22"/>
  <c r="CK3" i="22"/>
  <c r="CL3" i="22"/>
  <c r="CM3" i="22"/>
  <c r="CN3" i="22"/>
  <c r="CO3" i="22"/>
  <c r="CP3" i="22"/>
  <c r="CQ3" i="22"/>
  <c r="CR3" i="22"/>
  <c r="CS3" i="22"/>
  <c r="CT3" i="22"/>
  <c r="CU3" i="22"/>
  <c r="CV3" i="22"/>
  <c r="CW3" i="22"/>
  <c r="CX3" i="22"/>
  <c r="H4" i="22"/>
  <c r="I4" i="22"/>
  <c r="J4" i="22"/>
  <c r="K4" i="22"/>
  <c r="L4" i="22"/>
  <c r="M4" i="22"/>
  <c r="N4" i="22"/>
  <c r="O4" i="22"/>
  <c r="P4" i="22"/>
  <c r="Q4" i="22"/>
  <c r="R4" i="22"/>
  <c r="S4" i="22"/>
  <c r="T4" i="22"/>
  <c r="U4" i="22"/>
  <c r="V4" i="22"/>
  <c r="W4" i="22"/>
  <c r="X4" i="22"/>
  <c r="Y4" i="22"/>
  <c r="Z4" i="22"/>
  <c r="AA4" i="22"/>
  <c r="AB4" i="22"/>
  <c r="AC4" i="22"/>
  <c r="AD4" i="22"/>
  <c r="AE4" i="22"/>
  <c r="AF4" i="22"/>
  <c r="AG4" i="22"/>
  <c r="AH4" i="22"/>
  <c r="AI4" i="22"/>
  <c r="AJ4" i="22"/>
  <c r="AK4" i="22"/>
  <c r="AL4" i="22"/>
  <c r="AM4" i="22"/>
  <c r="AN4" i="22"/>
  <c r="AO4" i="22"/>
  <c r="AP4" i="22"/>
  <c r="AQ4" i="22"/>
  <c r="AR4" i="22"/>
  <c r="AS4" i="22"/>
  <c r="AT4" i="22"/>
  <c r="AU4" i="22"/>
  <c r="AV4" i="22"/>
  <c r="AW4" i="22"/>
  <c r="AX4" i="22"/>
  <c r="AY4" i="22"/>
  <c r="AZ4" i="22"/>
  <c r="BA4" i="22"/>
  <c r="BB4" i="22"/>
  <c r="BC4" i="22"/>
  <c r="BD4" i="22"/>
  <c r="BE4" i="22"/>
  <c r="BF4" i="22"/>
  <c r="BG4" i="22"/>
  <c r="BH4" i="22"/>
  <c r="BI4" i="22"/>
  <c r="BJ4" i="22"/>
  <c r="BK4" i="22"/>
  <c r="BL4" i="22"/>
  <c r="BM4" i="22"/>
  <c r="BN4" i="22"/>
  <c r="BO4" i="22"/>
  <c r="BP4" i="22"/>
  <c r="BQ4" i="22"/>
  <c r="BR4" i="22"/>
  <c r="BS4" i="22"/>
  <c r="BT4" i="22"/>
  <c r="BU4" i="22"/>
  <c r="BV4" i="22"/>
  <c r="BW4" i="22"/>
  <c r="BX4" i="22"/>
  <c r="BY4" i="22"/>
  <c r="BZ4" i="22"/>
  <c r="CA4" i="22"/>
  <c r="CB4" i="22"/>
  <c r="CC4" i="22"/>
  <c r="CD4" i="22"/>
  <c r="CE4" i="22"/>
  <c r="CF4" i="22"/>
  <c r="CG4" i="22"/>
  <c r="CH4" i="22"/>
  <c r="CI4" i="22"/>
  <c r="CJ4" i="22"/>
  <c r="CK4" i="22"/>
  <c r="CL4" i="22"/>
  <c r="CM4" i="22"/>
  <c r="CN4" i="22"/>
  <c r="CO4" i="22"/>
  <c r="CP4" i="22"/>
  <c r="CQ4" i="22"/>
  <c r="CR4" i="22"/>
  <c r="CS4" i="22"/>
  <c r="CT4" i="22"/>
  <c r="CU4" i="22"/>
  <c r="CV4" i="22"/>
  <c r="CW4" i="22"/>
  <c r="CX4" i="22"/>
  <c r="H5" i="22"/>
  <c r="I5" i="22"/>
  <c r="J5" i="22"/>
  <c r="K5" i="22"/>
  <c r="L5" i="22"/>
  <c r="M5" i="22"/>
  <c r="N5" i="22"/>
  <c r="O5" i="22"/>
  <c r="P5" i="22"/>
  <c r="Q5" i="22"/>
  <c r="R5" i="22"/>
  <c r="S5" i="22"/>
  <c r="T5" i="22"/>
  <c r="U5" i="22"/>
  <c r="V5" i="22"/>
  <c r="W5" i="22"/>
  <c r="X5" i="22"/>
  <c r="Y5" i="22"/>
  <c r="Z5" i="22"/>
  <c r="AA5" i="22"/>
  <c r="AB5" i="22"/>
  <c r="AC5" i="22"/>
  <c r="AD5" i="22"/>
  <c r="AE5" i="22"/>
  <c r="AF5" i="22"/>
  <c r="AG5" i="22"/>
  <c r="AH5" i="22"/>
  <c r="AI5" i="22"/>
  <c r="AJ5" i="22"/>
  <c r="AK5" i="22"/>
  <c r="AL5" i="22"/>
  <c r="AM5" i="22"/>
  <c r="AN5" i="22"/>
  <c r="AO5" i="22"/>
  <c r="AP5" i="22"/>
  <c r="AQ5" i="22"/>
  <c r="AR5" i="22"/>
  <c r="AS5" i="22"/>
  <c r="AT5" i="22"/>
  <c r="AU5" i="22"/>
  <c r="AV5" i="22"/>
  <c r="AW5" i="22"/>
  <c r="AX5" i="22"/>
  <c r="AY5" i="22"/>
  <c r="AZ5" i="22"/>
  <c r="BA5" i="22"/>
  <c r="BB5" i="22"/>
  <c r="BC5" i="22"/>
  <c r="BD5" i="22"/>
  <c r="BE5" i="22"/>
  <c r="BF5" i="22"/>
  <c r="BG5" i="22"/>
  <c r="BH5" i="22"/>
  <c r="BI5" i="22"/>
  <c r="BJ5" i="22"/>
  <c r="BK5" i="22"/>
  <c r="BL5" i="22"/>
  <c r="BM5" i="22"/>
  <c r="BN5" i="22"/>
  <c r="BO5" i="22"/>
  <c r="BP5" i="22"/>
  <c r="BQ5" i="22"/>
  <c r="BR5" i="22"/>
  <c r="BS5" i="22"/>
  <c r="BT5" i="22"/>
  <c r="BU5" i="22"/>
  <c r="BV5" i="22"/>
  <c r="BW5" i="22"/>
  <c r="BX5" i="22"/>
  <c r="BY5" i="22"/>
  <c r="BZ5" i="22"/>
  <c r="CA5" i="22"/>
  <c r="CB5" i="22"/>
  <c r="CC5" i="22"/>
  <c r="CD5" i="22"/>
  <c r="CE5" i="22"/>
  <c r="CF5" i="22"/>
  <c r="CG5" i="22"/>
  <c r="CH5" i="22"/>
  <c r="CI5" i="22"/>
  <c r="CJ5" i="22"/>
  <c r="CK5" i="22"/>
  <c r="CL5" i="22"/>
  <c r="CM5" i="22"/>
  <c r="CN5" i="22"/>
  <c r="CO5" i="22"/>
  <c r="CP5" i="22"/>
  <c r="CQ5" i="22"/>
  <c r="CR5" i="22"/>
  <c r="CS5" i="22"/>
  <c r="CT5" i="22"/>
  <c r="CU5" i="22"/>
  <c r="CV5" i="22"/>
  <c r="CW5" i="22"/>
  <c r="CX5" i="22"/>
  <c r="F5" i="22"/>
  <c r="G5" i="22"/>
  <c r="G3" i="22"/>
  <c r="E4" i="22"/>
  <c r="F4" i="22"/>
  <c r="G4" i="22"/>
  <c r="F2" i="22"/>
  <c r="G2" i="22"/>
  <c r="E2" i="22"/>
  <c r="D4" i="22"/>
  <c r="D38" i="16" l="1"/>
  <c r="E38" i="16"/>
  <c r="F38" i="16"/>
  <c r="G38" i="16"/>
  <c r="H38" i="16"/>
  <c r="I38" i="16"/>
  <c r="J38" i="16"/>
  <c r="K38" i="16"/>
  <c r="L38" i="16"/>
  <c r="M38" i="16"/>
  <c r="N38" i="16"/>
  <c r="O38" i="16"/>
  <c r="P38" i="16"/>
  <c r="Q38" i="16"/>
  <c r="R38" i="16"/>
  <c r="S38" i="16"/>
  <c r="T38" i="16"/>
  <c r="U38" i="16"/>
  <c r="V38" i="16"/>
  <c r="W38" i="16"/>
  <c r="X38" i="16"/>
  <c r="Y38" i="16"/>
  <c r="Z38" i="16"/>
  <c r="AA38" i="16"/>
  <c r="AB38" i="16"/>
  <c r="AC38" i="16"/>
  <c r="AD38" i="16"/>
  <c r="AE38" i="16"/>
  <c r="AF38" i="16"/>
  <c r="AG38" i="16"/>
  <c r="AH38" i="16"/>
  <c r="AI38" i="16"/>
  <c r="AJ38" i="16"/>
  <c r="AK38" i="16"/>
  <c r="AL38" i="16"/>
  <c r="AM38" i="16"/>
  <c r="AN38" i="16"/>
  <c r="AO38" i="16"/>
  <c r="AP38" i="16"/>
  <c r="AQ38" i="16"/>
  <c r="AR38" i="16"/>
  <c r="AS38" i="16"/>
  <c r="AT38" i="16"/>
  <c r="AU38" i="16"/>
  <c r="AV38" i="16"/>
  <c r="AW38" i="16"/>
  <c r="AX38" i="16"/>
  <c r="AY38" i="16"/>
  <c r="AZ38" i="16"/>
  <c r="BA38" i="16"/>
  <c r="BB38" i="16"/>
  <c r="BC38" i="16"/>
  <c r="BD38" i="16"/>
  <c r="BE38" i="16"/>
  <c r="BF38" i="16"/>
  <c r="BG38" i="16"/>
  <c r="BH38" i="16"/>
  <c r="BI38" i="16"/>
  <c r="BJ38" i="16"/>
  <c r="BK38" i="16"/>
  <c r="BL38" i="16"/>
  <c r="BM38" i="16"/>
  <c r="BN38" i="16"/>
  <c r="BO38" i="16"/>
  <c r="BP38" i="16"/>
  <c r="BQ38" i="16"/>
  <c r="BR38" i="16"/>
  <c r="BS38" i="16"/>
  <c r="BT38" i="16"/>
  <c r="BU38" i="16"/>
  <c r="BV38" i="16"/>
  <c r="BW38" i="16"/>
  <c r="BX38" i="16"/>
  <c r="BY38" i="16"/>
  <c r="BZ38" i="16"/>
  <c r="CA38" i="16"/>
  <c r="CB38" i="16"/>
  <c r="CC38" i="16"/>
  <c r="CD38" i="16"/>
  <c r="CE38" i="16"/>
  <c r="CF38" i="16"/>
  <c r="CG38" i="16"/>
  <c r="CH38" i="16"/>
  <c r="CI38" i="16"/>
  <c r="CJ38" i="16"/>
  <c r="CK38" i="16"/>
  <c r="CL38" i="16"/>
  <c r="CM38" i="16"/>
  <c r="CN38" i="16"/>
  <c r="CO38" i="16"/>
  <c r="CP38" i="16"/>
  <c r="CQ38" i="16"/>
  <c r="CR38" i="16"/>
  <c r="CS38" i="16"/>
  <c r="CT38" i="16"/>
  <c r="C38" i="16"/>
  <c r="X34" i="16"/>
  <c r="Y34" i="16"/>
  <c r="Z34" i="16"/>
  <c r="AA34" i="16"/>
  <c r="AB34" i="16"/>
  <c r="AC34" i="16"/>
  <c r="AD34" i="16"/>
  <c r="AE34" i="16"/>
  <c r="AF34" i="16"/>
  <c r="AG34" i="16"/>
  <c r="AH34" i="16"/>
  <c r="AI34" i="16"/>
  <c r="AJ34" i="16"/>
  <c r="AK34" i="16"/>
  <c r="AL34" i="16"/>
  <c r="AM34" i="16"/>
  <c r="AN34" i="16"/>
  <c r="AO34" i="16"/>
  <c r="AP34" i="16"/>
  <c r="AQ34" i="16"/>
  <c r="AR34" i="16"/>
  <c r="AS34" i="16"/>
  <c r="AT34" i="16"/>
  <c r="AU34" i="16"/>
  <c r="AV34" i="16"/>
  <c r="AW34" i="16"/>
  <c r="AX34" i="16"/>
  <c r="AY34" i="16"/>
  <c r="AZ34" i="16"/>
  <c r="BA34" i="16"/>
  <c r="BB34" i="16"/>
  <c r="BC34" i="16"/>
  <c r="BD34" i="16"/>
  <c r="BE34" i="16"/>
  <c r="BF34" i="16"/>
  <c r="BG34" i="16"/>
  <c r="BH34" i="16"/>
  <c r="BI34" i="16"/>
  <c r="BJ34" i="16"/>
  <c r="BK34" i="16"/>
  <c r="BL34" i="16"/>
  <c r="BM34" i="16"/>
  <c r="BN34" i="16"/>
  <c r="BO34" i="16"/>
  <c r="BP34" i="16"/>
  <c r="BQ34" i="16"/>
  <c r="BR34" i="16"/>
  <c r="BS34" i="16"/>
  <c r="BT34" i="16"/>
  <c r="BU34" i="16"/>
  <c r="BV34" i="16"/>
  <c r="BW34" i="16"/>
  <c r="BX34" i="16"/>
  <c r="BY34" i="16"/>
  <c r="BZ34" i="16"/>
  <c r="CA34" i="16"/>
  <c r="CB34" i="16"/>
  <c r="CC34" i="16"/>
  <c r="CD34" i="16"/>
  <c r="CE34" i="16"/>
  <c r="CF34" i="16"/>
  <c r="CG34" i="16"/>
  <c r="CH34" i="16"/>
  <c r="CI34" i="16"/>
  <c r="CJ34" i="16"/>
  <c r="CK34" i="16"/>
  <c r="CL34" i="16"/>
  <c r="CM34" i="16"/>
  <c r="CN34" i="16"/>
  <c r="CO34" i="16"/>
  <c r="CP34" i="16"/>
  <c r="CQ34" i="16"/>
  <c r="CR34" i="16"/>
  <c r="CS34" i="16"/>
  <c r="CT34" i="16"/>
  <c r="X35" i="16"/>
  <c r="Y35" i="16"/>
  <c r="Z35" i="16"/>
  <c r="AA35" i="16"/>
  <c r="AB35" i="16"/>
  <c r="AC35" i="16"/>
  <c r="AD35" i="16"/>
  <c r="AE35" i="16"/>
  <c r="AF35" i="16"/>
  <c r="AG35" i="16"/>
  <c r="AH35" i="16"/>
  <c r="AI35" i="16"/>
  <c r="AJ35" i="16"/>
  <c r="AK35" i="16"/>
  <c r="AL35" i="16"/>
  <c r="AM35" i="16"/>
  <c r="AN35" i="16"/>
  <c r="AO35" i="16"/>
  <c r="AP35" i="16"/>
  <c r="AQ35" i="16"/>
  <c r="AR35" i="16"/>
  <c r="AS35" i="16"/>
  <c r="AT35" i="16"/>
  <c r="AU35" i="16"/>
  <c r="AV35" i="16"/>
  <c r="AW35" i="16"/>
  <c r="AX35" i="16"/>
  <c r="AY35" i="16"/>
  <c r="AZ35" i="16"/>
  <c r="BA35" i="16"/>
  <c r="BB35" i="16"/>
  <c r="BC35" i="16"/>
  <c r="BD35" i="16"/>
  <c r="BE35" i="16"/>
  <c r="BF35" i="16"/>
  <c r="BG35" i="16"/>
  <c r="BH35" i="16"/>
  <c r="BI35" i="16"/>
  <c r="BJ35" i="16"/>
  <c r="BK35" i="16"/>
  <c r="BL35" i="16"/>
  <c r="BM35" i="16"/>
  <c r="BN35" i="16"/>
  <c r="BO35" i="16"/>
  <c r="BP35" i="16"/>
  <c r="BQ35" i="16"/>
  <c r="BR35" i="16"/>
  <c r="BS35" i="16"/>
  <c r="BT35" i="16"/>
  <c r="BU35" i="16"/>
  <c r="BV35" i="16"/>
  <c r="BW35" i="16"/>
  <c r="BX35" i="16"/>
  <c r="BY35" i="16"/>
  <c r="BZ35" i="16"/>
  <c r="CA35" i="16"/>
  <c r="CB35" i="16"/>
  <c r="CC35" i="16"/>
  <c r="CD35" i="16"/>
  <c r="CE35" i="16"/>
  <c r="CF35" i="16"/>
  <c r="CG35" i="16"/>
  <c r="CH35" i="16"/>
  <c r="CI35" i="16"/>
  <c r="CJ35" i="16"/>
  <c r="CK35" i="16"/>
  <c r="CL35" i="16"/>
  <c r="CM35" i="16"/>
  <c r="CN35" i="16"/>
  <c r="CO35" i="16"/>
  <c r="CP35" i="16"/>
  <c r="CQ35" i="16"/>
  <c r="CR35" i="16"/>
  <c r="CS35" i="16"/>
  <c r="CT35" i="16"/>
  <c r="X36" i="16"/>
  <c r="Y36" i="16"/>
  <c r="Z36" i="16"/>
  <c r="AA36" i="16"/>
  <c r="AB36" i="16"/>
  <c r="AC36" i="16"/>
  <c r="AD36" i="16"/>
  <c r="AE36" i="16"/>
  <c r="AF36" i="16"/>
  <c r="AG36" i="16"/>
  <c r="AH36" i="16"/>
  <c r="AI36" i="16"/>
  <c r="AJ36" i="16"/>
  <c r="AK36" i="16"/>
  <c r="AL36" i="16"/>
  <c r="AM36" i="16"/>
  <c r="AN36" i="16"/>
  <c r="AO36" i="16"/>
  <c r="AP36" i="16"/>
  <c r="AQ36" i="16"/>
  <c r="AR36" i="16"/>
  <c r="AS36" i="16"/>
  <c r="AT36" i="16"/>
  <c r="AU36" i="16"/>
  <c r="AV36" i="16"/>
  <c r="AW36" i="16"/>
  <c r="AX36" i="16"/>
  <c r="AY36" i="16"/>
  <c r="AZ36" i="16"/>
  <c r="BA36" i="16"/>
  <c r="BB36" i="16"/>
  <c r="BC36" i="16"/>
  <c r="BD36" i="16"/>
  <c r="BE36" i="16"/>
  <c r="BF36" i="16"/>
  <c r="BG36" i="16"/>
  <c r="BH36" i="16"/>
  <c r="BI36" i="16"/>
  <c r="BJ36" i="16"/>
  <c r="BK36" i="16"/>
  <c r="BL36" i="16"/>
  <c r="BM36" i="16"/>
  <c r="BN36" i="16"/>
  <c r="BO36" i="16"/>
  <c r="BP36" i="16"/>
  <c r="BQ36" i="16"/>
  <c r="BR36" i="16"/>
  <c r="BS36" i="16"/>
  <c r="BT36" i="16"/>
  <c r="BU36" i="16"/>
  <c r="BV36" i="16"/>
  <c r="BW36" i="16"/>
  <c r="BX36" i="16"/>
  <c r="BY36" i="16"/>
  <c r="BZ36" i="16"/>
  <c r="CA36" i="16"/>
  <c r="CB36" i="16"/>
  <c r="CC36" i="16"/>
  <c r="CD36" i="16"/>
  <c r="CE36" i="16"/>
  <c r="CF36" i="16"/>
  <c r="CG36" i="16"/>
  <c r="CH36" i="16"/>
  <c r="CI36" i="16"/>
  <c r="CJ36" i="16"/>
  <c r="CK36" i="16"/>
  <c r="CL36" i="16"/>
  <c r="CM36" i="16"/>
  <c r="CN36" i="16"/>
  <c r="CO36" i="16"/>
  <c r="CP36" i="16"/>
  <c r="CQ36" i="16"/>
  <c r="CR36" i="16"/>
  <c r="CS36" i="16"/>
  <c r="CT36" i="16"/>
  <c r="X37" i="16"/>
  <c r="Y37" i="16"/>
  <c r="Z37" i="16"/>
  <c r="AA37" i="16"/>
  <c r="AB37" i="16"/>
  <c r="AC37" i="16"/>
  <c r="AD37" i="16"/>
  <c r="AE37" i="16"/>
  <c r="AF37" i="16"/>
  <c r="AG37" i="16"/>
  <c r="AH37" i="16"/>
  <c r="AI37" i="16"/>
  <c r="AJ37" i="16"/>
  <c r="AK37" i="16"/>
  <c r="AL37" i="16"/>
  <c r="AM37" i="16"/>
  <c r="AN37" i="16"/>
  <c r="AO37" i="16"/>
  <c r="AP37" i="16"/>
  <c r="AQ37" i="16"/>
  <c r="AR37" i="16"/>
  <c r="AS37" i="16"/>
  <c r="AT37" i="16"/>
  <c r="AU37" i="16"/>
  <c r="AV37" i="16"/>
  <c r="AW37" i="16"/>
  <c r="AX37" i="16"/>
  <c r="AY37" i="16"/>
  <c r="AZ37" i="16"/>
  <c r="BA37" i="16"/>
  <c r="BB37" i="16"/>
  <c r="BC37" i="16"/>
  <c r="BD37" i="16"/>
  <c r="BE37" i="16"/>
  <c r="BF37" i="16"/>
  <c r="BG37" i="16"/>
  <c r="BH37" i="16"/>
  <c r="BI37" i="16"/>
  <c r="BJ37" i="16"/>
  <c r="BK37" i="16"/>
  <c r="BL37" i="16"/>
  <c r="BM37" i="16"/>
  <c r="BN37" i="16"/>
  <c r="BO37" i="16"/>
  <c r="BP37" i="16"/>
  <c r="BQ37" i="16"/>
  <c r="BR37" i="16"/>
  <c r="BS37" i="16"/>
  <c r="BT37" i="16"/>
  <c r="BU37" i="16"/>
  <c r="BV37" i="16"/>
  <c r="BW37" i="16"/>
  <c r="BX37" i="16"/>
  <c r="BY37" i="16"/>
  <c r="BZ37" i="16"/>
  <c r="CA37" i="16"/>
  <c r="CB37" i="16"/>
  <c r="CC37" i="16"/>
  <c r="CD37" i="16"/>
  <c r="CE37" i="16"/>
  <c r="CF37" i="16"/>
  <c r="CG37" i="16"/>
  <c r="CH37" i="16"/>
  <c r="CI37" i="16"/>
  <c r="CJ37" i="16"/>
  <c r="CK37" i="16"/>
  <c r="CL37" i="16"/>
  <c r="CM37" i="16"/>
  <c r="CN37" i="16"/>
  <c r="CO37" i="16"/>
  <c r="CP37" i="16"/>
  <c r="CQ37" i="16"/>
  <c r="CR37" i="16"/>
  <c r="CS37" i="16"/>
  <c r="CT37" i="16"/>
  <c r="D37" i="16"/>
  <c r="E37" i="16"/>
  <c r="F37" i="16"/>
  <c r="G37" i="16"/>
  <c r="H37" i="16"/>
  <c r="I37" i="16"/>
  <c r="J37" i="16"/>
  <c r="K37" i="16"/>
  <c r="L37" i="16"/>
  <c r="M37" i="16"/>
  <c r="N37" i="16"/>
  <c r="O37" i="16"/>
  <c r="P37" i="16"/>
  <c r="Q37" i="16"/>
  <c r="R37" i="16"/>
  <c r="S37" i="16"/>
  <c r="T37" i="16"/>
  <c r="U37" i="16"/>
  <c r="V37" i="16"/>
  <c r="W37" i="16"/>
  <c r="C37" i="16"/>
  <c r="D34" i="16"/>
  <c r="E34" i="16"/>
  <c r="F34" i="16"/>
  <c r="G34" i="16"/>
  <c r="H34" i="16"/>
  <c r="I34" i="16"/>
  <c r="J34" i="16"/>
  <c r="K34" i="16"/>
  <c r="L34" i="16"/>
  <c r="M34" i="16"/>
  <c r="N34" i="16"/>
  <c r="O34" i="16"/>
  <c r="P34" i="16"/>
  <c r="Q34" i="16"/>
  <c r="R34" i="16"/>
  <c r="S34" i="16"/>
  <c r="T34" i="16"/>
  <c r="U34" i="16"/>
  <c r="V34" i="16"/>
  <c r="W34" i="16"/>
  <c r="C34" i="16"/>
  <c r="D35" i="16"/>
  <c r="E35" i="16"/>
  <c r="F35" i="16"/>
  <c r="G35" i="16"/>
  <c r="H35" i="16"/>
  <c r="I35" i="16"/>
  <c r="J35" i="16"/>
  <c r="K35" i="16"/>
  <c r="L35" i="16"/>
  <c r="M35" i="16"/>
  <c r="N35" i="16"/>
  <c r="O35" i="16"/>
  <c r="P35" i="16"/>
  <c r="Q35" i="16"/>
  <c r="R35" i="16"/>
  <c r="S35" i="16"/>
  <c r="T35" i="16"/>
  <c r="U35" i="16"/>
  <c r="V35" i="16"/>
  <c r="W35" i="16"/>
  <c r="D36" i="16"/>
  <c r="E36" i="16"/>
  <c r="F36" i="16"/>
  <c r="G36" i="16"/>
  <c r="H36" i="16"/>
  <c r="I36" i="16"/>
  <c r="J36" i="16"/>
  <c r="K36" i="16"/>
  <c r="L36" i="16"/>
  <c r="M36" i="16"/>
  <c r="N36" i="16"/>
  <c r="O36" i="16"/>
  <c r="P36" i="16"/>
  <c r="Q36" i="16"/>
  <c r="R36" i="16"/>
  <c r="S36" i="16"/>
  <c r="T36" i="16"/>
  <c r="U36" i="16"/>
  <c r="V36" i="16"/>
  <c r="W36" i="16"/>
  <c r="C36" i="16"/>
  <c r="C35" i="16"/>
  <c r="DS9" i="21"/>
  <c r="DT9" i="21"/>
  <c r="DU9" i="21"/>
  <c r="DV9" i="21"/>
  <c r="DW9" i="21"/>
  <c r="DS16" i="21"/>
  <c r="L19" i="21"/>
  <c r="M19" i="21"/>
  <c r="N19" i="21"/>
  <c r="O19" i="21"/>
  <c r="P19" i="21"/>
  <c r="Q19" i="21"/>
  <c r="R19" i="21"/>
  <c r="S19" i="21"/>
  <c r="T19" i="21"/>
  <c r="U19" i="21"/>
  <c r="V19" i="21"/>
  <c r="W19" i="21"/>
  <c r="X19" i="21"/>
  <c r="Y19" i="21"/>
  <c r="Z19" i="21"/>
  <c r="AA19" i="21"/>
  <c r="AB19" i="21"/>
  <c r="AC19" i="21"/>
  <c r="AD19" i="21"/>
  <c r="AE19" i="21"/>
  <c r="AF19" i="21"/>
  <c r="AG19" i="21"/>
  <c r="AH19" i="21"/>
  <c r="AI19" i="21"/>
  <c r="AJ19" i="21"/>
  <c r="AK19" i="21"/>
  <c r="AL19" i="21"/>
  <c r="AM19" i="21"/>
  <c r="AN19" i="21"/>
  <c r="AO19" i="21"/>
  <c r="AP19" i="21"/>
  <c r="AQ19" i="21"/>
  <c r="AR19" i="21"/>
  <c r="BA11" i="21"/>
  <c r="BB11" i="21"/>
  <c r="BM11" i="21"/>
  <c r="BO11" i="21"/>
  <c r="BP11" i="21"/>
  <c r="BQ11" i="21"/>
  <c r="BR11" i="21"/>
  <c r="BS11" i="21"/>
  <c r="CG11" i="21"/>
  <c r="CP18" i="21" s="1"/>
  <c r="CP19" i="21" s="1"/>
  <c r="CH11" i="21"/>
  <c r="CQ18" i="21" s="1"/>
  <c r="CQ19" i="21" s="1"/>
  <c r="CS11" i="21"/>
  <c r="CV11" i="21"/>
  <c r="CW11" i="21"/>
  <c r="CX11" i="21"/>
  <c r="CY11" i="21"/>
  <c r="DC11" i="21"/>
  <c r="DM11" i="21"/>
  <c r="DV18" i="21" s="1"/>
  <c r="DV19" i="21" s="1"/>
  <c r="DN11" i="21"/>
  <c r="DW18" i="21" s="1"/>
  <c r="DW19" i="21" s="1"/>
  <c r="M16" i="21"/>
  <c r="N16" i="21"/>
  <c r="O16" i="21"/>
  <c r="P16" i="21"/>
  <c r="Q16" i="21"/>
  <c r="R16" i="21"/>
  <c r="S16" i="21"/>
  <c r="T16" i="21"/>
  <c r="U16" i="21"/>
  <c r="V16" i="21"/>
  <c r="W16" i="21"/>
  <c r="X16" i="21"/>
  <c r="Y16" i="21"/>
  <c r="Z16" i="21"/>
  <c r="AA16" i="21"/>
  <c r="AB16" i="21"/>
  <c r="AC16" i="21"/>
  <c r="AD16" i="21"/>
  <c r="AE16" i="21"/>
  <c r="AF16" i="21"/>
  <c r="AG16" i="21"/>
  <c r="AH16" i="21"/>
  <c r="AI16" i="21"/>
  <c r="AJ16" i="21"/>
  <c r="AK16" i="21"/>
  <c r="AL16" i="21"/>
  <c r="AM16" i="21"/>
  <c r="AN16" i="21"/>
  <c r="AO16" i="21"/>
  <c r="AP16" i="21"/>
  <c r="AQ16" i="21"/>
  <c r="AR16" i="21"/>
  <c r="AS16" i="21"/>
  <c r="AT16" i="21"/>
  <c r="AU16" i="21"/>
  <c r="AV16" i="21"/>
  <c r="AW16" i="21"/>
  <c r="AX16" i="21"/>
  <c r="AY16" i="21"/>
  <c r="AZ16" i="21"/>
  <c r="BA16" i="21"/>
  <c r="BB16" i="21"/>
  <c r="BC16" i="21"/>
  <c r="BD16" i="21"/>
  <c r="BE16" i="21"/>
  <c r="BF16" i="21"/>
  <c r="BG16" i="21"/>
  <c r="BH16" i="21"/>
  <c r="BI16" i="21"/>
  <c r="BJ16" i="21"/>
  <c r="BK16" i="21"/>
  <c r="BL16" i="21"/>
  <c r="BM16" i="21"/>
  <c r="BN16" i="21"/>
  <c r="BO16" i="21"/>
  <c r="BP16" i="21"/>
  <c r="BQ16" i="21"/>
  <c r="BR16" i="21"/>
  <c r="BS16" i="21"/>
  <c r="BT16" i="21"/>
  <c r="BU16" i="21"/>
  <c r="BV16" i="21"/>
  <c r="BW16" i="21"/>
  <c r="BX16" i="21"/>
  <c r="BY16" i="21"/>
  <c r="BZ16" i="21"/>
  <c r="CA16" i="21"/>
  <c r="CB16" i="21"/>
  <c r="CC16" i="21"/>
  <c r="CD16" i="21"/>
  <c r="CE16" i="21"/>
  <c r="CF16" i="21"/>
  <c r="CG16" i="21"/>
  <c r="CH16" i="21"/>
  <c r="CI16" i="21"/>
  <c r="CJ16" i="21"/>
  <c r="CK16" i="21"/>
  <c r="CL16" i="21"/>
  <c r="CM16" i="21"/>
  <c r="CN16" i="21"/>
  <c r="CO16" i="21"/>
  <c r="CP16" i="21"/>
  <c r="CQ16" i="21"/>
  <c r="CR16" i="21"/>
  <c r="CS16" i="21"/>
  <c r="CT16" i="21"/>
  <c r="CU16" i="21"/>
  <c r="CV16" i="21"/>
  <c r="CW16" i="21"/>
  <c r="CX16" i="21"/>
  <c r="CY16" i="21"/>
  <c r="CZ16" i="21"/>
  <c r="DA16" i="21"/>
  <c r="DB16" i="21"/>
  <c r="DC16" i="21"/>
  <c r="DD16" i="21"/>
  <c r="DE16" i="21"/>
  <c r="DF16" i="21"/>
  <c r="DG16" i="21"/>
  <c r="DH16" i="21"/>
  <c r="DI16" i="21"/>
  <c r="DJ16" i="21"/>
  <c r="DK16" i="21"/>
  <c r="DL16" i="21"/>
  <c r="DM16" i="21"/>
  <c r="DN16" i="21"/>
  <c r="DO16" i="21"/>
  <c r="DP16" i="21"/>
  <c r="DQ16" i="21"/>
  <c r="DR16" i="21"/>
  <c r="DT16" i="21"/>
  <c r="DU16" i="21"/>
  <c r="DV16" i="21"/>
  <c r="DW16" i="21"/>
  <c r="M17" i="21"/>
  <c r="N17" i="21"/>
  <c r="O17" i="21"/>
  <c r="P17" i="21"/>
  <c r="Q17" i="21"/>
  <c r="R17" i="21"/>
  <c r="S17" i="21"/>
  <c r="T17" i="21"/>
  <c r="U17" i="21"/>
  <c r="V17" i="21"/>
  <c r="W17" i="21"/>
  <c r="X17" i="21"/>
  <c r="Y17" i="21"/>
  <c r="Z17" i="21"/>
  <c r="AA17" i="21"/>
  <c r="AB17" i="21"/>
  <c r="AC17" i="21"/>
  <c r="AD17" i="21"/>
  <c r="AE17" i="21"/>
  <c r="AF17" i="21"/>
  <c r="AG17" i="21"/>
  <c r="AH17" i="21"/>
  <c r="AI17" i="21"/>
  <c r="AJ17" i="21"/>
  <c r="AK17" i="21"/>
  <c r="AL17" i="21"/>
  <c r="AM17" i="21"/>
  <c r="AN17" i="21"/>
  <c r="AO17" i="21"/>
  <c r="AP17" i="21"/>
  <c r="AQ17" i="21"/>
  <c r="AR17" i="21"/>
  <c r="AS17" i="21"/>
  <c r="AT17" i="21"/>
  <c r="AU17" i="21"/>
  <c r="AV17" i="21"/>
  <c r="AW17" i="21"/>
  <c r="AX17" i="21"/>
  <c r="AY17" i="21"/>
  <c r="AZ17" i="21"/>
  <c r="BA17" i="21"/>
  <c r="BB17" i="21"/>
  <c r="BC17" i="21"/>
  <c r="BD17" i="21"/>
  <c r="BE17" i="21"/>
  <c r="BF17" i="21"/>
  <c r="BG17" i="21"/>
  <c r="BH17" i="21"/>
  <c r="BI17" i="21"/>
  <c r="BJ17" i="21"/>
  <c r="BK17" i="21"/>
  <c r="BL17" i="21"/>
  <c r="BM17" i="21"/>
  <c r="BN17" i="21"/>
  <c r="BO17" i="21"/>
  <c r="BP17" i="21"/>
  <c r="BQ17" i="21"/>
  <c r="BR17" i="21"/>
  <c r="BS17" i="21"/>
  <c r="BT17" i="21"/>
  <c r="BU17" i="21"/>
  <c r="BV17" i="21"/>
  <c r="BW17" i="21"/>
  <c r="BX17" i="21"/>
  <c r="BY17" i="21"/>
  <c r="BZ17" i="21"/>
  <c r="CA17" i="21"/>
  <c r="CB17" i="21"/>
  <c r="CC17" i="21"/>
  <c r="CD17" i="21"/>
  <c r="CE17" i="21"/>
  <c r="CF17" i="21"/>
  <c r="CG17" i="21"/>
  <c r="CH17" i="21"/>
  <c r="CI17" i="21"/>
  <c r="CJ17" i="21"/>
  <c r="CK17" i="21"/>
  <c r="CL17" i="21"/>
  <c r="CM17" i="21"/>
  <c r="CN17" i="21"/>
  <c r="CO17" i="21"/>
  <c r="CP17" i="21"/>
  <c r="CQ17" i="21"/>
  <c r="CR17" i="21"/>
  <c r="CS17" i="21"/>
  <c r="CT17" i="21"/>
  <c r="CU17" i="21"/>
  <c r="CV17" i="21"/>
  <c r="CW17" i="21"/>
  <c r="CX17" i="21"/>
  <c r="CY17" i="21"/>
  <c r="CZ17" i="21"/>
  <c r="DA17" i="21"/>
  <c r="DB17" i="21"/>
  <c r="DC17" i="21"/>
  <c r="DD17" i="21"/>
  <c r="DE17" i="21"/>
  <c r="DF17" i="21"/>
  <c r="DG17" i="21"/>
  <c r="DH17" i="21"/>
  <c r="DI17" i="21"/>
  <c r="DJ17" i="21"/>
  <c r="DK17" i="21"/>
  <c r="DL17" i="21"/>
  <c r="DM17" i="21"/>
  <c r="DN17" i="21"/>
  <c r="DO17" i="21"/>
  <c r="DP17" i="21"/>
  <c r="DQ17" i="21"/>
  <c r="DR17" i="21"/>
  <c r="L17" i="21"/>
  <c r="L16"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H9" i="21"/>
  <c r="AI9" i="21"/>
  <c r="AJ9" i="21"/>
  <c r="AK9" i="21"/>
  <c r="AL9" i="21"/>
  <c r="AM9" i="21"/>
  <c r="AN9" i="21"/>
  <c r="AO9" i="21"/>
  <c r="AP9" i="21"/>
  <c r="AQ9" i="21"/>
  <c r="AR9" i="21"/>
  <c r="AS9" i="21"/>
  <c r="AT9" i="21"/>
  <c r="AU9" i="21"/>
  <c r="AV9" i="21"/>
  <c r="AW9" i="21"/>
  <c r="AX9" i="21"/>
  <c r="AY9" i="21"/>
  <c r="AZ9" i="21"/>
  <c r="BA9" i="21"/>
  <c r="BB9" i="21"/>
  <c r="BC9" i="21"/>
  <c r="BD9" i="21"/>
  <c r="BE9" i="21"/>
  <c r="BF9" i="21"/>
  <c r="BG9" i="21"/>
  <c r="BH9" i="21"/>
  <c r="BI9" i="21"/>
  <c r="BJ9" i="21"/>
  <c r="BK9" i="21"/>
  <c r="BL9" i="21"/>
  <c r="BM9" i="21"/>
  <c r="BN9" i="21"/>
  <c r="BO9" i="21"/>
  <c r="BP9" i="21"/>
  <c r="BQ9" i="21"/>
  <c r="BR9" i="21"/>
  <c r="BS9" i="21"/>
  <c r="BT9" i="21"/>
  <c r="BU9" i="21"/>
  <c r="BV9" i="21"/>
  <c r="BW9" i="21"/>
  <c r="BX9" i="21"/>
  <c r="BY9" i="21"/>
  <c r="BZ9" i="21"/>
  <c r="CA9" i="21"/>
  <c r="CB9" i="21"/>
  <c r="CC9" i="21"/>
  <c r="CD9" i="21"/>
  <c r="CE9" i="21"/>
  <c r="CF9" i="21"/>
  <c r="CG9" i="21"/>
  <c r="CH9" i="21"/>
  <c r="CI9" i="21"/>
  <c r="CJ9" i="21"/>
  <c r="CK9" i="21"/>
  <c r="CL9" i="21"/>
  <c r="CM9" i="21"/>
  <c r="CN9" i="21"/>
  <c r="CO9" i="21"/>
  <c r="CP9" i="21"/>
  <c r="CQ9" i="21"/>
  <c r="CR9" i="21"/>
  <c r="CS9" i="21"/>
  <c r="CT9" i="21"/>
  <c r="CU9" i="21"/>
  <c r="CV9" i="21"/>
  <c r="CW9" i="21"/>
  <c r="CX9" i="21"/>
  <c r="CY9" i="21"/>
  <c r="CZ9" i="21"/>
  <c r="DA9" i="21"/>
  <c r="DB9" i="21"/>
  <c r="DC9" i="21"/>
  <c r="DD9" i="21"/>
  <c r="DE9" i="21"/>
  <c r="DF9" i="21"/>
  <c r="DG9" i="21"/>
  <c r="DH9" i="21"/>
  <c r="DI9" i="21"/>
  <c r="DJ9" i="21"/>
  <c r="DK9" i="21"/>
  <c r="DL9" i="21"/>
  <c r="DM9" i="21"/>
  <c r="DN9" i="21"/>
  <c r="DO9" i="21"/>
  <c r="DP9" i="21"/>
  <c r="DQ9" i="21"/>
  <c r="DR9" i="21"/>
  <c r="C9" i="21"/>
  <c r="AG11" i="21"/>
  <c r="AF11" i="21"/>
  <c r="AG18" i="21" s="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H10" i="21"/>
  <c r="AI10" i="21"/>
  <c r="AJ10" i="21"/>
  <c r="AK10" i="21"/>
  <c r="AL10" i="21"/>
  <c r="AM10" i="21"/>
  <c r="AN10" i="21"/>
  <c r="AO10" i="21"/>
  <c r="AP10" i="21"/>
  <c r="AQ10" i="21"/>
  <c r="AR10" i="21"/>
  <c r="AS10" i="21"/>
  <c r="AT10" i="21"/>
  <c r="AU10" i="21"/>
  <c r="AV10" i="21"/>
  <c r="AW10" i="21"/>
  <c r="AX10" i="21"/>
  <c r="AY10" i="21"/>
  <c r="AZ10" i="21"/>
  <c r="BA10" i="21"/>
  <c r="BB10" i="21"/>
  <c r="BC10" i="21"/>
  <c r="BD10" i="21"/>
  <c r="BE10" i="21"/>
  <c r="BF10" i="21"/>
  <c r="BG10" i="21"/>
  <c r="BH10" i="21"/>
  <c r="BI10" i="21"/>
  <c r="BJ10" i="21"/>
  <c r="BK10" i="21"/>
  <c r="BL10" i="21"/>
  <c r="BM10" i="21"/>
  <c r="BN10" i="21"/>
  <c r="BO10" i="21"/>
  <c r="BP10" i="21"/>
  <c r="BQ10" i="21"/>
  <c r="BR10" i="21"/>
  <c r="BS10" i="21"/>
  <c r="BT10" i="21"/>
  <c r="BU10" i="21"/>
  <c r="BV10" i="21"/>
  <c r="BW10" i="21"/>
  <c r="BX10" i="21"/>
  <c r="BY10" i="21"/>
  <c r="BZ10" i="21"/>
  <c r="CA10" i="21"/>
  <c r="CB10" i="21"/>
  <c r="CC10" i="21"/>
  <c r="CD10" i="21"/>
  <c r="CE10" i="21"/>
  <c r="CF10" i="21"/>
  <c r="CG10" i="21"/>
  <c r="CH10" i="21"/>
  <c r="CI10" i="21"/>
  <c r="CJ10" i="21"/>
  <c r="CK10" i="21"/>
  <c r="CL10" i="21"/>
  <c r="CM10" i="21"/>
  <c r="CN10" i="21"/>
  <c r="CO10" i="21"/>
  <c r="CP10" i="21"/>
  <c r="CQ10" i="21"/>
  <c r="CR10" i="21"/>
  <c r="CS10" i="21"/>
  <c r="CT10" i="21"/>
  <c r="CU10" i="21"/>
  <c r="CV10" i="21"/>
  <c r="CW10" i="21"/>
  <c r="CX10" i="21"/>
  <c r="CY10" i="21"/>
  <c r="CZ10" i="21"/>
  <c r="DA10" i="21"/>
  <c r="DB10" i="21"/>
  <c r="DC10" i="21"/>
  <c r="DD10" i="21"/>
  <c r="DE10" i="21"/>
  <c r="DF10" i="21"/>
  <c r="DG10" i="21"/>
  <c r="DH10" i="21"/>
  <c r="DI10" i="21"/>
  <c r="DJ10" i="21"/>
  <c r="DK10" i="21"/>
  <c r="DL10" i="21"/>
  <c r="DM10" i="21"/>
  <c r="DN10" i="21"/>
  <c r="DO10" i="21"/>
  <c r="DP10" i="21"/>
  <c r="DQ10" i="21"/>
  <c r="DR10" i="21"/>
  <c r="C10" i="21"/>
  <c r="AF4" i="21"/>
  <c r="AG4" i="21"/>
  <c r="AH4" i="21"/>
  <c r="AI4" i="21"/>
  <c r="AJ4" i="21"/>
  <c r="AK4" i="21"/>
  <c r="AL4" i="21"/>
  <c r="AM4" i="21"/>
  <c r="AN4" i="21"/>
  <c r="AO4" i="21"/>
  <c r="AP4" i="21"/>
  <c r="AQ4" i="21"/>
  <c r="AR4" i="21"/>
  <c r="AS4" i="21"/>
  <c r="AT4" i="21"/>
  <c r="AU4" i="21"/>
  <c r="AV4" i="21"/>
  <c r="AW4" i="21"/>
  <c r="AX4" i="21"/>
  <c r="AY4" i="21"/>
  <c r="AZ4" i="21"/>
  <c r="BA4" i="21"/>
  <c r="BB4" i="21"/>
  <c r="BC4" i="21"/>
  <c r="BD4" i="21"/>
  <c r="BE4" i="21"/>
  <c r="BF4" i="21"/>
  <c r="BG4" i="21"/>
  <c r="BH4" i="21"/>
  <c r="BI4" i="21"/>
  <c r="BJ4" i="21"/>
  <c r="BK4" i="21"/>
  <c r="BL4" i="21"/>
  <c r="BM4" i="21"/>
  <c r="BN4" i="21"/>
  <c r="BO4" i="21"/>
  <c r="BP4" i="21"/>
  <c r="BQ4" i="21"/>
  <c r="BR4" i="21"/>
  <c r="BS4" i="21"/>
  <c r="BT4" i="21"/>
  <c r="BU4" i="21"/>
  <c r="BV4" i="21"/>
  <c r="BV11" i="21" s="1"/>
  <c r="BW4" i="21"/>
  <c r="BX4" i="21"/>
  <c r="BY4" i="21"/>
  <c r="BZ11" i="21" s="1"/>
  <c r="BZ4" i="21"/>
  <c r="CA4" i="21"/>
  <c r="CB4" i="21"/>
  <c r="CC4" i="21"/>
  <c r="CD4" i="21"/>
  <c r="CE4" i="21"/>
  <c r="CF4" i="21"/>
  <c r="CG4" i="21"/>
  <c r="CH4" i="21"/>
  <c r="CI4" i="21"/>
  <c r="CJ4" i="21"/>
  <c r="CK4" i="21"/>
  <c r="CL4" i="21"/>
  <c r="CM4" i="21"/>
  <c r="CN4" i="21"/>
  <c r="CO4" i="21"/>
  <c r="CP4" i="21"/>
  <c r="CQ4" i="21"/>
  <c r="CR4" i="21"/>
  <c r="CS4" i="21"/>
  <c r="CT4" i="21"/>
  <c r="CU4" i="21"/>
  <c r="CV4" i="21"/>
  <c r="CW4" i="21"/>
  <c r="CX4" i="21"/>
  <c r="CY4" i="21"/>
  <c r="CZ4" i="21"/>
  <c r="DA4" i="21"/>
  <c r="DB4" i="21"/>
  <c r="DB11" i="21" s="1"/>
  <c r="DC4" i="21"/>
  <c r="DD4" i="21"/>
  <c r="DE4" i="21"/>
  <c r="DF11" i="21" s="1"/>
  <c r="DF4" i="21"/>
  <c r="DG4" i="21"/>
  <c r="DH4" i="21"/>
  <c r="DI4" i="21"/>
  <c r="DJ4" i="21"/>
  <c r="DK4" i="21"/>
  <c r="DL4" i="21"/>
  <c r="DM4" i="21"/>
  <c r="DN4" i="21"/>
  <c r="DO4" i="21"/>
  <c r="DP4" i="21"/>
  <c r="DQ4" i="21"/>
  <c r="DR4" i="21"/>
  <c r="DS4" i="21"/>
  <c r="DT4" i="21"/>
  <c r="DU4" i="21"/>
  <c r="DV4" i="21"/>
  <c r="AE4" i="21"/>
  <c r="AE3" i="21"/>
  <c r="AF3" i="21"/>
  <c r="AG3" i="21"/>
  <c r="AH3" i="21"/>
  <c r="AH11" i="21" s="1"/>
  <c r="AI3" i="21"/>
  <c r="AI11" i="21" s="1"/>
  <c r="AJ3" i="21"/>
  <c r="AJ11" i="21" s="1"/>
  <c r="AK3" i="21"/>
  <c r="AK11" i="21" s="1"/>
  <c r="AL3" i="21"/>
  <c r="AL11" i="21" s="1"/>
  <c r="AM3" i="21"/>
  <c r="AM11" i="21" s="1"/>
  <c r="AN3" i="21"/>
  <c r="AN11" i="21" s="1"/>
  <c r="AO3" i="21"/>
  <c r="AO11" i="21" s="1"/>
  <c r="AP3" i="21"/>
  <c r="AP11" i="21" s="1"/>
  <c r="AQ3" i="21"/>
  <c r="AQ11" i="21" s="1"/>
  <c r="AR3" i="21"/>
  <c r="AR11" i="21" s="1"/>
  <c r="AS3" i="21"/>
  <c r="AS11" i="21" s="1"/>
  <c r="AT3" i="21"/>
  <c r="AT11" i="21" s="1"/>
  <c r="AU3" i="21"/>
  <c r="AU11" i="21" s="1"/>
  <c r="AV3" i="21"/>
  <c r="AW3" i="21"/>
  <c r="AW11" i="21" s="1"/>
  <c r="AX3" i="21"/>
  <c r="AX11" i="21" s="1"/>
  <c r="AY3" i="21"/>
  <c r="AY11" i="21" s="1"/>
  <c r="AZ3" i="21"/>
  <c r="AZ11" i="21" s="1"/>
  <c r="BI18" i="21" s="1"/>
  <c r="BI19" i="21" s="1"/>
  <c r="BA3" i="21"/>
  <c r="BB3" i="21"/>
  <c r="BC3" i="21"/>
  <c r="BC11" i="21" s="1"/>
  <c r="BD3" i="21"/>
  <c r="BD11" i="21" s="1"/>
  <c r="BE3" i="21"/>
  <c r="BE11" i="21" s="1"/>
  <c r="BF3" i="21"/>
  <c r="BF11" i="21" s="1"/>
  <c r="BG3" i="21"/>
  <c r="BG11" i="21" s="1"/>
  <c r="BH3" i="21"/>
  <c r="BH11" i="21" s="1"/>
  <c r="BI3" i="21"/>
  <c r="BI11" i="21" s="1"/>
  <c r="BJ3" i="21"/>
  <c r="BJ11" i="21" s="1"/>
  <c r="BK3" i="21"/>
  <c r="BK11" i="21" s="1"/>
  <c r="BL3" i="21"/>
  <c r="BL11" i="21" s="1"/>
  <c r="BM3" i="21"/>
  <c r="BN3" i="21"/>
  <c r="BN11" i="21" s="1"/>
  <c r="BO3" i="21"/>
  <c r="BP3" i="21"/>
  <c r="BQ3" i="21"/>
  <c r="BR3" i="21"/>
  <c r="BS3" i="21"/>
  <c r="BT3" i="21"/>
  <c r="BT11" i="21" s="1"/>
  <c r="BU3" i="21"/>
  <c r="BU11" i="21" s="1"/>
  <c r="BV3" i="21"/>
  <c r="BW3" i="21"/>
  <c r="BW11" i="21" s="1"/>
  <c r="BX3" i="21"/>
  <c r="BX11" i="21" s="1"/>
  <c r="BY3" i="21"/>
  <c r="BY11" i="21" s="1"/>
  <c r="BY18" i="21" s="1"/>
  <c r="BY19" i="21" s="1"/>
  <c r="BZ3" i="21"/>
  <c r="CA3" i="21"/>
  <c r="CA11" i="21" s="1"/>
  <c r="CB3" i="21"/>
  <c r="CC3" i="21"/>
  <c r="CC11" i="21" s="1"/>
  <c r="CD3" i="21"/>
  <c r="CD11" i="21" s="1"/>
  <c r="CE3" i="21"/>
  <c r="CE11" i="21" s="1"/>
  <c r="CF3" i="21"/>
  <c r="CF11" i="21" s="1"/>
  <c r="CO18" i="21" s="1"/>
  <c r="CO19" i="21" s="1"/>
  <c r="CG3" i="21"/>
  <c r="CH3" i="21"/>
  <c r="CI3" i="21"/>
  <c r="CI11" i="21" s="1"/>
  <c r="CJ3" i="21"/>
  <c r="CJ11" i="21" s="1"/>
  <c r="CK3" i="21"/>
  <c r="CK11" i="21" s="1"/>
  <c r="CL3" i="21"/>
  <c r="CL11" i="21" s="1"/>
  <c r="CM3" i="21"/>
  <c r="CM11" i="21" s="1"/>
  <c r="CN3" i="21"/>
  <c r="CN11" i="21" s="1"/>
  <c r="CO3" i="21"/>
  <c r="CO11" i="21" s="1"/>
  <c r="CP3" i="21"/>
  <c r="CP11" i="21" s="1"/>
  <c r="CQ3" i="21"/>
  <c r="CQ11" i="21" s="1"/>
  <c r="CR3" i="21"/>
  <c r="CR11" i="21" s="1"/>
  <c r="CS3" i="21"/>
  <c r="CT3" i="21"/>
  <c r="CT11" i="21" s="1"/>
  <c r="CU3" i="21"/>
  <c r="CV3" i="21"/>
  <c r="CW3" i="21"/>
  <c r="CX3" i="21"/>
  <c r="CY3" i="21"/>
  <c r="CZ3" i="21"/>
  <c r="CZ11" i="21" s="1"/>
  <c r="DA3" i="21"/>
  <c r="DA11" i="21" s="1"/>
  <c r="DB3" i="21"/>
  <c r="DC3" i="21"/>
  <c r="DD3" i="21"/>
  <c r="DD11" i="21" s="1"/>
  <c r="DE3" i="21"/>
  <c r="DE11" i="21" s="1"/>
  <c r="DF3" i="21"/>
  <c r="DG3" i="21"/>
  <c r="DG11" i="21" s="1"/>
  <c r="DH3" i="21"/>
  <c r="DI3" i="21"/>
  <c r="DI11" i="21" s="1"/>
  <c r="DJ3" i="21"/>
  <c r="DJ11" i="21" s="1"/>
  <c r="DK3" i="21"/>
  <c r="DK11" i="21" s="1"/>
  <c r="DL3" i="21"/>
  <c r="DL11" i="21" s="1"/>
  <c r="DU18" i="21" s="1"/>
  <c r="DU19" i="21" s="1"/>
  <c r="DM3" i="21"/>
  <c r="DN3" i="21"/>
  <c r="DO3" i="21"/>
  <c r="DO11" i="21" s="1"/>
  <c r="DP3" i="21"/>
  <c r="DP11" i="21" s="1"/>
  <c r="DQ3" i="21"/>
  <c r="DQ11" i="21" s="1"/>
  <c r="DR3" i="21"/>
  <c r="DR11" i="21" s="1"/>
  <c r="DS3" i="21"/>
  <c r="DT3" i="21"/>
  <c r="DU3" i="21"/>
  <c r="DV3" i="21"/>
  <c r="C2" i="21"/>
  <c r="D2" i="21" s="1"/>
  <c r="E2" i="21" s="1"/>
  <c r="F2" i="21" s="1"/>
  <c r="G2" i="21" s="1"/>
  <c r="H2" i="21" s="1"/>
  <c r="I2" i="21" s="1"/>
  <c r="J2" i="21" s="1"/>
  <c r="K2" i="21" s="1"/>
  <c r="L2" i="21" s="1"/>
  <c r="M2" i="21" s="1"/>
  <c r="N2" i="21" s="1"/>
  <c r="O2" i="21" s="1"/>
  <c r="P2" i="21" s="1"/>
  <c r="Q2" i="21" s="1"/>
  <c r="R2" i="21" s="1"/>
  <c r="S2" i="21" s="1"/>
  <c r="T2" i="21" s="1"/>
  <c r="U2" i="21" s="1"/>
  <c r="V2" i="21" s="1"/>
  <c r="W2" i="21" s="1"/>
  <c r="X2" i="21" s="1"/>
  <c r="Y2" i="21" s="1"/>
  <c r="Z2" i="21" s="1"/>
  <c r="AA2" i="21" s="1"/>
  <c r="AB2" i="21" s="1"/>
  <c r="AC2" i="21" s="1"/>
  <c r="AD2" i="21" s="1"/>
  <c r="AE2" i="21" s="1"/>
  <c r="AF2" i="21" s="1"/>
  <c r="AG2" i="21" s="1"/>
  <c r="AH2" i="21" s="1"/>
  <c r="AI2" i="21" s="1"/>
  <c r="AJ2" i="21" s="1"/>
  <c r="AK2" i="21" s="1"/>
  <c r="AL2" i="21" s="1"/>
  <c r="AM2" i="21" s="1"/>
  <c r="AN2" i="21" s="1"/>
  <c r="AO2" i="21" s="1"/>
  <c r="AP2" i="21" s="1"/>
  <c r="AQ2" i="21" s="1"/>
  <c r="AR2" i="21" s="1"/>
  <c r="AS2" i="21" s="1"/>
  <c r="AT2" i="21" s="1"/>
  <c r="AU2" i="21" s="1"/>
  <c r="AV2" i="21" s="1"/>
  <c r="AW2" i="21" s="1"/>
  <c r="AX2" i="21" s="1"/>
  <c r="AY2" i="21" s="1"/>
  <c r="AZ2" i="21" s="1"/>
  <c r="BA2" i="21" s="1"/>
  <c r="BB2" i="21" s="1"/>
  <c r="BC2" i="21" s="1"/>
  <c r="BD2" i="21" s="1"/>
  <c r="BE2" i="21" s="1"/>
  <c r="BF2" i="21" s="1"/>
  <c r="BG2" i="21" s="1"/>
  <c r="BH2" i="21" s="1"/>
  <c r="BI2" i="21" s="1"/>
  <c r="BJ2" i="21" s="1"/>
  <c r="BK2" i="21" s="1"/>
  <c r="BL2" i="21" s="1"/>
  <c r="BM2" i="21" s="1"/>
  <c r="BN2" i="21" s="1"/>
  <c r="BO2" i="21" s="1"/>
  <c r="BP2" i="21" s="1"/>
  <c r="BQ2" i="21" s="1"/>
  <c r="BR2" i="21" s="1"/>
  <c r="BS2" i="21" s="1"/>
  <c r="BT2" i="21" s="1"/>
  <c r="BU2" i="21" s="1"/>
  <c r="BV2" i="21" s="1"/>
  <c r="BW2" i="21" s="1"/>
  <c r="BX2" i="21" s="1"/>
  <c r="BY2" i="21" s="1"/>
  <c r="BZ2" i="21" s="1"/>
  <c r="CA2" i="21" s="1"/>
  <c r="CB2" i="21" s="1"/>
  <c r="CC2" i="21" s="1"/>
  <c r="CD2" i="21" s="1"/>
  <c r="CE2" i="21" s="1"/>
  <c r="CF2" i="21" s="1"/>
  <c r="CG2" i="21" s="1"/>
  <c r="CH2" i="21" s="1"/>
  <c r="CI2" i="21" s="1"/>
  <c r="CJ2" i="21" s="1"/>
  <c r="CK2" i="21" s="1"/>
  <c r="CL2" i="21" s="1"/>
  <c r="CM2" i="21" s="1"/>
  <c r="CN2" i="21" s="1"/>
  <c r="CO2" i="21" s="1"/>
  <c r="CP2" i="21" s="1"/>
  <c r="CQ2" i="21" s="1"/>
  <c r="CR2" i="21" s="1"/>
  <c r="CS2" i="21" s="1"/>
  <c r="CT2" i="21" s="1"/>
  <c r="CU2" i="21" s="1"/>
  <c r="CV2" i="21" s="1"/>
  <c r="CW2" i="21" s="1"/>
  <c r="CX2" i="21" s="1"/>
  <c r="CY2" i="21" s="1"/>
  <c r="CZ2" i="21" s="1"/>
  <c r="DA2" i="21" s="1"/>
  <c r="DB2" i="21" s="1"/>
  <c r="DC2" i="21" s="1"/>
  <c r="DD2" i="21" s="1"/>
  <c r="DE2" i="21" s="1"/>
  <c r="DF2" i="21" s="1"/>
  <c r="DG2" i="21" s="1"/>
  <c r="DH2" i="21" s="1"/>
  <c r="DI2" i="21" s="1"/>
  <c r="DJ2" i="21" s="1"/>
  <c r="DK2" i="21" s="1"/>
  <c r="DL2" i="21" s="1"/>
  <c r="DM2" i="21" s="1"/>
  <c r="DN2" i="21" s="1"/>
  <c r="DO2" i="21" s="1"/>
  <c r="DP2" i="21" s="1"/>
  <c r="DQ2" i="21" s="1"/>
  <c r="DR2" i="21" s="1"/>
  <c r="DS2" i="21" s="1"/>
  <c r="DT2" i="21" s="1"/>
  <c r="DU2" i="21" s="1"/>
  <c r="DV2" i="21" s="1"/>
  <c r="DW2" i="21" s="1"/>
  <c r="DX2" i="21" s="1"/>
  <c r="CT29" i="16"/>
  <c r="CS29" i="16"/>
  <c r="CR29" i="16"/>
  <c r="CQ29" i="16"/>
  <c r="CP29" i="16"/>
  <c r="CO29" i="16"/>
  <c r="CN29" i="16"/>
  <c r="CM29" i="16"/>
  <c r="CL29" i="16"/>
  <c r="CK29" i="16"/>
  <c r="CJ29" i="16"/>
  <c r="CI29" i="16"/>
  <c r="CH29" i="16"/>
  <c r="CG29" i="16"/>
  <c r="CF29" i="16"/>
  <c r="CE29" i="16"/>
  <c r="CD29" i="16"/>
  <c r="CC29" i="16"/>
  <c r="CB29" i="16"/>
  <c r="CA29" i="16"/>
  <c r="BZ29" i="16"/>
  <c r="BY29" i="16"/>
  <c r="BX29" i="16"/>
  <c r="BW29" i="16"/>
  <c r="BV29" i="16"/>
  <c r="BU29" i="16"/>
  <c r="BT29" i="16"/>
  <c r="BS29" i="16"/>
  <c r="BR29" i="16"/>
  <c r="BQ29" i="16"/>
  <c r="BP29" i="16"/>
  <c r="BO29" i="16"/>
  <c r="BN29" i="16"/>
  <c r="BM29" i="16"/>
  <c r="BL29" i="16"/>
  <c r="BK29" i="16"/>
  <c r="BJ29" i="16"/>
  <c r="BI29" i="16"/>
  <c r="BH29" i="16"/>
  <c r="BG29" i="16"/>
  <c r="BF29" i="16"/>
  <c r="BE29" i="16"/>
  <c r="BD29" i="16"/>
  <c r="BC29" i="16"/>
  <c r="BB29" i="16"/>
  <c r="BA29" i="16"/>
  <c r="AZ29" i="16"/>
  <c r="AY29" i="16"/>
  <c r="AX29" i="16"/>
  <c r="AW29" i="16"/>
  <c r="AV29" i="16"/>
  <c r="AU29" i="16"/>
  <c r="AT29" i="16"/>
  <c r="AS29" i="16"/>
  <c r="AR29" i="16"/>
  <c r="AQ29" i="16"/>
  <c r="AP29" i="16"/>
  <c r="AO29" i="16"/>
  <c r="AN29" i="16"/>
  <c r="AM29" i="16"/>
  <c r="AL29" i="16"/>
  <c r="AK29" i="16"/>
  <c r="AJ29" i="16"/>
  <c r="AI29" i="16"/>
  <c r="CT26" i="16"/>
  <c r="CS26" i="16"/>
  <c r="CR26" i="16"/>
  <c r="CQ26" i="16"/>
  <c r="CP26" i="16"/>
  <c r="CO26" i="16"/>
  <c r="CN26" i="16"/>
  <c r="CM26" i="16"/>
  <c r="CL26" i="16"/>
  <c r="CK26" i="16"/>
  <c r="CJ26" i="16"/>
  <c r="CI26" i="16"/>
  <c r="CH26" i="16"/>
  <c r="CG26" i="16"/>
  <c r="CF26" i="16"/>
  <c r="CE26" i="16"/>
  <c r="CD26" i="16"/>
  <c r="CC26" i="16"/>
  <c r="CB26" i="16"/>
  <c r="CA26" i="16"/>
  <c r="BZ26" i="16"/>
  <c r="BY26" i="16"/>
  <c r="BX26" i="16"/>
  <c r="BW26" i="16"/>
  <c r="BV26" i="16"/>
  <c r="BU26" i="16"/>
  <c r="BT26" i="16"/>
  <c r="BS26" i="16"/>
  <c r="BR26" i="16"/>
  <c r="BQ26" i="16"/>
  <c r="BP26" i="16"/>
  <c r="BO26" i="16"/>
  <c r="BN26" i="16"/>
  <c r="BM26" i="16"/>
  <c r="BL26" i="16"/>
  <c r="BK26" i="16"/>
  <c r="BJ26" i="16"/>
  <c r="BI26" i="16"/>
  <c r="BH26" i="16"/>
  <c r="BG26" i="16"/>
  <c r="BF26" i="16"/>
  <c r="BE26" i="16"/>
  <c r="BD26" i="16"/>
  <c r="BC26" i="16"/>
  <c r="BB26" i="16"/>
  <c r="BA26" i="16"/>
  <c r="AZ26" i="16"/>
  <c r="AY26" i="16"/>
  <c r="AX26" i="16"/>
  <c r="AW26" i="16"/>
  <c r="AV26" i="16"/>
  <c r="AU26" i="16"/>
  <c r="AT26" i="16"/>
  <c r="AS26" i="16"/>
  <c r="AR26" i="16"/>
  <c r="AQ26" i="16"/>
  <c r="AP26" i="16"/>
  <c r="AO26" i="16"/>
  <c r="AN26" i="16"/>
  <c r="AM26" i="16"/>
  <c r="AL26" i="16"/>
  <c r="AK26" i="16"/>
  <c r="AJ26" i="16"/>
  <c r="AI26" i="16"/>
  <c r="AH26" i="16"/>
  <c r="AG26" i="16"/>
  <c r="AF26" i="16"/>
  <c r="AE26" i="16"/>
  <c r="AD26" i="16"/>
  <c r="AC26" i="16"/>
  <c r="AB26" i="16"/>
  <c r="AA26" i="16"/>
  <c r="Z26" i="16"/>
  <c r="Y26" i="16"/>
  <c r="X26" i="16"/>
  <c r="W26" i="16"/>
  <c r="V26" i="16"/>
  <c r="U26" i="16"/>
  <c r="T26" i="16"/>
  <c r="S26" i="16"/>
  <c r="R26" i="16"/>
  <c r="Q26" i="16"/>
  <c r="P26" i="16"/>
  <c r="O26" i="16"/>
  <c r="N26" i="16"/>
  <c r="M26" i="16"/>
  <c r="L26" i="16"/>
  <c r="K26" i="16"/>
  <c r="J26" i="16"/>
  <c r="I26" i="16"/>
  <c r="H26" i="16"/>
  <c r="G26" i="16"/>
  <c r="F26" i="16"/>
  <c r="E26" i="16"/>
  <c r="D26" i="16"/>
  <c r="C26" i="16"/>
  <c r="B26" i="16"/>
  <c r="CT25" i="16"/>
  <c r="CS25" i="16"/>
  <c r="CR25" i="16"/>
  <c r="CQ25" i="16"/>
  <c r="CP25" i="16"/>
  <c r="CO25" i="16"/>
  <c r="CN25" i="16"/>
  <c r="CM25" i="16"/>
  <c r="CL25" i="16"/>
  <c r="CK25" i="16"/>
  <c r="CJ25" i="16"/>
  <c r="CI25" i="16"/>
  <c r="CH25" i="16"/>
  <c r="CG25" i="16"/>
  <c r="CF25" i="16"/>
  <c r="CE25" i="16"/>
  <c r="CD25" i="16"/>
  <c r="CC25" i="16"/>
  <c r="CB25" i="16"/>
  <c r="CA25" i="16"/>
  <c r="BZ25" i="16"/>
  <c r="BY25" i="16"/>
  <c r="BX25" i="16"/>
  <c r="BW25" i="16"/>
  <c r="BV25" i="16"/>
  <c r="BU25" i="16"/>
  <c r="BT25" i="16"/>
  <c r="BS25" i="16"/>
  <c r="BR25" i="16"/>
  <c r="BQ25" i="16"/>
  <c r="BP25" i="16"/>
  <c r="BO25" i="16"/>
  <c r="BN25" i="16"/>
  <c r="BM25" i="16"/>
  <c r="BL25" i="16"/>
  <c r="BK25" i="16"/>
  <c r="BJ25" i="16"/>
  <c r="BI25" i="16"/>
  <c r="BH25" i="16"/>
  <c r="BG25" i="16"/>
  <c r="BF25" i="16"/>
  <c r="BE25" i="16"/>
  <c r="BD25" i="16"/>
  <c r="BC25" i="16"/>
  <c r="BB25" i="16"/>
  <c r="BA25" i="16"/>
  <c r="AZ25" i="16"/>
  <c r="AY25" i="16"/>
  <c r="AX25" i="16"/>
  <c r="AW25" i="16"/>
  <c r="AV25" i="16"/>
  <c r="AU25" i="16"/>
  <c r="AT25" i="16"/>
  <c r="AS25" i="16"/>
  <c r="AR25" i="16"/>
  <c r="AQ25" i="16"/>
  <c r="AP25" i="16"/>
  <c r="AO25" i="16"/>
  <c r="AN25" i="16"/>
  <c r="AM25" i="16"/>
  <c r="AL25" i="16"/>
  <c r="AK25" i="16"/>
  <c r="AJ25" i="16"/>
  <c r="CT24" i="16"/>
  <c r="CS24" i="16"/>
  <c r="CR24" i="16"/>
  <c r="CQ24" i="16"/>
  <c r="CP24" i="16"/>
  <c r="CO24" i="16"/>
  <c r="CN24" i="16"/>
  <c r="CM24" i="16"/>
  <c r="CL24" i="16"/>
  <c r="CK24" i="16"/>
  <c r="CJ24" i="16"/>
  <c r="CI24" i="16"/>
  <c r="CH24" i="16"/>
  <c r="CG24" i="16"/>
  <c r="CF24" i="16"/>
  <c r="CE24" i="16"/>
  <c r="CD24" i="16"/>
  <c r="CC24" i="16"/>
  <c r="CB24" i="16"/>
  <c r="CA24" i="16"/>
  <c r="BZ24" i="16"/>
  <c r="BY24" i="16"/>
  <c r="BX24" i="16"/>
  <c r="BW24" i="16"/>
  <c r="BV24" i="16"/>
  <c r="BU24" i="16"/>
  <c r="BT24" i="16"/>
  <c r="BS24" i="16"/>
  <c r="BR24" i="16"/>
  <c r="BQ24" i="16"/>
  <c r="BP24" i="16"/>
  <c r="BO24" i="16"/>
  <c r="BN24" i="16"/>
  <c r="BM24" i="16"/>
  <c r="BL24" i="16"/>
  <c r="BK24" i="16"/>
  <c r="BJ24" i="16"/>
  <c r="BI24" i="16"/>
  <c r="BH24" i="16"/>
  <c r="BG24" i="16"/>
  <c r="BF24" i="16"/>
  <c r="BE24" i="16"/>
  <c r="BD24" i="16"/>
  <c r="BC24" i="16"/>
  <c r="BB24" i="16"/>
  <c r="BA24" i="16"/>
  <c r="AZ24" i="16"/>
  <c r="AY24" i="16"/>
  <c r="AX24" i="16"/>
  <c r="AW24" i="16"/>
  <c r="AV24" i="16"/>
  <c r="AU24" i="16"/>
  <c r="AT24" i="16"/>
  <c r="AS24" i="16"/>
  <c r="AR24" i="16"/>
  <c r="AQ24" i="16"/>
  <c r="AP24" i="16"/>
  <c r="AO24" i="16"/>
  <c r="AN24" i="16"/>
  <c r="AM24" i="16"/>
  <c r="AL24" i="16"/>
  <c r="AK24" i="16"/>
  <c r="AJ24" i="16"/>
  <c r="AI24" i="16"/>
  <c r="AI25" i="16"/>
  <c r="BQ22" i="16"/>
  <c r="BP22" i="16"/>
  <c r="BO22" i="16"/>
  <c r="BN22" i="16"/>
  <c r="BM22" i="16"/>
  <c r="BL22" i="16"/>
  <c r="BK22" i="16"/>
  <c r="BJ22" i="16"/>
  <c r="BI22" i="16"/>
  <c r="BH22" i="16"/>
  <c r="BG22" i="16"/>
  <c r="BF22" i="16"/>
  <c r="BE22" i="16"/>
  <c r="BD22" i="16"/>
  <c r="BC22" i="16"/>
  <c r="BB22" i="16"/>
  <c r="BA22" i="16"/>
  <c r="BQ21" i="16"/>
  <c r="BP21" i="16"/>
  <c r="BO21" i="16"/>
  <c r="BN21" i="16"/>
  <c r="BM21" i="16"/>
  <c r="BL21" i="16"/>
  <c r="BK21" i="16"/>
  <c r="BJ21" i="16"/>
  <c r="BI21" i="16"/>
  <c r="BH21" i="16"/>
  <c r="BG21" i="16"/>
  <c r="BF21" i="16"/>
  <c r="BE21" i="16"/>
  <c r="BD21" i="16"/>
  <c r="BC21" i="16"/>
  <c r="BB21" i="16"/>
  <c r="BA21" i="16"/>
  <c r="AZ21" i="16"/>
  <c r="AY21" i="16"/>
  <c r="AX21" i="16"/>
  <c r="AW21" i="16"/>
  <c r="AV21" i="16"/>
  <c r="AU21" i="16"/>
  <c r="AT21" i="16"/>
  <c r="AS21" i="16"/>
  <c r="AR21" i="16"/>
  <c r="CT19" i="16"/>
  <c r="CS19" i="16"/>
  <c r="CR19" i="16"/>
  <c r="CQ19" i="16"/>
  <c r="CP19" i="16"/>
  <c r="CO19" i="16"/>
  <c r="CN19" i="16"/>
  <c r="CM19" i="16"/>
  <c r="CL19" i="16"/>
  <c r="CK19" i="16"/>
  <c r="CJ19" i="16"/>
  <c r="CI19" i="16"/>
  <c r="CH19" i="16"/>
  <c r="CG19" i="16"/>
  <c r="CF19" i="16"/>
  <c r="CE19" i="16"/>
  <c r="CD19" i="16"/>
  <c r="CC19" i="16"/>
  <c r="CB19" i="16"/>
  <c r="CA19" i="16"/>
  <c r="BZ19" i="16"/>
  <c r="BY19" i="16"/>
  <c r="BX19" i="16"/>
  <c r="BW19" i="16"/>
  <c r="BV19" i="16"/>
  <c r="BU19" i="16"/>
  <c r="BT19" i="16"/>
  <c r="BS19" i="16"/>
  <c r="BR19" i="16"/>
  <c r="BQ19" i="16"/>
  <c r="BQ23" i="16" s="1"/>
  <c r="BP19" i="16"/>
  <c r="BP23" i="16" s="1"/>
  <c r="BO19" i="16"/>
  <c r="BO23" i="16" s="1"/>
  <c r="BN19" i="16"/>
  <c r="BN23" i="16" s="1"/>
  <c r="BM19" i="16"/>
  <c r="BM23" i="16" s="1"/>
  <c r="BL19" i="16"/>
  <c r="BL23" i="16" s="1"/>
  <c r="BK19" i="16"/>
  <c r="BK23" i="16" s="1"/>
  <c r="BJ19" i="16"/>
  <c r="BJ23" i="16" s="1"/>
  <c r="BI19" i="16"/>
  <c r="BI23" i="16" s="1"/>
  <c r="BH19" i="16"/>
  <c r="BH23" i="16" s="1"/>
  <c r="BG19" i="16"/>
  <c r="BG23" i="16" s="1"/>
  <c r="BF19" i="16"/>
  <c r="BF23" i="16" s="1"/>
  <c r="BE19" i="16"/>
  <c r="BE23" i="16" s="1"/>
  <c r="BD19" i="16"/>
  <c r="BD23" i="16" s="1"/>
  <c r="BC19" i="16"/>
  <c r="BC23" i="16" s="1"/>
  <c r="BB19" i="16"/>
  <c r="BB23" i="16" s="1"/>
  <c r="BA19" i="16"/>
  <c r="BA23" i="16" s="1"/>
  <c r="AZ19" i="16"/>
  <c r="AY19" i="16"/>
  <c r="AX19" i="16"/>
  <c r="AW19" i="16"/>
  <c r="AW23" i="16" s="1"/>
  <c r="AV19" i="16"/>
  <c r="AV23" i="16" s="1"/>
  <c r="AU19" i="16"/>
  <c r="AU23" i="16" s="1"/>
  <c r="AT19" i="16"/>
  <c r="AT23" i="16" s="1"/>
  <c r="AS19" i="16"/>
  <c r="AS23" i="16" s="1"/>
  <c r="AR19" i="16"/>
  <c r="AR23" i="16" s="1"/>
  <c r="AQ19" i="16"/>
  <c r="AP19" i="16"/>
  <c r="AO19" i="16"/>
  <c r="AN19" i="16"/>
  <c r="AM19" i="16"/>
  <c r="AL19" i="16"/>
  <c r="AK19" i="16"/>
  <c r="AJ19" i="16"/>
  <c r="AI19" i="16"/>
  <c r="AH19" i="16"/>
  <c r="AG19" i="16"/>
  <c r="AF19" i="16"/>
  <c r="AE19" i="16"/>
  <c r="AD19" i="16"/>
  <c r="AC19" i="16"/>
  <c r="AB19" i="16"/>
  <c r="AA19" i="16"/>
  <c r="Z19" i="16"/>
  <c r="Y19" i="16"/>
  <c r="X19" i="16"/>
  <c r="W19" i="16"/>
  <c r="V19" i="16"/>
  <c r="U19" i="16"/>
  <c r="T19" i="16"/>
  <c r="S19" i="16"/>
  <c r="R19" i="16"/>
  <c r="Q19" i="16"/>
  <c r="P19" i="16"/>
  <c r="O19" i="16"/>
  <c r="N19" i="16"/>
  <c r="M19" i="16"/>
  <c r="L19" i="16"/>
  <c r="K19" i="16"/>
  <c r="J19" i="16"/>
  <c r="I19" i="16"/>
  <c r="H19" i="16"/>
  <c r="G19" i="16"/>
  <c r="F19" i="16"/>
  <c r="E19" i="16"/>
  <c r="D19" i="16"/>
  <c r="C19" i="16"/>
  <c r="B19" i="16"/>
  <c r="CT20" i="16"/>
  <c r="CS20" i="16"/>
  <c r="CR20" i="16"/>
  <c r="CQ20" i="16"/>
  <c r="CP20" i="16"/>
  <c r="CO20" i="16"/>
  <c r="CN20" i="16"/>
  <c r="CM20" i="16"/>
  <c r="CL20" i="16"/>
  <c r="CK20" i="16"/>
  <c r="CJ20" i="16"/>
  <c r="CI20" i="16"/>
  <c r="CH20" i="16"/>
  <c r="CG20" i="16"/>
  <c r="CF20" i="16"/>
  <c r="CE20" i="16"/>
  <c r="CD20" i="16"/>
  <c r="CC20" i="16"/>
  <c r="CB20" i="16"/>
  <c r="CA20" i="16"/>
  <c r="BZ20" i="16"/>
  <c r="BY20" i="16"/>
  <c r="BX20" i="16"/>
  <c r="BW20" i="16"/>
  <c r="BV20" i="16"/>
  <c r="BU20" i="16"/>
  <c r="BT20" i="16"/>
  <c r="BS20" i="16"/>
  <c r="BR20" i="16"/>
  <c r="BQ20" i="16"/>
  <c r="BP20" i="16"/>
  <c r="BO20" i="16"/>
  <c r="BN20" i="16"/>
  <c r="BM20" i="16"/>
  <c r="BL20" i="16"/>
  <c r="BK20" i="16"/>
  <c r="BJ20" i="16"/>
  <c r="BI20" i="16"/>
  <c r="BH20" i="16"/>
  <c r="BG20" i="16"/>
  <c r="BF20" i="16"/>
  <c r="BE20" i="16"/>
  <c r="BD20" i="16"/>
  <c r="CT18" i="16"/>
  <c r="CS18" i="16"/>
  <c r="CR18" i="16"/>
  <c r="CQ18" i="16"/>
  <c r="CP18" i="16"/>
  <c r="CO18" i="16"/>
  <c r="CN18" i="16"/>
  <c r="CM18" i="16"/>
  <c r="CL18" i="16"/>
  <c r="CK18" i="16"/>
  <c r="CJ18" i="16"/>
  <c r="CI18" i="16"/>
  <c r="CH18" i="16"/>
  <c r="CG18" i="16"/>
  <c r="CF18" i="16"/>
  <c r="CE18" i="16"/>
  <c r="CD18" i="16"/>
  <c r="CC18" i="16"/>
  <c r="CB18" i="16"/>
  <c r="CA18" i="16"/>
  <c r="BZ18" i="16"/>
  <c r="BY18" i="16"/>
  <c r="BX18" i="16"/>
  <c r="BW18" i="16"/>
  <c r="BV18" i="16"/>
  <c r="BU18" i="16"/>
  <c r="BT18" i="16"/>
  <c r="BS18" i="16"/>
  <c r="BR18" i="16"/>
  <c r="BQ18" i="16"/>
  <c r="BP18" i="16"/>
  <c r="BO18" i="16"/>
  <c r="BN18" i="16"/>
  <c r="BM18" i="16"/>
  <c r="BL18" i="16"/>
  <c r="BK18" i="16"/>
  <c r="BJ18" i="16"/>
  <c r="BI18" i="16"/>
  <c r="BH18" i="16"/>
  <c r="BG18" i="16"/>
  <c r="BF18" i="16"/>
  <c r="BE18" i="16"/>
  <c r="BD18" i="16"/>
  <c r="BC18" i="16"/>
  <c r="BB18" i="16"/>
  <c r="BA18" i="16"/>
  <c r="AZ18" i="16"/>
  <c r="AY18" i="16"/>
  <c r="AX18" i="16"/>
  <c r="AW18" i="16"/>
  <c r="AV18" i="16"/>
  <c r="AU18" i="16"/>
  <c r="AT18" i="16"/>
  <c r="AS18" i="16"/>
  <c r="AR18" i="16"/>
  <c r="AQ18" i="16"/>
  <c r="AP18" i="16"/>
  <c r="AO18" i="16"/>
  <c r="AN18" i="16"/>
  <c r="AM18" i="16"/>
  <c r="AL18" i="16"/>
  <c r="AK18" i="16"/>
  <c r="AJ18" i="16"/>
  <c r="AI18" i="16"/>
  <c r="AH18" i="16"/>
  <c r="AG18" i="16"/>
  <c r="AF18" i="16"/>
  <c r="AE18" i="16"/>
  <c r="AD18" i="16"/>
  <c r="AC18" i="16"/>
  <c r="AB18" i="16"/>
  <c r="V7" i="19"/>
  <c r="U7" i="19"/>
  <c r="T7" i="19"/>
  <c r="S7" i="19"/>
  <c r="R7" i="19"/>
  <c r="Q7" i="19"/>
  <c r="P7" i="19"/>
  <c r="O7" i="19"/>
  <c r="N7" i="19"/>
  <c r="M7" i="19"/>
  <c r="L7" i="19"/>
  <c r="K7" i="19"/>
  <c r="W7" i="19"/>
  <c r="X7" i="19"/>
  <c r="Y7" i="19"/>
  <c r="Z7" i="19"/>
  <c r="AA7" i="19"/>
  <c r="AA6" i="19"/>
  <c r="Z6" i="19"/>
  <c r="Y6" i="19"/>
  <c r="X6" i="19"/>
  <c r="W6" i="19"/>
  <c r="V6" i="19"/>
  <c r="U6" i="19"/>
  <c r="T6" i="19"/>
  <c r="S6" i="19"/>
  <c r="R6" i="19"/>
  <c r="Q6" i="19"/>
  <c r="P6" i="19"/>
  <c r="O6" i="19"/>
  <c r="N6" i="19"/>
  <c r="M6" i="19"/>
  <c r="L6" i="19"/>
  <c r="K6" i="19"/>
  <c r="J6" i="19"/>
  <c r="I6" i="19"/>
  <c r="H6" i="19"/>
  <c r="G6" i="19"/>
  <c r="F6" i="19"/>
  <c r="E6" i="19"/>
  <c r="D6" i="19"/>
  <c r="C6" i="19"/>
  <c r="B6" i="19"/>
  <c r="CT15" i="16"/>
  <c r="CS15" i="16"/>
  <c r="CR15" i="16"/>
  <c r="CQ15" i="16"/>
  <c r="CP15" i="16"/>
  <c r="CO15" i="16"/>
  <c r="CN15" i="16"/>
  <c r="CM15" i="16"/>
  <c r="CL15" i="16"/>
  <c r="CK15" i="16"/>
  <c r="CJ15" i="16"/>
  <c r="CI15" i="16"/>
  <c r="CH15" i="16"/>
  <c r="CG15" i="16"/>
  <c r="CF15" i="16"/>
  <c r="CE15" i="16"/>
  <c r="CD15" i="16"/>
  <c r="CC15" i="16"/>
  <c r="CB15" i="16"/>
  <c r="CA15" i="16"/>
  <c r="BZ15" i="16"/>
  <c r="BY15" i="16"/>
  <c r="BX15" i="16"/>
  <c r="BW15" i="16"/>
  <c r="BV15" i="16"/>
  <c r="BU15" i="16"/>
  <c r="BT15" i="16"/>
  <c r="BS15" i="16"/>
  <c r="BR15" i="16"/>
  <c r="BQ15" i="16"/>
  <c r="BP15" i="16"/>
  <c r="BO15" i="16"/>
  <c r="BN15" i="16"/>
  <c r="BM15" i="16"/>
  <c r="BL15" i="16"/>
  <c r="BK15" i="16"/>
  <c r="BJ15" i="16"/>
  <c r="BI15" i="16"/>
  <c r="BH15" i="16"/>
  <c r="BG15" i="16"/>
  <c r="BF15" i="16"/>
  <c r="BE15" i="16"/>
  <c r="BD15" i="16"/>
  <c r="BC15" i="16"/>
  <c r="BB15" i="16"/>
  <c r="BA15" i="16"/>
  <c r="AZ15" i="16"/>
  <c r="AY15" i="16"/>
  <c r="AX15" i="16"/>
  <c r="AW15" i="16"/>
  <c r="AV15" i="16"/>
  <c r="AU15" i="16"/>
  <c r="AT15" i="16"/>
  <c r="AS15" i="16"/>
  <c r="AR15" i="16"/>
  <c r="AQ15" i="16"/>
  <c r="AP15" i="16"/>
  <c r="AO15" i="16"/>
  <c r="AN15" i="16"/>
  <c r="AM15" i="16"/>
  <c r="AL15" i="16"/>
  <c r="AK15" i="16"/>
  <c r="AJ15" i="16"/>
  <c r="AI15" i="16"/>
  <c r="AH15" i="16"/>
  <c r="AG15" i="16"/>
  <c r="AF15" i="16"/>
  <c r="AE15" i="16"/>
  <c r="AD15" i="16"/>
  <c r="AC15" i="16"/>
  <c r="AB15" i="16"/>
  <c r="AA15" i="16"/>
  <c r="Z15" i="16"/>
  <c r="Y15" i="16"/>
  <c r="X15" i="16"/>
  <c r="W15" i="16"/>
  <c r="V15" i="16"/>
  <c r="U15" i="16"/>
  <c r="T15" i="16"/>
  <c r="S15" i="16"/>
  <c r="R15" i="16"/>
  <c r="Q15" i="16"/>
  <c r="P15" i="16"/>
  <c r="O15" i="16"/>
  <c r="N15" i="16"/>
  <c r="M15" i="16"/>
  <c r="L15" i="16"/>
  <c r="K15" i="16"/>
  <c r="J15" i="16"/>
  <c r="I15" i="16"/>
  <c r="H15" i="16"/>
  <c r="G15" i="16"/>
  <c r="F15" i="16"/>
  <c r="E15" i="16"/>
  <c r="D15" i="16"/>
  <c r="C15" i="16"/>
  <c r="B15" i="16"/>
  <c r="DT18" i="21" l="1"/>
  <c r="DT19" i="21" s="1"/>
  <c r="CN18" i="21"/>
  <c r="CN19" i="21" s="1"/>
  <c r="BH18" i="21"/>
  <c r="BH19" i="21" s="1"/>
  <c r="DS18" i="21"/>
  <c r="DS19" i="21" s="1"/>
  <c r="CM18" i="21"/>
  <c r="CM19" i="21" s="1"/>
  <c r="BG18" i="21"/>
  <c r="BG19" i="21" s="1"/>
  <c r="BF18" i="21"/>
  <c r="BF19" i="21" s="1"/>
  <c r="BD18" i="21"/>
  <c r="BD19" i="21" s="1"/>
  <c r="BC18" i="21"/>
  <c r="BC19" i="21" s="1"/>
  <c r="CF18" i="21"/>
  <c r="CF19" i="21" s="1"/>
  <c r="AZ18" i="21"/>
  <c r="AZ19" i="21" s="1"/>
  <c r="AY18" i="21"/>
  <c r="AY19" i="21" s="1"/>
  <c r="DP18" i="21"/>
  <c r="DP19" i="21" s="1"/>
  <c r="BB18" i="21"/>
  <c r="BB19" i="21" s="1"/>
  <c r="BA18" i="21"/>
  <c r="BA19" i="21" s="1"/>
  <c r="DI18" i="21"/>
  <c r="DI19" i="21" s="1"/>
  <c r="DM18" i="21"/>
  <c r="DM19" i="21" s="1"/>
  <c r="DK18" i="21"/>
  <c r="DK19" i="21" s="1"/>
  <c r="AW18" i="21"/>
  <c r="AW19" i="21" s="1"/>
  <c r="BT18" i="21"/>
  <c r="BT19" i="21" s="1"/>
  <c r="CJ18" i="21"/>
  <c r="CJ19" i="21" s="1"/>
  <c r="DN18" i="21"/>
  <c r="DN19" i="21" s="1"/>
  <c r="BZ18" i="21"/>
  <c r="BZ19" i="21" s="1"/>
  <c r="AV18" i="21"/>
  <c r="AV19" i="21" s="1"/>
  <c r="CZ18" i="21"/>
  <c r="CZ19" i="21" s="1"/>
  <c r="AX18" i="21"/>
  <c r="AX19" i="21" s="1"/>
  <c r="AR18" i="21"/>
  <c r="DB18" i="21"/>
  <c r="DB19" i="21" s="1"/>
  <c r="BR18" i="21"/>
  <c r="BR19" i="21" s="1"/>
  <c r="DR18" i="21"/>
  <c r="DR19" i="21" s="1"/>
  <c r="CD18" i="21"/>
  <c r="CD19" i="21" s="1"/>
  <c r="CW18" i="21"/>
  <c r="CW19" i="21" s="1"/>
  <c r="BQ18" i="21"/>
  <c r="BQ19" i="21" s="1"/>
  <c r="BX18" i="21"/>
  <c r="BX19" i="21" s="1"/>
  <c r="BP18" i="21"/>
  <c r="BP19" i="21" s="1"/>
  <c r="BK18" i="21"/>
  <c r="BK19" i="21" s="1"/>
  <c r="CG18" i="21"/>
  <c r="CG19" i="21" s="1"/>
  <c r="DJ18" i="21"/>
  <c r="DJ19" i="21" s="1"/>
  <c r="BU18" i="21"/>
  <c r="BU19" i="21" s="1"/>
  <c r="BN18" i="21"/>
  <c r="BN19" i="21" s="1"/>
  <c r="DO18" i="21"/>
  <c r="DO19" i="21" s="1"/>
  <c r="AQ18" i="21"/>
  <c r="BS18" i="21"/>
  <c r="BS19" i="21" s="1"/>
  <c r="BE18" i="21"/>
  <c r="BE19" i="21" s="1"/>
  <c r="BM18" i="21"/>
  <c r="BM19" i="21" s="1"/>
  <c r="CE18" i="21"/>
  <c r="CE19" i="21" s="1"/>
  <c r="AP18" i="21"/>
  <c r="AS18" i="21"/>
  <c r="AS19" i="21" s="1"/>
  <c r="DA18" i="21"/>
  <c r="DA19" i="21" s="1"/>
  <c r="CV18" i="21"/>
  <c r="CV19" i="21" s="1"/>
  <c r="CU18" i="21"/>
  <c r="CU19" i="21" s="1"/>
  <c r="DQ18" i="21"/>
  <c r="DQ19" i="21" s="1"/>
  <c r="CR18" i="21"/>
  <c r="CR19" i="21" s="1"/>
  <c r="BL18" i="21"/>
  <c r="BL19" i="21" s="1"/>
  <c r="BJ18" i="21"/>
  <c r="BJ19" i="21" s="1"/>
  <c r="AU18" i="21"/>
  <c r="AU19" i="21" s="1"/>
  <c r="AT18" i="21"/>
  <c r="AT19" i="21" s="1"/>
  <c r="CX18" i="21"/>
  <c r="CX19" i="21" s="1"/>
  <c r="BO18" i="21"/>
  <c r="BO19" i="21" s="1"/>
  <c r="CK18" i="21"/>
  <c r="CK19" i="21" s="1"/>
  <c r="CS18" i="21"/>
  <c r="CS19" i="21" s="1"/>
  <c r="CL18" i="21"/>
  <c r="CL19" i="21" s="1"/>
  <c r="CC18" i="21"/>
  <c r="CC19" i="21" s="1"/>
  <c r="CT18" i="21"/>
  <c r="CT19" i="21" s="1"/>
  <c r="DH11" i="21"/>
  <c r="CB11" i="21"/>
  <c r="AV11" i="21"/>
  <c r="DH18" i="21"/>
  <c r="DH19" i="21" s="1"/>
  <c r="CA18" i="21"/>
  <c r="CA19" i="21" s="1"/>
  <c r="DG18" i="21"/>
  <c r="DG19" i="21" s="1"/>
  <c r="AO18" i="21"/>
  <c r="CU11" i="21"/>
  <c r="CY18" i="21" s="1"/>
  <c r="CY19" i="21" s="1"/>
  <c r="AN18" i="21"/>
  <c r="AL18" i="21"/>
  <c r="AM18" i="21"/>
  <c r="AK18" i="21"/>
  <c r="AJ18" i="21"/>
  <c r="CB18" i="21"/>
  <c r="CB19" i="21" s="1"/>
  <c r="AI18" i="21"/>
  <c r="DL18" i="21"/>
  <c r="DL19" i="21" s="1"/>
  <c r="AH18" i="21"/>
  <c r="BV18" i="21"/>
  <c r="BV19" i="21" s="1"/>
  <c r="DD18" i="21"/>
  <c r="DD19" i="21" s="1"/>
  <c r="DF18" i="21"/>
  <c r="DF19" i="21" s="1"/>
  <c r="CI18" i="21"/>
  <c r="CI19" i="21" s="1"/>
  <c r="DE18" i="21"/>
  <c r="DE19" i="21" s="1"/>
  <c r="DC18" i="21"/>
  <c r="DC19" i="21" s="1"/>
  <c r="CH18" i="21"/>
  <c r="CH19" i="21" s="1"/>
  <c r="BW18" i="21"/>
  <c r="BW19" i="21" s="1"/>
  <c r="AX23" i="16"/>
  <c r="AY23" i="16"/>
  <c r="AZ23" i="16"/>
  <c r="CT17" i="16"/>
  <c r="CS17" i="16"/>
  <c r="CR17" i="16"/>
  <c r="CQ17" i="16"/>
  <c r="CP17" i="16"/>
  <c r="CO17" i="16"/>
  <c r="CN17" i="16"/>
  <c r="CM17" i="16"/>
  <c r="CL17" i="16"/>
  <c r="CK17" i="16"/>
  <c r="CJ17" i="16"/>
  <c r="CI17" i="16"/>
  <c r="CH17" i="16"/>
  <c r="CG17" i="16"/>
  <c r="CF17" i="16"/>
  <c r="CE17" i="16"/>
  <c r="CD17" i="16"/>
  <c r="CC17" i="16"/>
  <c r="CB17" i="16"/>
  <c r="CA17" i="16"/>
  <c r="BZ17" i="16"/>
  <c r="BY17" i="16"/>
  <c r="BX17" i="16"/>
  <c r="BW17" i="16"/>
  <c r="BV17" i="16"/>
  <c r="BU17" i="16"/>
  <c r="BT17" i="16"/>
  <c r="BS17" i="16"/>
  <c r="BR17" i="16"/>
  <c r="BQ17" i="16"/>
  <c r="BP17" i="16"/>
  <c r="BO17" i="16"/>
  <c r="BN17" i="16"/>
  <c r="BM17" i="16"/>
  <c r="BL17" i="16"/>
  <c r="BK17" i="16"/>
  <c r="BJ17" i="16"/>
  <c r="BI17" i="16"/>
  <c r="BH17" i="16"/>
  <c r="BG17" i="16"/>
  <c r="BF17" i="16"/>
  <c r="BE17" i="16"/>
  <c r="BD17" i="16"/>
  <c r="BC17" i="16"/>
  <c r="BB17" i="16"/>
  <c r="BA17" i="16"/>
  <c r="AZ17" i="16"/>
  <c r="AY17" i="16"/>
  <c r="AX17" i="16"/>
  <c r="AW17" i="16"/>
  <c r="AV17" i="16"/>
  <c r="AU17" i="16"/>
  <c r="AT17" i="16"/>
  <c r="AS17" i="16"/>
  <c r="AR17" i="16"/>
  <c r="AQ17" i="16"/>
  <c r="AP17" i="16"/>
  <c r="AO17" i="16"/>
  <c r="AN17" i="16"/>
  <c r="AM17" i="16"/>
  <c r="AL17" i="16"/>
  <c r="AK17" i="16"/>
  <c r="AJ17" i="16"/>
  <c r="AI17" i="16"/>
  <c r="AH17" i="16"/>
  <c r="AG17" i="16"/>
  <c r="AF17" i="16"/>
  <c r="AE17" i="16"/>
  <c r="AD17" i="16"/>
  <c r="AC17" i="16"/>
  <c r="AB17" i="16"/>
  <c r="AA17" i="16"/>
  <c r="Z17" i="16"/>
  <c r="Y17" i="16"/>
  <c r="X17" i="16"/>
  <c r="W17" i="16"/>
  <c r="V17" i="16"/>
  <c r="U17" i="16"/>
  <c r="T17" i="16"/>
  <c r="S17" i="16"/>
  <c r="R17" i="16"/>
  <c r="Q17" i="16"/>
  <c r="P17" i="16"/>
  <c r="O17" i="16"/>
  <c r="N17" i="16"/>
  <c r="M17" i="16"/>
  <c r="L17" i="16"/>
  <c r="K17" i="16"/>
  <c r="J17" i="16"/>
  <c r="I17" i="16"/>
  <c r="H17" i="16"/>
  <c r="G17" i="16"/>
  <c r="F17" i="16"/>
  <c r="E17" i="16"/>
  <c r="D17" i="16"/>
  <c r="C17" i="16"/>
  <c r="B17" i="16"/>
  <c r="CT13" i="16"/>
  <c r="CS13" i="16"/>
  <c r="CR13" i="16"/>
  <c r="CQ13" i="16"/>
  <c r="CP13" i="16"/>
  <c r="CO13" i="16"/>
  <c r="CN13" i="16"/>
  <c r="CM13" i="16"/>
  <c r="CL13" i="16"/>
  <c r="CK13" i="16"/>
  <c r="CJ13" i="16"/>
  <c r="CI13" i="16"/>
  <c r="CH13" i="16"/>
  <c r="CG13" i="16"/>
  <c r="CF13" i="16"/>
  <c r="CE13" i="16"/>
  <c r="CD13" i="16"/>
  <c r="CC13" i="16"/>
  <c r="CB13" i="16"/>
  <c r="CA13" i="16"/>
  <c r="BZ13" i="16"/>
  <c r="BY13" i="16"/>
  <c r="BX13" i="16"/>
  <c r="BW13" i="16"/>
  <c r="BV13" i="16"/>
  <c r="BU13" i="16"/>
  <c r="BT13" i="16"/>
  <c r="BS13" i="16"/>
  <c r="BR13" i="16"/>
  <c r="BQ13" i="16"/>
  <c r="BP13" i="16"/>
  <c r="BO13" i="16"/>
  <c r="BN13" i="16"/>
  <c r="BM13" i="16"/>
  <c r="BL13" i="16"/>
  <c r="BK13" i="16"/>
  <c r="BJ13" i="16"/>
  <c r="BI13" i="16"/>
  <c r="BH13" i="16"/>
  <c r="BG13" i="16"/>
  <c r="BF13" i="16"/>
  <c r="BE13" i="16"/>
  <c r="BD13" i="16"/>
  <c r="BC13" i="16"/>
  <c r="BB13" i="16"/>
  <c r="BA13" i="16"/>
  <c r="AZ13" i="16"/>
  <c r="AY13" i="16"/>
  <c r="AX13" i="16"/>
  <c r="AW13" i="16"/>
  <c r="AV13" i="16"/>
  <c r="AU13" i="16"/>
  <c r="AT13" i="16"/>
  <c r="AS13" i="16"/>
  <c r="AR13" i="16"/>
  <c r="AQ13" i="16"/>
  <c r="AP13" i="16"/>
  <c r="AO13" i="16"/>
  <c r="AN13" i="16"/>
  <c r="AM13" i="16"/>
  <c r="AL13" i="16"/>
  <c r="AK13" i="16"/>
  <c r="AJ13" i="16"/>
  <c r="AI13" i="16"/>
  <c r="AH13" i="16"/>
  <c r="AG13" i="16"/>
  <c r="AF13" i="16"/>
  <c r="AE13" i="16"/>
  <c r="AD13" i="16"/>
  <c r="AC13" i="16"/>
  <c r="AB13" i="16"/>
  <c r="AA13" i="16"/>
  <c r="Z13" i="16"/>
  <c r="Y13" i="16"/>
  <c r="X13" i="16"/>
  <c r="W13" i="16"/>
  <c r="V13" i="16"/>
  <c r="U13" i="16"/>
  <c r="T13" i="16"/>
  <c r="CT11" i="16"/>
  <c r="CS11" i="16"/>
  <c r="CR11" i="16"/>
  <c r="CQ11" i="16"/>
  <c r="CP11" i="16"/>
  <c r="CO11" i="16"/>
  <c r="CN11" i="16"/>
  <c r="CM11" i="16"/>
  <c r="CL11" i="16"/>
  <c r="CK11" i="16"/>
  <c r="CJ11" i="16"/>
  <c r="CI11" i="16"/>
  <c r="CH11" i="16"/>
  <c r="CG11" i="16"/>
  <c r="CF11" i="16"/>
  <c r="CE11" i="16"/>
  <c r="CD11" i="16"/>
  <c r="CC11" i="16"/>
  <c r="CB11" i="16"/>
  <c r="CA11" i="16"/>
  <c r="BZ11" i="16"/>
  <c r="BY11" i="16"/>
  <c r="BX11" i="16"/>
  <c r="BW11" i="16"/>
  <c r="BV11" i="16"/>
  <c r="BU11" i="16"/>
  <c r="BT11" i="16"/>
  <c r="BS11" i="16"/>
  <c r="BR11" i="16"/>
  <c r="BQ11" i="16"/>
  <c r="BP11" i="16"/>
  <c r="BO11" i="16"/>
  <c r="BN11" i="16"/>
  <c r="BM11" i="16"/>
  <c r="BL11" i="16"/>
  <c r="BK11" i="16"/>
  <c r="BJ11" i="16"/>
  <c r="BI11" i="16"/>
  <c r="BH11" i="16"/>
  <c r="BG11" i="16"/>
  <c r="BF11" i="16"/>
  <c r="BE11" i="16"/>
  <c r="BD11" i="16"/>
  <c r="BC11" i="16"/>
  <c r="BB11" i="16"/>
  <c r="BA11" i="16"/>
  <c r="AZ11" i="16"/>
  <c r="AY11" i="16"/>
  <c r="AX11" i="16"/>
  <c r="AW11" i="16"/>
  <c r="AV11" i="16"/>
  <c r="AU11" i="16"/>
  <c r="AT11" i="16"/>
  <c r="AS11" i="16"/>
  <c r="AR11" i="16"/>
  <c r="AQ11" i="16"/>
  <c r="AP11" i="16"/>
  <c r="AO11" i="16"/>
  <c r="AN11" i="16"/>
  <c r="AM11" i="16"/>
  <c r="AL11" i="16"/>
  <c r="AK11" i="16"/>
  <c r="AJ11" i="16"/>
  <c r="AI11" i="16"/>
  <c r="AH11" i="16"/>
  <c r="AG11" i="16"/>
  <c r="AF11" i="16"/>
  <c r="AE11" i="16"/>
  <c r="AD11" i="16"/>
  <c r="AC11" i="16"/>
  <c r="AB11" i="16"/>
  <c r="AA11" i="16"/>
  <c r="Z11" i="16"/>
  <c r="Y11" i="16"/>
  <c r="X11" i="16"/>
  <c r="W11" i="16"/>
  <c r="V11" i="16"/>
  <c r="U11" i="16"/>
  <c r="T11" i="16"/>
  <c r="S11" i="16"/>
  <c r="CT9" i="16"/>
  <c r="CS9" i="16"/>
  <c r="CR9" i="16"/>
  <c r="CQ9" i="16"/>
  <c r="CP9" i="16"/>
  <c r="CO9" i="16"/>
  <c r="CN9" i="16"/>
  <c r="CM9" i="16"/>
  <c r="CL9" i="16"/>
  <c r="CK9" i="16"/>
  <c r="CJ9" i="16"/>
  <c r="CI9" i="16"/>
  <c r="CH9" i="16"/>
  <c r="CG9" i="16"/>
  <c r="CF9" i="16"/>
  <c r="CE9" i="16"/>
  <c r="CD9" i="16"/>
  <c r="CC9" i="16"/>
  <c r="CB9" i="16"/>
  <c r="CA9" i="16"/>
  <c r="BZ9" i="16"/>
  <c r="BY9" i="16"/>
  <c r="BX9" i="16"/>
  <c r="BW9" i="16"/>
  <c r="BV9" i="16"/>
  <c r="BU9" i="16"/>
  <c r="BT9" i="16"/>
  <c r="BS9" i="16"/>
  <c r="BR9" i="16"/>
  <c r="BQ9" i="16"/>
  <c r="BP9" i="16"/>
  <c r="BO9" i="16"/>
  <c r="BN9" i="16"/>
  <c r="BM9" i="16"/>
  <c r="BL9" i="16"/>
  <c r="BK9" i="16"/>
  <c r="BJ9" i="16"/>
  <c r="BI9" i="16"/>
  <c r="BH9" i="16"/>
  <c r="BG9" i="16"/>
  <c r="BF9" i="16"/>
  <c r="BE9" i="16"/>
  <c r="BD9" i="16"/>
  <c r="BC9" i="16"/>
  <c r="BB9" i="16"/>
  <c r="BA9" i="16"/>
  <c r="AZ9" i="16"/>
  <c r="AY9" i="16"/>
  <c r="AX9" i="16"/>
  <c r="AW9" i="16"/>
  <c r="AV9" i="16"/>
  <c r="AU9" i="16"/>
  <c r="AT9" i="16"/>
  <c r="AS9" i="16"/>
  <c r="AR9" i="16"/>
  <c r="AQ9" i="16"/>
  <c r="AP9" i="16"/>
  <c r="AO9" i="16"/>
  <c r="AN9" i="16"/>
  <c r="AM9" i="16"/>
  <c r="AL9" i="16"/>
  <c r="AK9" i="16"/>
  <c r="AJ9" i="16"/>
  <c r="AI9" i="16"/>
  <c r="AH9" i="16"/>
  <c r="AG9" i="16"/>
  <c r="AF9" i="16"/>
  <c r="AE9" i="16"/>
  <c r="AD9" i="16"/>
  <c r="AC9" i="16"/>
  <c r="AB9" i="16"/>
  <c r="AA9" i="16"/>
  <c r="Z9" i="16"/>
  <c r="Y9" i="16"/>
  <c r="X9" i="16"/>
  <c r="W9" i="16"/>
  <c r="V9" i="16"/>
  <c r="U9" i="16"/>
  <c r="T9" i="16"/>
  <c r="CI23" i="1"/>
  <c r="CH23" i="1"/>
  <c r="CG23" i="1"/>
  <c r="CF23" i="1"/>
  <c r="CE23" i="1"/>
  <c r="CD23" i="1"/>
  <c r="CC23" i="1"/>
  <c r="CB23" i="1"/>
  <c r="CA23" i="1"/>
  <c r="BZ23" i="1"/>
  <c r="BY23" i="1"/>
  <c r="BX23" i="1"/>
  <c r="BW23" i="1"/>
  <c r="BV23" i="1"/>
  <c r="BU23" i="1"/>
  <c r="BT23" i="1"/>
  <c r="BS23" i="1"/>
  <c r="BR23" i="1"/>
  <c r="BQ23" i="1"/>
  <c r="BP23" i="1"/>
  <c r="BO23" i="1"/>
  <c r="BN23" i="1"/>
  <c r="BM23" i="1"/>
  <c r="BL23" i="1"/>
  <c r="BK23" i="1"/>
  <c r="BJ23" i="1"/>
  <c r="BI23" i="1"/>
  <c r="BH23" i="1"/>
  <c r="BG23" i="1"/>
  <c r="BF23" i="1"/>
  <c r="BE23" i="1"/>
  <c r="BD23" i="1"/>
  <c r="BC23" i="1"/>
  <c r="BB23" i="1"/>
  <c r="BA23" i="1"/>
  <c r="AZ23" i="1"/>
  <c r="AY23" i="1"/>
  <c r="AX23" i="1"/>
  <c r="AW23" i="1"/>
  <c r="AV23" i="1"/>
  <c r="AU23" i="1"/>
  <c r="AT23" i="1"/>
  <c r="AS23" i="1"/>
  <c r="AR23" i="1"/>
  <c r="AQ23" i="1"/>
  <c r="AP23" i="1"/>
  <c r="AO23" i="1"/>
  <c r="AN23" i="1"/>
  <c r="AM23" i="1"/>
  <c r="AL23" i="1"/>
  <c r="AK23" i="1"/>
  <c r="AJ23" i="1"/>
  <c r="AI23" i="1"/>
  <c r="AH23" i="1"/>
  <c r="AG23" i="1"/>
  <c r="AF23" i="1"/>
  <c r="AE23" i="1"/>
  <c r="AD23" i="1"/>
  <c r="AC23" i="1"/>
  <c r="AB23" i="1"/>
  <c r="AA23" i="1"/>
  <c r="Z23" i="1"/>
  <c r="Y23" i="1"/>
  <c r="X23" i="1"/>
  <c r="W23" i="1"/>
  <c r="V23" i="1"/>
  <c r="U23" i="1"/>
  <c r="T23" i="1"/>
  <c r="S23" i="1"/>
  <c r="R23" i="1"/>
  <c r="Q23" i="1"/>
  <c r="P23" i="1"/>
  <c r="O23" i="1"/>
  <c r="N23" i="1"/>
  <c r="M23" i="1"/>
  <c r="L23" i="1"/>
  <c r="K23" i="1"/>
  <c r="J23" i="1"/>
  <c r="CI22" i="1"/>
  <c r="CH22" i="1"/>
  <c r="CG22" i="1"/>
  <c r="CF22" i="1"/>
  <c r="CE22" i="1"/>
  <c r="CD22" i="1"/>
  <c r="CC22" i="1"/>
  <c r="CB22" i="1"/>
  <c r="CA22" i="1"/>
  <c r="BZ22" i="1"/>
  <c r="BY22" i="1"/>
  <c r="BX22" i="1"/>
  <c r="BW22" i="1"/>
  <c r="BV22" i="1"/>
  <c r="BU22" i="1"/>
  <c r="BT22" i="1"/>
  <c r="BS22" i="1"/>
  <c r="BR22" i="1"/>
  <c r="BQ22" i="1"/>
  <c r="BP22" i="1"/>
  <c r="BO22" i="1"/>
  <c r="BN22" i="1"/>
  <c r="BM22" i="1"/>
  <c r="BL22" i="1"/>
  <c r="BK22" i="1"/>
  <c r="BJ22" i="1"/>
  <c r="BI22" i="1"/>
  <c r="BH22" i="1"/>
  <c r="BG22" i="1"/>
  <c r="BF22" i="1"/>
  <c r="BE22" i="1"/>
  <c r="BD22" i="1"/>
  <c r="BC22" i="1"/>
  <c r="BB22" i="1"/>
  <c r="BA22" i="1"/>
  <c r="AZ22" i="1"/>
  <c r="AY22" i="1"/>
  <c r="AX22" i="1"/>
  <c r="AW22" i="1"/>
  <c r="AV22" i="1"/>
  <c r="AU22" i="1"/>
  <c r="AT22" i="1"/>
  <c r="AS22"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J22" i="1"/>
  <c r="CI21" i="1"/>
  <c r="CH21" i="1"/>
  <c r="CG21" i="1"/>
  <c r="CF21" i="1"/>
  <c r="CE21" i="1"/>
  <c r="CD21" i="1"/>
  <c r="CC21" i="1"/>
  <c r="CB21" i="1"/>
  <c r="CA21" i="1"/>
  <c r="BZ21" i="1"/>
  <c r="BY21" i="1"/>
  <c r="BX21" i="1"/>
  <c r="BW21" i="1"/>
  <c r="BV21" i="1"/>
  <c r="BU21" i="1"/>
  <c r="BT21" i="1"/>
  <c r="BS21" i="1"/>
  <c r="BR21" i="1"/>
  <c r="BQ21" i="1"/>
  <c r="BP21" i="1"/>
  <c r="BO21" i="1"/>
  <c r="BN21" i="1"/>
  <c r="BM21" i="1"/>
  <c r="BL21" i="1"/>
  <c r="BK21" i="1"/>
  <c r="BJ21" i="1"/>
  <c r="BI21" i="1"/>
  <c r="BH21" i="1"/>
  <c r="BG21" i="1"/>
  <c r="BF21" i="1"/>
  <c r="BE21" i="1"/>
  <c r="BD21" i="1"/>
  <c r="BC21" i="1"/>
  <c r="BB21" i="1"/>
  <c r="BA21" i="1"/>
  <c r="AZ21" i="1"/>
  <c r="AY21" i="1"/>
  <c r="AX21" i="1"/>
  <c r="AW21" i="1"/>
  <c r="AV21" i="1"/>
  <c r="AU21" i="1"/>
  <c r="AT21" i="1"/>
  <c r="AS21" i="1"/>
  <c r="AR21" i="1"/>
  <c r="AQ21"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K21" i="1"/>
  <c r="J21" i="1"/>
  <c r="CI20" i="1"/>
  <c r="CH20" i="1"/>
  <c r="CG20" i="1"/>
  <c r="CF20" i="1"/>
  <c r="CE20" i="1"/>
  <c r="CD20" i="1"/>
  <c r="CC20" i="1"/>
  <c r="CB20" i="1"/>
  <c r="CA20" i="1"/>
  <c r="BZ20" i="1"/>
  <c r="BY20" i="1"/>
  <c r="BX20" i="1"/>
  <c r="BW20" i="1"/>
  <c r="BV20" i="1"/>
  <c r="BU20" i="1"/>
  <c r="BT20" i="1"/>
  <c r="BS20" i="1"/>
  <c r="BR20" i="1"/>
  <c r="BQ20" i="1"/>
  <c r="BP20" i="1"/>
  <c r="BO20" i="1"/>
  <c r="BN20" i="1"/>
  <c r="BM20" i="1"/>
  <c r="BL20" i="1"/>
  <c r="BK20" i="1"/>
  <c r="BJ20" i="1"/>
  <c r="BI20" i="1"/>
  <c r="BH20" i="1"/>
  <c r="BG20" i="1"/>
  <c r="BF20" i="1"/>
  <c r="BE20" i="1"/>
  <c r="BD20" i="1"/>
  <c r="BC20" i="1"/>
  <c r="BB20" i="1"/>
  <c r="BA20"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Y20" i="1"/>
  <c r="X20" i="1"/>
  <c r="W20" i="1"/>
  <c r="V20" i="1"/>
  <c r="U20" i="1"/>
  <c r="T20" i="1"/>
  <c r="S20" i="1"/>
  <c r="R20" i="1"/>
  <c r="Q20" i="1"/>
  <c r="P20" i="1"/>
  <c r="O20" i="1"/>
  <c r="N20" i="1"/>
  <c r="M20" i="1"/>
  <c r="L20" i="1"/>
  <c r="K20" i="1"/>
  <c r="J20" i="1"/>
  <c r="I23" i="1"/>
  <c r="I22" i="1"/>
  <c r="I21" i="1"/>
  <c r="I20" i="1"/>
  <c r="CI19" i="1"/>
  <c r="CH19" i="1"/>
  <c r="CG19" i="1"/>
  <c r="CF19" i="1"/>
  <c r="CE19" i="1"/>
  <c r="CD19" i="1"/>
  <c r="CC19" i="1"/>
  <c r="CB19" i="1"/>
  <c r="CA19" i="1"/>
  <c r="BZ19" i="1"/>
  <c r="BY19" i="1"/>
  <c r="BX19" i="1"/>
  <c r="BW19" i="1"/>
  <c r="BV19" i="1"/>
  <c r="BU19" i="1"/>
  <c r="BT19" i="1"/>
  <c r="BS19" i="1"/>
  <c r="BR19" i="1"/>
  <c r="BQ19" i="1"/>
  <c r="BP19" i="1"/>
  <c r="BO19" i="1"/>
  <c r="BN19" i="1"/>
  <c r="BM19" i="1"/>
  <c r="BL19" i="1"/>
  <c r="BK19" i="1"/>
  <c r="BJ19" i="1"/>
  <c r="BI19" i="1"/>
  <c r="BH19" i="1"/>
  <c r="BG19" i="1"/>
  <c r="BF19" i="1"/>
  <c r="BE19" i="1"/>
  <c r="BD19" i="1"/>
  <c r="BC19" i="1"/>
  <c r="BB19" i="1"/>
  <c r="BA19" i="1"/>
  <c r="AZ19" i="1"/>
  <c r="AY19" i="1"/>
  <c r="AX19" i="1"/>
  <c r="AW19" i="1"/>
  <c r="AV19" i="1"/>
  <c r="AU19" i="1"/>
  <c r="AT19" i="1"/>
  <c r="AS19"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CI15" i="1"/>
  <c r="CH15" i="1"/>
  <c r="CG15" i="1"/>
  <c r="CF15" i="1"/>
  <c r="CE15" i="1"/>
  <c r="CD15" i="1"/>
  <c r="CC15" i="1"/>
  <c r="CB15" i="1"/>
  <c r="CA15" i="1"/>
  <c r="BZ15" i="1"/>
  <c r="BY15" i="1"/>
  <c r="BX15" i="1"/>
  <c r="BW15" i="1"/>
  <c r="BV15" i="1"/>
  <c r="BU15" i="1"/>
  <c r="BT15" i="1"/>
  <c r="BS15" i="1"/>
  <c r="BR15" i="1"/>
  <c r="BQ15" i="1"/>
  <c r="BP15" i="1"/>
  <c r="BO15" i="1"/>
  <c r="BN15" i="1"/>
  <c r="BM15" i="1"/>
  <c r="BL15" i="1"/>
  <c r="BK15" i="1"/>
  <c r="BJ15" i="1"/>
  <c r="BI15" i="1"/>
  <c r="BH15" i="1"/>
  <c r="BG15" i="1"/>
  <c r="BF15" i="1"/>
  <c r="BE15" i="1"/>
  <c r="BD15" i="1"/>
  <c r="BC15" i="1"/>
  <c r="BB15" i="1"/>
  <c r="BA15" i="1"/>
  <c r="AZ15" i="1"/>
  <c r="AY15" i="1"/>
  <c r="AX15" i="1"/>
  <c r="AW15" i="1"/>
  <c r="AV15" i="1"/>
  <c r="AU15" i="1"/>
  <c r="AT15" i="1"/>
  <c r="AS15" i="1"/>
  <c r="AR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J15" i="1"/>
  <c r="I15" i="1"/>
  <c r="CI12" i="1"/>
  <c r="CH12" i="1"/>
  <c r="CG12" i="1"/>
  <c r="CF12" i="1"/>
  <c r="CE12" i="1"/>
  <c r="CD12" i="1"/>
  <c r="CC12" i="1"/>
  <c r="CB12" i="1"/>
  <c r="CA12" i="1"/>
  <c r="BZ12" i="1"/>
  <c r="BY12" i="1"/>
  <c r="BX12" i="1"/>
  <c r="BW12" i="1"/>
  <c r="BV12" i="1"/>
  <c r="BU12" i="1"/>
  <c r="BT12" i="1"/>
  <c r="BS12" i="1"/>
  <c r="BR12" i="1"/>
  <c r="BQ12" i="1"/>
  <c r="BP12" i="1"/>
  <c r="BO12" i="1"/>
  <c r="BN12" i="1"/>
  <c r="BM12" i="1"/>
  <c r="BL12" i="1"/>
  <c r="BK12" i="1"/>
  <c r="BJ12" i="1"/>
  <c r="BI12" i="1"/>
  <c r="BH12" i="1"/>
  <c r="BG12" i="1"/>
  <c r="BF12" i="1"/>
  <c r="BE12" i="1"/>
  <c r="BD12" i="1"/>
  <c r="BC12" i="1"/>
  <c r="BB12" i="1"/>
  <c r="BA12"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J12" i="1"/>
  <c r="I12" i="1"/>
  <c r="CI6" i="1"/>
  <c r="CH6" i="1"/>
  <c r="CG6" i="1"/>
  <c r="CF6" i="1"/>
  <c r="CE6" i="1"/>
  <c r="CD6" i="1"/>
  <c r="CC6" i="1"/>
  <c r="CB6" i="1"/>
  <c r="CA6" i="1"/>
  <c r="BZ6" i="1"/>
  <c r="BY6" i="1"/>
  <c r="BX6" i="1"/>
  <c r="BW6" i="1"/>
  <c r="BV6" i="1"/>
  <c r="BU6" i="1"/>
  <c r="BT6" i="1"/>
  <c r="BS6" i="1"/>
  <c r="BR6" i="1"/>
  <c r="BQ6" i="1"/>
  <c r="BP6" i="1"/>
  <c r="BO6" i="1"/>
  <c r="BN6" i="1"/>
  <c r="BM6" i="1"/>
  <c r="BL6" i="1"/>
  <c r="BK6" i="1"/>
  <c r="BJ6" i="1"/>
  <c r="BI6" i="1"/>
  <c r="BH6" i="1"/>
  <c r="BG6" i="1"/>
  <c r="BF6" i="1"/>
  <c r="BE6" i="1"/>
  <c r="BD6" i="1"/>
  <c r="BC6" i="1"/>
  <c r="BB6" i="1"/>
  <c r="BA6" i="1"/>
  <c r="AZ6" i="1"/>
  <c r="AY6" i="1"/>
  <c r="AX6" i="1"/>
  <c r="AW6" i="1"/>
  <c r="AV6" i="1"/>
  <c r="AU6" i="1"/>
  <c r="AT6" i="1"/>
  <c r="AS6" i="1"/>
  <c r="AR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J6" i="1"/>
  <c r="I6" i="1"/>
  <c r="CT16" i="16"/>
  <c r="CS16" i="16"/>
  <c r="CR16" i="16"/>
  <c r="CQ16" i="16"/>
  <c r="CP16" i="16"/>
  <c r="CO16" i="16"/>
  <c r="CN16" i="16"/>
  <c r="CM16" i="16"/>
  <c r="CL16" i="16"/>
  <c r="CK16" i="16"/>
  <c r="CJ16" i="16"/>
  <c r="CI16" i="16"/>
  <c r="CH16" i="16"/>
  <c r="CG16" i="16"/>
  <c r="CF16" i="16"/>
  <c r="CE16" i="16"/>
  <c r="CD16" i="16"/>
  <c r="CC16" i="16"/>
  <c r="CB16" i="16"/>
  <c r="CA16" i="16"/>
  <c r="BZ16" i="16"/>
  <c r="BY16" i="16"/>
  <c r="BX16" i="16"/>
  <c r="BW16" i="16"/>
  <c r="BV16" i="16"/>
  <c r="BU16" i="16"/>
  <c r="BT16" i="16"/>
  <c r="BS16" i="16"/>
  <c r="BR16" i="16"/>
  <c r="BQ16" i="16"/>
  <c r="BP16" i="16"/>
  <c r="BO16" i="16"/>
  <c r="BN16" i="16"/>
  <c r="BM16" i="16"/>
  <c r="BL16" i="16"/>
  <c r="BK16" i="16"/>
  <c r="BJ16" i="16"/>
  <c r="BI16" i="16"/>
  <c r="BH16" i="16"/>
  <c r="BG16" i="16"/>
  <c r="BF16" i="16"/>
  <c r="BE16" i="16"/>
  <c r="BD16" i="16"/>
  <c r="BC16" i="16"/>
  <c r="BB16" i="16"/>
  <c r="BA16" i="16"/>
  <c r="AZ16" i="16"/>
  <c r="AY16" i="16"/>
  <c r="AX16" i="16"/>
  <c r="AW16" i="16"/>
  <c r="AV16" i="16"/>
  <c r="AU16" i="16"/>
  <c r="AT16" i="16"/>
  <c r="AS16" i="16"/>
  <c r="AR16" i="16"/>
  <c r="AQ16" i="16"/>
  <c r="AP16" i="16"/>
  <c r="AO16" i="16"/>
  <c r="AN16" i="16"/>
  <c r="AM16" i="16"/>
  <c r="AL16" i="16"/>
  <c r="AK16" i="16"/>
  <c r="AJ16" i="16"/>
  <c r="AI16" i="16"/>
  <c r="AH16" i="16"/>
  <c r="AG16" i="16"/>
  <c r="AF16" i="16"/>
  <c r="AE16" i="16"/>
  <c r="AD16" i="16"/>
  <c r="AC16" i="16"/>
  <c r="AB16" i="16"/>
  <c r="AA16" i="16"/>
  <c r="Z16" i="16"/>
  <c r="Y16" i="16"/>
  <c r="X16" i="16"/>
  <c r="W16" i="16"/>
  <c r="V16" i="16"/>
  <c r="U16" i="16"/>
  <c r="T16" i="16"/>
  <c r="S16" i="16"/>
  <c r="R16" i="16"/>
  <c r="Q16" i="16"/>
  <c r="P16" i="16"/>
  <c r="O16" i="16"/>
  <c r="N16" i="16"/>
  <c r="M16" i="16"/>
  <c r="L16" i="16"/>
  <c r="K16" i="16"/>
  <c r="J16" i="16"/>
  <c r="I16" i="16"/>
  <c r="H16" i="16"/>
  <c r="G16" i="16"/>
  <c r="F16" i="16"/>
  <c r="E16" i="16"/>
  <c r="D16" i="16"/>
  <c r="C16" i="16"/>
  <c r="CT14" i="16"/>
  <c r="CS14" i="16"/>
  <c r="CR14" i="16"/>
  <c r="CQ14" i="16"/>
  <c r="CP14" i="16"/>
  <c r="CO14" i="16"/>
  <c r="CN14" i="16"/>
  <c r="CM14" i="16"/>
  <c r="CL14" i="16"/>
  <c r="CK14" i="16"/>
  <c r="CJ14" i="16"/>
  <c r="CI14" i="16"/>
  <c r="CH14" i="16"/>
  <c r="CG14" i="16"/>
  <c r="CF14" i="16"/>
  <c r="CE14" i="16"/>
  <c r="CD14" i="16"/>
  <c r="CC14" i="16"/>
  <c r="CB14" i="16"/>
  <c r="CA14" i="16"/>
  <c r="BZ14" i="16"/>
  <c r="BY14" i="16"/>
  <c r="BX14" i="16"/>
  <c r="BW14" i="16"/>
  <c r="BV14" i="16"/>
  <c r="BU14" i="16"/>
  <c r="BT14" i="16"/>
  <c r="BS14" i="16"/>
  <c r="BR14" i="16"/>
  <c r="BQ14" i="16"/>
  <c r="BP14" i="16"/>
  <c r="BO14" i="16"/>
  <c r="BN14" i="16"/>
  <c r="BM14" i="16"/>
  <c r="BL14" i="16"/>
  <c r="BK14" i="16"/>
  <c r="BJ14" i="16"/>
  <c r="BI14" i="16"/>
  <c r="BH14" i="16"/>
  <c r="BG14" i="16"/>
  <c r="BF14" i="16"/>
  <c r="BE14" i="16"/>
  <c r="BD14" i="16"/>
  <c r="BC14" i="16"/>
  <c r="BB14" i="16"/>
  <c r="BA14" i="16"/>
  <c r="AZ14" i="16"/>
  <c r="AY14" i="16"/>
  <c r="AX14" i="16"/>
  <c r="AW14" i="16"/>
  <c r="AV14" i="16"/>
  <c r="AU14" i="16"/>
  <c r="AT14" i="16"/>
  <c r="AS14" i="16"/>
  <c r="AR14" i="16"/>
  <c r="AQ14" i="16"/>
  <c r="AP14" i="16"/>
  <c r="AO14" i="16"/>
  <c r="AN14" i="16"/>
  <c r="AM14" i="16"/>
  <c r="AL14" i="16"/>
  <c r="AK14" i="16"/>
  <c r="AJ14" i="16"/>
  <c r="AI14" i="16"/>
  <c r="AH14" i="16"/>
  <c r="AG14" i="16"/>
  <c r="AF14" i="16"/>
  <c r="AE14" i="16"/>
  <c r="AD14" i="16"/>
  <c r="AC14" i="16"/>
  <c r="AB14" i="16"/>
  <c r="AA14" i="16"/>
  <c r="Z14" i="16"/>
  <c r="Y14" i="16"/>
  <c r="X14" i="16"/>
  <c r="W14" i="16"/>
  <c r="V14" i="16"/>
  <c r="U14" i="16"/>
  <c r="T14" i="16"/>
  <c r="S14" i="16"/>
  <c r="R14" i="16"/>
  <c r="Q14" i="16"/>
  <c r="P14" i="16"/>
  <c r="O14" i="16"/>
  <c r="N14" i="16"/>
  <c r="M14" i="16"/>
  <c r="L14" i="16"/>
  <c r="K14" i="16"/>
  <c r="J14" i="16"/>
  <c r="I14" i="16"/>
  <c r="H14" i="16"/>
  <c r="G14" i="16"/>
  <c r="F14" i="16"/>
  <c r="E14" i="16"/>
  <c r="D14" i="16"/>
  <c r="C14" i="16"/>
  <c r="B14" i="16"/>
  <c r="L61" i="15"/>
  <c r="K61" i="15"/>
  <c r="J61" i="15"/>
  <c r="I61" i="15"/>
  <c r="I63" i="15" s="1"/>
  <c r="H61" i="15"/>
  <c r="H63" i="15" s="1"/>
  <c r="L60" i="15"/>
  <c r="L63" i="15" s="1"/>
  <c r="K60" i="15"/>
  <c r="K63" i="15" s="1"/>
  <c r="J60" i="15"/>
  <c r="J63" i="15" s="1"/>
  <c r="I60" i="15"/>
  <c r="H60" i="15"/>
  <c r="G63" i="15"/>
  <c r="G61" i="15"/>
  <c r="G60" i="15"/>
  <c r="V12" i="10"/>
  <c r="U12" i="10"/>
  <c r="T12" i="10"/>
  <c r="S12" i="10"/>
  <c r="R12" i="10"/>
  <c r="Q12" i="10"/>
  <c r="P12" i="10"/>
  <c r="O12" i="10"/>
  <c r="N12" i="10"/>
  <c r="M12" i="10"/>
  <c r="L12" i="10"/>
  <c r="K12" i="10"/>
  <c r="J12" i="10"/>
  <c r="I12" i="10"/>
  <c r="H12" i="10"/>
  <c r="G12" i="10"/>
  <c r="F12" i="10"/>
  <c r="E12" i="10"/>
  <c r="D12" i="10"/>
  <c r="C12" i="10"/>
  <c r="B13" i="10"/>
  <c r="CT12" i="16"/>
  <c r="CS12" i="16"/>
  <c r="CR12" i="16"/>
  <c r="CQ12" i="16"/>
  <c r="CP12" i="16"/>
  <c r="CO12" i="16"/>
  <c r="CN12" i="16"/>
  <c r="CM12" i="16"/>
  <c r="CL12" i="16"/>
  <c r="CK12" i="16"/>
  <c r="CJ12" i="16"/>
  <c r="CI12" i="16"/>
  <c r="CH12" i="16"/>
  <c r="CG12" i="16"/>
  <c r="CF12" i="16"/>
  <c r="CE12" i="16"/>
  <c r="CD12" i="16"/>
  <c r="CC12" i="16"/>
  <c r="CB12" i="16"/>
  <c r="CA12" i="16"/>
  <c r="BZ12" i="16"/>
  <c r="BY12" i="16"/>
  <c r="BX12" i="16"/>
  <c r="BW12" i="16"/>
  <c r="BV12" i="16"/>
  <c r="BU12" i="16"/>
  <c r="BT12" i="16"/>
  <c r="BS12" i="16"/>
  <c r="BR12" i="16"/>
  <c r="BQ12" i="16"/>
  <c r="BP12" i="16"/>
  <c r="BO12" i="16"/>
  <c r="BN12" i="16"/>
  <c r="BM12" i="16"/>
  <c r="BL12" i="16"/>
  <c r="BK12" i="16"/>
  <c r="BJ12" i="16"/>
  <c r="BI12" i="16"/>
  <c r="BH12" i="16"/>
  <c r="BG12" i="16"/>
  <c r="BF12" i="16"/>
  <c r="BE12" i="16"/>
  <c r="BD12" i="16"/>
  <c r="BC12" i="16"/>
  <c r="BB12" i="16"/>
  <c r="BA12" i="16"/>
  <c r="AZ12" i="16"/>
  <c r="AY12" i="16"/>
  <c r="AX12" i="16"/>
  <c r="AW12" i="16"/>
  <c r="AV12" i="16"/>
  <c r="AU12" i="16"/>
  <c r="AT12" i="16"/>
  <c r="AS12" i="16"/>
  <c r="AR12" i="16"/>
  <c r="AQ12" i="16"/>
  <c r="AP12" i="16"/>
  <c r="AO12" i="16"/>
  <c r="AN12" i="16"/>
  <c r="AM12" i="16"/>
  <c r="AL12" i="16"/>
  <c r="AK12" i="16"/>
  <c r="AJ12" i="16"/>
  <c r="AI12" i="16"/>
  <c r="AH12" i="16"/>
  <c r="AG12" i="16"/>
  <c r="AF12" i="16"/>
  <c r="AE12" i="16"/>
  <c r="AD12" i="16"/>
  <c r="AC12" i="16"/>
  <c r="AB12" i="16"/>
  <c r="AA12" i="16"/>
  <c r="Z12" i="16"/>
  <c r="Y12" i="16"/>
  <c r="X12" i="16"/>
  <c r="W12" i="16"/>
  <c r="V12" i="16"/>
  <c r="U12" i="16"/>
  <c r="T12" i="16"/>
  <c r="S12" i="16"/>
  <c r="R11" i="16"/>
  <c r="Q11" i="16"/>
  <c r="P11" i="16"/>
  <c r="O11" i="16"/>
  <c r="N11" i="16"/>
  <c r="M11" i="16"/>
  <c r="L11" i="16"/>
  <c r="K11" i="16"/>
  <c r="J11" i="16"/>
  <c r="I11" i="16"/>
  <c r="H11" i="16"/>
  <c r="G11" i="16"/>
  <c r="F11" i="16"/>
  <c r="E11" i="16"/>
  <c r="D11" i="16"/>
  <c r="C11" i="16"/>
  <c r="B11" i="16"/>
  <c r="S9" i="16"/>
  <c r="R9" i="16"/>
  <c r="Q9" i="16"/>
  <c r="P9" i="16"/>
  <c r="O9" i="16"/>
  <c r="N9" i="16"/>
  <c r="M9" i="16"/>
  <c r="L9" i="16"/>
  <c r="K9" i="16"/>
  <c r="J9" i="16"/>
  <c r="I9" i="16"/>
  <c r="H9" i="16"/>
  <c r="G9" i="16"/>
  <c r="F9" i="16"/>
  <c r="E9" i="16"/>
  <c r="D9" i="16"/>
  <c r="C9" i="16"/>
  <c r="CT8" i="16"/>
  <c r="CS8" i="16"/>
  <c r="CR8" i="16"/>
  <c r="CQ8" i="16"/>
  <c r="CP8" i="16"/>
  <c r="CO8" i="16"/>
  <c r="CN8" i="16"/>
  <c r="CM8" i="16"/>
  <c r="CL8" i="16"/>
  <c r="CK8" i="16"/>
  <c r="CJ8" i="16"/>
  <c r="CI8" i="16"/>
  <c r="CH8" i="16"/>
  <c r="CG8" i="16"/>
  <c r="CF8" i="16"/>
  <c r="CE8" i="16"/>
  <c r="CD8" i="16"/>
  <c r="CC8" i="16"/>
  <c r="CB8" i="16"/>
  <c r="CA8" i="16"/>
  <c r="BZ8" i="16"/>
  <c r="BY8" i="16"/>
  <c r="BX8" i="16"/>
  <c r="BW8" i="16"/>
  <c r="BV8" i="16"/>
  <c r="BU8" i="16"/>
  <c r="BT8" i="16"/>
  <c r="BS8" i="16"/>
  <c r="BR8" i="16"/>
  <c r="BQ8" i="16"/>
  <c r="BP8" i="16"/>
  <c r="BO8" i="16"/>
  <c r="BN8" i="16"/>
  <c r="BM8" i="16"/>
  <c r="BL8" i="16"/>
  <c r="BK8" i="16"/>
  <c r="BJ8" i="16"/>
  <c r="BI8" i="16"/>
  <c r="BH8" i="16"/>
  <c r="BG8" i="16"/>
  <c r="BF8" i="16"/>
  <c r="BE8" i="16"/>
  <c r="BD8" i="16"/>
  <c r="BC8" i="16"/>
  <c r="BB8" i="16"/>
  <c r="BA8" i="16"/>
  <c r="AZ8" i="16"/>
  <c r="AY8" i="16"/>
  <c r="AX8" i="16"/>
  <c r="AW8" i="16"/>
  <c r="AV8" i="16"/>
  <c r="AU8" i="16"/>
  <c r="AT8" i="16"/>
  <c r="AS8" i="16"/>
  <c r="AR8" i="16"/>
  <c r="AQ8" i="16"/>
  <c r="AP8" i="16"/>
  <c r="AO8" i="16"/>
  <c r="AN8" i="16"/>
  <c r="AM8" i="16"/>
  <c r="AL8" i="16"/>
  <c r="AK8" i="16"/>
  <c r="AJ8" i="16"/>
  <c r="AI8" i="16"/>
  <c r="AH8" i="16"/>
  <c r="AG8" i="16"/>
  <c r="AF8" i="16"/>
  <c r="AE8" i="16"/>
  <c r="AD8" i="16"/>
  <c r="AC8" i="16"/>
  <c r="AB8" i="16"/>
  <c r="AA8" i="16"/>
  <c r="Z8" i="16"/>
  <c r="Y8" i="16"/>
  <c r="X8" i="16"/>
  <c r="W8" i="16"/>
  <c r="V8" i="16"/>
  <c r="U8" i="16"/>
  <c r="T8" i="16"/>
  <c r="S8" i="16"/>
  <c r="R8" i="16"/>
  <c r="Q8" i="16"/>
  <c r="P8" i="16"/>
  <c r="O8" i="16"/>
  <c r="N8" i="16"/>
  <c r="M8" i="16"/>
  <c r="L8" i="16"/>
  <c r="K8" i="16"/>
  <c r="J8" i="16"/>
  <c r="I8" i="16"/>
  <c r="H8" i="16"/>
  <c r="G8" i="16"/>
  <c r="F8" i="16"/>
  <c r="E8" i="16"/>
  <c r="D8" i="16"/>
  <c r="CT7" i="16"/>
  <c r="CS7" i="16"/>
  <c r="CR7" i="16"/>
  <c r="CQ7" i="16"/>
  <c r="CP7" i="16"/>
  <c r="CO7" i="16"/>
  <c r="CN7" i="16"/>
  <c r="CM7" i="16"/>
  <c r="CL7" i="16"/>
  <c r="CK7" i="16"/>
  <c r="CJ7" i="16"/>
  <c r="CI7" i="16"/>
  <c r="CH7" i="16"/>
  <c r="CG7" i="16"/>
  <c r="CF7" i="16"/>
  <c r="CE7" i="16"/>
  <c r="CD7" i="16"/>
  <c r="CC7" i="16"/>
  <c r="CB7" i="16"/>
  <c r="CA7" i="16"/>
  <c r="BZ7" i="16"/>
  <c r="BY7" i="16"/>
  <c r="BX7" i="16"/>
  <c r="BW7" i="16"/>
  <c r="BV7" i="16"/>
  <c r="BU7" i="16"/>
  <c r="BT7" i="16"/>
  <c r="BS7" i="16"/>
  <c r="BR7" i="16"/>
  <c r="BQ7" i="16"/>
  <c r="BP7" i="16"/>
  <c r="BO7" i="16"/>
  <c r="BN7" i="16"/>
  <c r="BM7" i="16"/>
  <c r="BL7" i="16"/>
  <c r="BK7" i="16"/>
  <c r="BJ7" i="16"/>
  <c r="BI7" i="16"/>
  <c r="BH7" i="16"/>
  <c r="BG7" i="16"/>
  <c r="BF7" i="16"/>
  <c r="BE7" i="16"/>
  <c r="BD7" i="16"/>
  <c r="BC7" i="16"/>
  <c r="BB7" i="16"/>
  <c r="BA7" i="16"/>
  <c r="AZ7" i="16"/>
  <c r="AY7" i="16"/>
  <c r="AX7" i="16"/>
  <c r="AW7" i="16"/>
  <c r="AV7" i="16"/>
  <c r="AU7" i="16"/>
  <c r="AT7" i="16"/>
  <c r="AS7" i="16"/>
  <c r="AR7" i="16"/>
  <c r="AQ7" i="16"/>
  <c r="AP7" i="16"/>
  <c r="AO7" i="16"/>
  <c r="AN7" i="16"/>
  <c r="AM7" i="16"/>
  <c r="AL7" i="16"/>
  <c r="AK7" i="16"/>
  <c r="AJ7" i="16"/>
  <c r="AI7" i="16"/>
  <c r="AH7" i="16"/>
  <c r="AG7" i="16"/>
  <c r="AF7" i="16"/>
  <c r="AE7" i="16"/>
  <c r="AD7" i="16"/>
  <c r="AC7" i="16"/>
  <c r="AB7" i="16"/>
  <c r="AA7" i="16"/>
  <c r="Z7" i="16"/>
  <c r="Y7" i="16"/>
  <c r="X7" i="16"/>
  <c r="W7" i="16"/>
  <c r="V7" i="16"/>
  <c r="U7" i="16"/>
  <c r="T7" i="16"/>
  <c r="S7" i="16"/>
  <c r="R7" i="16"/>
  <c r="Q7" i="16"/>
  <c r="P7" i="16"/>
  <c r="O7" i="16"/>
  <c r="N7" i="16"/>
  <c r="M7" i="16"/>
  <c r="L7" i="16"/>
  <c r="K7" i="16"/>
  <c r="J7" i="16"/>
  <c r="I7" i="16"/>
  <c r="H7" i="16"/>
  <c r="G7" i="16"/>
  <c r="F7" i="16"/>
  <c r="E7" i="16"/>
  <c r="D7" i="16"/>
  <c r="CT6" i="16"/>
  <c r="CS6" i="16"/>
  <c r="CR6" i="16"/>
  <c r="CQ6" i="16"/>
  <c r="CP6" i="16"/>
  <c r="CO6" i="16"/>
  <c r="CN6" i="16"/>
  <c r="CM6" i="16"/>
  <c r="CL6" i="16"/>
  <c r="CK6" i="16"/>
  <c r="CJ6" i="16"/>
  <c r="CI6" i="16"/>
  <c r="CH6" i="16"/>
  <c r="CG6" i="16"/>
  <c r="CF6" i="16"/>
  <c r="CE6" i="16"/>
  <c r="CD6" i="16"/>
  <c r="CC6" i="16"/>
  <c r="CB6" i="16"/>
  <c r="CA6" i="16"/>
  <c r="BZ6" i="16"/>
  <c r="BY6" i="16"/>
  <c r="BX6" i="16"/>
  <c r="BW6" i="16"/>
  <c r="BV6" i="16"/>
  <c r="BU6" i="16"/>
  <c r="BT6" i="16"/>
  <c r="BS6" i="16"/>
  <c r="BR6" i="16"/>
  <c r="BQ6" i="16"/>
  <c r="BP6" i="16"/>
  <c r="BO6" i="16"/>
  <c r="BN6" i="16"/>
  <c r="BM6" i="16"/>
  <c r="BL6" i="16"/>
  <c r="BK6" i="16"/>
  <c r="BJ6" i="16"/>
  <c r="BI6" i="16"/>
  <c r="BH6" i="16"/>
  <c r="BG6" i="16"/>
  <c r="BF6" i="16"/>
  <c r="BE6" i="16"/>
  <c r="BD6" i="16"/>
  <c r="BC6" i="16"/>
  <c r="BB6" i="16"/>
  <c r="BA6" i="16"/>
  <c r="AZ6" i="16"/>
  <c r="AY6" i="16"/>
  <c r="AX6" i="16"/>
  <c r="AW6" i="16"/>
  <c r="AV6" i="16"/>
  <c r="AU6" i="16"/>
  <c r="AT6" i="16"/>
  <c r="AS6" i="16"/>
  <c r="AR6" i="16"/>
  <c r="AQ6" i="16"/>
  <c r="AP6" i="16"/>
  <c r="AO6" i="16"/>
  <c r="AN6" i="16"/>
  <c r="AM6" i="16"/>
  <c r="AL6" i="16"/>
  <c r="AK6" i="16"/>
  <c r="AJ6" i="16"/>
  <c r="AI6" i="16"/>
  <c r="AH6" i="16"/>
  <c r="AG6" i="16"/>
  <c r="AF6" i="16"/>
  <c r="AE6" i="16"/>
  <c r="AD6" i="16"/>
  <c r="AC6" i="16"/>
  <c r="AB6" i="16"/>
  <c r="AA6" i="16"/>
  <c r="Z6" i="16"/>
  <c r="Y6" i="16"/>
  <c r="X6" i="16"/>
  <c r="W6" i="16"/>
  <c r="V6" i="16"/>
  <c r="U6" i="16"/>
  <c r="T6" i="16"/>
  <c r="S6" i="16"/>
  <c r="R6" i="16"/>
  <c r="Q6" i="16"/>
  <c r="P6" i="16"/>
  <c r="O6" i="16"/>
  <c r="N6" i="16"/>
  <c r="M6" i="16"/>
  <c r="L6" i="16"/>
  <c r="K6" i="16"/>
  <c r="J6" i="16"/>
  <c r="I6" i="16"/>
  <c r="H6" i="16"/>
  <c r="G6" i="16"/>
  <c r="F6" i="16"/>
  <c r="E6" i="16"/>
  <c r="D6" i="16"/>
  <c r="CT5" i="16"/>
  <c r="CS5" i="16"/>
  <c r="CR5" i="16"/>
  <c r="CQ5" i="16"/>
  <c r="CP5" i="16"/>
  <c r="CO5" i="16"/>
  <c r="CN5" i="16"/>
  <c r="CM5" i="16"/>
  <c r="CL5" i="16"/>
  <c r="CK5" i="16"/>
  <c r="CJ5" i="16"/>
  <c r="CI5" i="16"/>
  <c r="CH5" i="16"/>
  <c r="CG5" i="16"/>
  <c r="CF5" i="16"/>
  <c r="CE5" i="16"/>
  <c r="CD5" i="16"/>
  <c r="CC5" i="16"/>
  <c r="CB5" i="16"/>
  <c r="CA5" i="16"/>
  <c r="BZ5" i="16"/>
  <c r="BY5" i="16"/>
  <c r="BX5" i="16"/>
  <c r="BW5" i="16"/>
  <c r="BV5" i="16"/>
  <c r="BU5" i="16"/>
  <c r="BT5" i="16"/>
  <c r="BS5" i="16"/>
  <c r="BR5" i="16"/>
  <c r="BQ5" i="16"/>
  <c r="BP5" i="16"/>
  <c r="BO5" i="16"/>
  <c r="BN5" i="16"/>
  <c r="BM5" i="16"/>
  <c r="BL5" i="16"/>
  <c r="BK5" i="16"/>
  <c r="BJ5" i="16"/>
  <c r="BI5" i="16"/>
  <c r="BH5" i="16"/>
  <c r="BG5" i="16"/>
  <c r="BF5" i="16"/>
  <c r="BE5" i="16"/>
  <c r="BD5" i="16"/>
  <c r="BC5" i="16"/>
  <c r="BB5" i="16"/>
  <c r="BA5" i="16"/>
  <c r="AZ5" i="16"/>
  <c r="AY5" i="16"/>
  <c r="AX5" i="16"/>
  <c r="AW5" i="16"/>
  <c r="AV5" i="16"/>
  <c r="AU5" i="16"/>
  <c r="AT5" i="16"/>
  <c r="AS5" i="16"/>
  <c r="AR5" i="16"/>
  <c r="AQ5" i="16"/>
  <c r="AP5" i="16"/>
  <c r="AO5" i="16"/>
  <c r="AN5" i="16"/>
  <c r="AM5" i="16"/>
  <c r="AL5" i="16"/>
  <c r="AK5" i="16"/>
  <c r="AJ5" i="16"/>
  <c r="AI5" i="16"/>
  <c r="AH5" i="16"/>
  <c r="AG5" i="16"/>
  <c r="AF5" i="16"/>
  <c r="AE5" i="16"/>
  <c r="AD5" i="16"/>
  <c r="AC5" i="16"/>
  <c r="AB5" i="16"/>
  <c r="AA5" i="16"/>
  <c r="Z5" i="16"/>
  <c r="Y5" i="16"/>
  <c r="X5" i="16"/>
  <c r="W5" i="16"/>
  <c r="V5" i="16"/>
  <c r="U5" i="16"/>
  <c r="T5" i="16"/>
  <c r="S5" i="16"/>
  <c r="R5" i="16"/>
  <c r="Q5" i="16"/>
  <c r="P5" i="16"/>
  <c r="O5" i="16"/>
  <c r="N5" i="16"/>
  <c r="M5" i="16"/>
  <c r="L5" i="16"/>
  <c r="K5" i="16"/>
  <c r="J5" i="16"/>
  <c r="I5" i="16"/>
  <c r="H5" i="16"/>
  <c r="G5" i="16"/>
  <c r="F5" i="16"/>
  <c r="E5" i="16"/>
  <c r="D5" i="16"/>
  <c r="CT4" i="16"/>
  <c r="CS4" i="16"/>
  <c r="CR4" i="16"/>
  <c r="CQ4" i="16"/>
  <c r="CP4" i="16"/>
  <c r="CO4" i="16"/>
  <c r="CN4" i="16"/>
  <c r="CM4" i="16"/>
  <c r="CL4" i="16"/>
  <c r="CK4" i="16"/>
  <c r="CJ4" i="16"/>
  <c r="CI4" i="16"/>
  <c r="CH4" i="16"/>
  <c r="CG4" i="16"/>
  <c r="CF4" i="16"/>
  <c r="CE4" i="16"/>
  <c r="CD4" i="16"/>
  <c r="CC4" i="16"/>
  <c r="CB4" i="16"/>
  <c r="CA4" i="16"/>
  <c r="BZ4" i="16"/>
  <c r="BY4" i="16"/>
  <c r="BX4" i="16"/>
  <c r="BW4" i="16"/>
  <c r="BV4" i="16"/>
  <c r="BU4" i="16"/>
  <c r="BT4" i="16"/>
  <c r="BS4" i="16"/>
  <c r="BR4" i="16"/>
  <c r="BQ4" i="16"/>
  <c r="BP4" i="16"/>
  <c r="BO4" i="16"/>
  <c r="BN4" i="16"/>
  <c r="BM4" i="16"/>
  <c r="BL4" i="16"/>
  <c r="BK4" i="16"/>
  <c r="BJ4" i="16"/>
  <c r="BI4" i="16"/>
  <c r="BH4" i="16"/>
  <c r="BG4" i="16"/>
  <c r="BF4" i="16"/>
  <c r="BE4" i="16"/>
  <c r="BD4" i="16"/>
  <c r="BC4" i="16"/>
  <c r="BB4" i="16"/>
  <c r="BA4" i="16"/>
  <c r="AZ4" i="16"/>
  <c r="AY4" i="16"/>
  <c r="AX4" i="16"/>
  <c r="AW4" i="16"/>
  <c r="AV4" i="16"/>
  <c r="AU4" i="16"/>
  <c r="AT4" i="16"/>
  <c r="AS4" i="16"/>
  <c r="AR4" i="16"/>
  <c r="AQ4" i="16"/>
  <c r="AP4" i="16"/>
  <c r="AO4" i="16"/>
  <c r="AN4" i="16"/>
  <c r="AM4" i="16"/>
  <c r="AL4" i="16"/>
  <c r="AK4" i="16"/>
  <c r="AJ4" i="16"/>
  <c r="AI4" i="16"/>
  <c r="AH4" i="16"/>
  <c r="AG4" i="16"/>
  <c r="AF4" i="16"/>
  <c r="AE4" i="16"/>
  <c r="AD4" i="16"/>
  <c r="AC4" i="16"/>
  <c r="AB4" i="16"/>
  <c r="AA4" i="16"/>
  <c r="Z4" i="16"/>
  <c r="Y4" i="16"/>
  <c r="X4" i="16"/>
  <c r="W4" i="16"/>
  <c r="V4" i="16"/>
  <c r="U4" i="16"/>
  <c r="T4" i="16"/>
  <c r="S4" i="16"/>
  <c r="R4" i="16"/>
  <c r="Q4" i="16"/>
  <c r="P4" i="16"/>
  <c r="O4" i="16"/>
  <c r="N4" i="16"/>
  <c r="M4" i="16"/>
  <c r="L4" i="16"/>
  <c r="K4" i="16"/>
  <c r="J4" i="16"/>
  <c r="I4" i="16"/>
  <c r="H4" i="16"/>
  <c r="G4" i="16"/>
  <c r="F4" i="16"/>
  <c r="E4" i="16"/>
  <c r="D4" i="16"/>
  <c r="CT3" i="16"/>
  <c r="CS3" i="16"/>
  <c r="CR3" i="16"/>
  <c r="CQ3" i="16"/>
  <c r="CP3" i="16"/>
  <c r="CO3" i="16"/>
  <c r="CN3" i="16"/>
  <c r="CM3" i="16"/>
  <c r="CL3" i="16"/>
  <c r="CK3" i="16"/>
  <c r="CJ3" i="16"/>
  <c r="CI3" i="16"/>
  <c r="CH3" i="16"/>
  <c r="CG3" i="16"/>
  <c r="CF3" i="16"/>
  <c r="CE3" i="16"/>
  <c r="CD3" i="16"/>
  <c r="CC3" i="16"/>
  <c r="CB3" i="16"/>
  <c r="CA3" i="16"/>
  <c r="BZ3" i="16"/>
  <c r="BY3" i="16"/>
  <c r="BX3" i="16"/>
  <c r="BW3" i="16"/>
  <c r="BV3" i="16"/>
  <c r="BU3" i="16"/>
  <c r="BT3" i="16"/>
  <c r="BS3" i="16"/>
  <c r="BR3" i="16"/>
  <c r="BQ3" i="16"/>
  <c r="BP3" i="16"/>
  <c r="BO3" i="16"/>
  <c r="BN3" i="16"/>
  <c r="BM3" i="16"/>
  <c r="BL3" i="16"/>
  <c r="BK3" i="16"/>
  <c r="BJ3" i="16"/>
  <c r="BI3" i="16"/>
  <c r="BH3" i="16"/>
  <c r="BG3" i="16"/>
  <c r="BF3" i="16"/>
  <c r="BE3" i="16"/>
  <c r="BD3" i="16"/>
  <c r="BC3" i="16"/>
  <c r="BB3" i="16"/>
  <c r="BA3" i="16"/>
  <c r="AZ3" i="16"/>
  <c r="AY3" i="16"/>
  <c r="AX3" i="16"/>
  <c r="AW3" i="16"/>
  <c r="AV3" i="16"/>
  <c r="AU3" i="16"/>
  <c r="AT3" i="16"/>
  <c r="AS3" i="16"/>
  <c r="AR3" i="16"/>
  <c r="AQ3" i="16"/>
  <c r="AP3" i="16"/>
  <c r="AO3" i="16"/>
  <c r="AN3" i="16"/>
  <c r="AM3" i="16"/>
  <c r="AL3" i="16"/>
  <c r="AK3" i="16"/>
  <c r="AJ3" i="16"/>
  <c r="AI3" i="16"/>
  <c r="AH3" i="16"/>
  <c r="AG3" i="16"/>
  <c r="AF3" i="16"/>
  <c r="AE3" i="16"/>
  <c r="AD3" i="16"/>
  <c r="AC3" i="16"/>
  <c r="AB3" i="16"/>
  <c r="AA3" i="16"/>
  <c r="Z3" i="16"/>
  <c r="Y3" i="16"/>
  <c r="X3" i="16"/>
  <c r="W3" i="16"/>
  <c r="V3" i="16"/>
  <c r="U3" i="16"/>
  <c r="T3" i="16"/>
  <c r="S3" i="16"/>
  <c r="R3" i="16"/>
  <c r="Q3" i="16"/>
  <c r="P3" i="16"/>
  <c r="O3" i="16"/>
  <c r="N3" i="16"/>
  <c r="M3" i="16"/>
  <c r="L3" i="16"/>
  <c r="K3" i="16"/>
  <c r="J3" i="16"/>
  <c r="I3" i="16"/>
  <c r="H3" i="16"/>
  <c r="G3" i="16"/>
  <c r="F3" i="16"/>
  <c r="E3" i="16"/>
  <c r="D3" i="16"/>
  <c r="CT2" i="16"/>
  <c r="CS2" i="16"/>
  <c r="CS10" i="16" s="1"/>
  <c r="CR2" i="16"/>
  <c r="CQ2" i="16"/>
  <c r="CP2" i="16"/>
  <c r="CO2" i="16"/>
  <c r="CN2" i="16"/>
  <c r="CM2" i="16"/>
  <c r="CL2" i="16"/>
  <c r="CK2" i="16"/>
  <c r="CJ2" i="16"/>
  <c r="CI2" i="16"/>
  <c r="CH2" i="16"/>
  <c r="CG2" i="16"/>
  <c r="CG10" i="16" s="1"/>
  <c r="CF2" i="16"/>
  <c r="CE2" i="16"/>
  <c r="CD2" i="16"/>
  <c r="CC2" i="16"/>
  <c r="CB2" i="16"/>
  <c r="CA2" i="16"/>
  <c r="BZ2" i="16"/>
  <c r="BY2" i="16"/>
  <c r="BX2" i="16"/>
  <c r="BW2" i="16"/>
  <c r="BV2" i="16"/>
  <c r="BU2" i="16"/>
  <c r="BU10" i="16" s="1"/>
  <c r="BT2" i="16"/>
  <c r="BS2" i="16"/>
  <c r="BR2" i="16"/>
  <c r="BQ2" i="16"/>
  <c r="BP2" i="16"/>
  <c r="BO2" i="16"/>
  <c r="BN2" i="16"/>
  <c r="BM2" i="16"/>
  <c r="BL2" i="16"/>
  <c r="BK2" i="16"/>
  <c r="BJ2" i="16"/>
  <c r="BI2" i="16"/>
  <c r="BH2" i="16"/>
  <c r="BG2" i="16"/>
  <c r="BF2" i="16"/>
  <c r="BE2" i="16"/>
  <c r="BD2" i="16"/>
  <c r="BC2" i="16"/>
  <c r="BB2" i="16"/>
  <c r="BA2" i="16"/>
  <c r="AZ2" i="16"/>
  <c r="AY2" i="16"/>
  <c r="AX2" i="16"/>
  <c r="AW2" i="16"/>
  <c r="AV2" i="16"/>
  <c r="AU2" i="16"/>
  <c r="AT2" i="16"/>
  <c r="AS2" i="16"/>
  <c r="AR2" i="16"/>
  <c r="AQ2" i="16"/>
  <c r="AP2" i="16"/>
  <c r="AO2" i="16"/>
  <c r="AN2" i="16"/>
  <c r="AM2" i="16"/>
  <c r="AL2" i="16"/>
  <c r="AK2" i="16"/>
  <c r="AK10" i="16" s="1"/>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E2" i="16"/>
  <c r="D2" i="16"/>
  <c r="C8" i="16"/>
  <c r="C7" i="16"/>
  <c r="C6" i="16"/>
  <c r="C5" i="16"/>
  <c r="C4" i="16"/>
  <c r="C3" i="16"/>
  <c r="C2" i="16"/>
  <c r="CT5" i="13"/>
  <c r="V8" i="10"/>
  <c r="V10" i="10" s="1"/>
  <c r="U8" i="10"/>
  <c r="U10" i="10" s="1"/>
  <c r="T8" i="10"/>
  <c r="T10" i="10" s="1"/>
  <c r="S8" i="10"/>
  <c r="S10" i="10" s="1"/>
  <c r="R8" i="10"/>
  <c r="R10" i="10" s="1"/>
  <c r="Q8" i="10"/>
  <c r="Q10" i="10" s="1"/>
  <c r="P8" i="10"/>
  <c r="P10" i="10" s="1"/>
  <c r="O8" i="10"/>
  <c r="O10" i="10" s="1"/>
  <c r="N8" i="10"/>
  <c r="N10" i="10" s="1"/>
  <c r="M8" i="10"/>
  <c r="M10" i="10" s="1"/>
  <c r="L8" i="10"/>
  <c r="L10" i="10" s="1"/>
  <c r="K8" i="10"/>
  <c r="K10" i="10" s="1"/>
  <c r="J8" i="10"/>
  <c r="J10" i="10" s="1"/>
  <c r="I8" i="10"/>
  <c r="I10" i="10" s="1"/>
  <c r="H8" i="10"/>
  <c r="H10" i="10" s="1"/>
  <c r="G8" i="10"/>
  <c r="G10" i="10" s="1"/>
  <c r="F8" i="10"/>
  <c r="F10" i="10" s="1"/>
  <c r="E8" i="10"/>
  <c r="E10" i="10" s="1"/>
  <c r="D8" i="10"/>
  <c r="D10" i="10" s="1"/>
  <c r="C8" i="10"/>
  <c r="C10" i="10" s="1"/>
  <c r="V6" i="10"/>
  <c r="U6" i="10"/>
  <c r="T6" i="10"/>
  <c r="S6" i="10"/>
  <c r="R6" i="10"/>
  <c r="Q6" i="10"/>
  <c r="P6" i="10"/>
  <c r="O6" i="10"/>
  <c r="N6" i="10"/>
  <c r="M6" i="10"/>
  <c r="L6" i="10"/>
  <c r="K6" i="10"/>
  <c r="J6" i="10"/>
  <c r="I6" i="10"/>
  <c r="H6" i="10"/>
  <c r="G6" i="10"/>
  <c r="F6" i="10"/>
  <c r="E6" i="10"/>
  <c r="D6" i="10"/>
  <c r="C6" i="10"/>
  <c r="K10" i="16" l="1"/>
  <c r="L10" i="16"/>
  <c r="X10" i="16"/>
  <c r="AJ10" i="16"/>
  <c r="AV10" i="16"/>
  <c r="BH10" i="16"/>
  <c r="BT10" i="16"/>
  <c r="CF10" i="16"/>
  <c r="CR10" i="16"/>
  <c r="W10" i="16"/>
  <c r="AI10" i="16"/>
  <c r="AU10" i="16"/>
  <c r="BG10" i="16"/>
  <c r="BS10" i="16"/>
  <c r="CE10" i="16"/>
  <c r="CQ10" i="16"/>
  <c r="Y10" i="16"/>
  <c r="AW10" i="16"/>
  <c r="J10" i="16"/>
  <c r="V10" i="16"/>
  <c r="AH10" i="16"/>
  <c r="AT10" i="16"/>
  <c r="BF10" i="16"/>
  <c r="BR10" i="16"/>
  <c r="CD10" i="16"/>
  <c r="CP10" i="16"/>
  <c r="AL10" i="16"/>
  <c r="CT10" i="16"/>
  <c r="D10" i="16"/>
  <c r="P10" i="16"/>
  <c r="AN10" i="16"/>
  <c r="BL10" i="16"/>
  <c r="BX10" i="16"/>
  <c r="CJ10" i="16"/>
  <c r="BJ10" i="16"/>
  <c r="O10" i="16"/>
  <c r="G10" i="16"/>
  <c r="M10" i="16"/>
  <c r="BI10" i="16"/>
  <c r="Z10" i="16"/>
  <c r="CH10" i="16"/>
  <c r="F10" i="16"/>
  <c r="E10" i="16"/>
  <c r="C10" i="16"/>
  <c r="N10" i="16"/>
  <c r="AX10" i="16"/>
  <c r="BV10" i="16"/>
  <c r="R10" i="16"/>
  <c r="Q10" i="16"/>
  <c r="S10" i="16"/>
  <c r="H10" i="16"/>
  <c r="T10" i="16"/>
  <c r="I10" i="16"/>
  <c r="U10" i="16"/>
  <c r="AG10" i="16"/>
  <c r="AS10" i="16"/>
  <c r="BE10" i="16"/>
  <c r="BQ10" i="16"/>
  <c r="CC10" i="16"/>
  <c r="CO10" i="16"/>
  <c r="AA10" i="16"/>
  <c r="AY10" i="16"/>
  <c r="BK10" i="16"/>
  <c r="CI10" i="16"/>
  <c r="AB10" i="16"/>
  <c r="AD10" i="16"/>
  <c r="BB10" i="16"/>
  <c r="BN10" i="16"/>
  <c r="CL10" i="16"/>
  <c r="AC10" i="16"/>
  <c r="AO10" i="16"/>
  <c r="BA10" i="16"/>
  <c r="BM10" i="16"/>
  <c r="BY10" i="16"/>
  <c r="CK10" i="16"/>
  <c r="AE10" i="16"/>
  <c r="AQ10" i="16"/>
  <c r="BC10" i="16"/>
  <c r="BO10" i="16"/>
  <c r="CA10" i="16"/>
  <c r="CM10" i="16"/>
  <c r="AM10" i="16"/>
  <c r="BW10" i="16"/>
  <c r="AZ10" i="16"/>
  <c r="AP10" i="16"/>
  <c r="BZ10" i="16"/>
  <c r="AF10" i="16"/>
  <c r="AR10" i="16"/>
  <c r="BD10" i="16"/>
  <c r="BP10" i="16"/>
  <c r="CB10" i="16"/>
  <c r="CN10" i="16"/>
  <c r="O16" i="10"/>
  <c r="L12" i="16" s="1"/>
  <c r="V16" i="10"/>
  <c r="U16" i="10"/>
  <c r="R12" i="16" s="1"/>
  <c r="T16" i="10"/>
  <c r="Q12" i="16" s="1"/>
  <c r="S16" i="10"/>
  <c r="P12" i="16" s="1"/>
  <c r="R16" i="10"/>
  <c r="O12" i="16" s="1"/>
  <c r="Q16" i="10"/>
  <c r="N12" i="16" s="1"/>
  <c r="P16" i="10"/>
  <c r="M12" i="16" s="1"/>
  <c r="N16" i="10"/>
  <c r="K12" i="16" s="1"/>
  <c r="M16" i="10"/>
  <c r="J12" i="16" s="1"/>
  <c r="L16" i="10"/>
  <c r="I12" i="16" s="1"/>
  <c r="K16" i="10"/>
  <c r="H12" i="16" s="1"/>
  <c r="J16" i="10"/>
  <c r="G12" i="16" s="1"/>
  <c r="I16" i="10"/>
  <c r="F12" i="16" s="1"/>
  <c r="H16" i="10"/>
  <c r="E12" i="16" s="1"/>
  <c r="G16" i="10"/>
  <c r="D12" i="16" s="1"/>
  <c r="F16" i="10"/>
  <c r="C12" i="16" s="1"/>
  <c r="E16" i="10"/>
  <c r="B12" i="16" s="1"/>
  <c r="D16" i="10"/>
  <c r="C16" i="10"/>
</calcChain>
</file>

<file path=xl/sharedStrings.xml><?xml version="1.0" encoding="utf-8"?>
<sst xmlns="http://schemas.openxmlformats.org/spreadsheetml/2006/main" count="6675" uniqueCount="1858">
  <si>
    <t>Z.1 Statistical Release for Jan 09, 2026</t>
  </si>
  <si>
    <t>Descriptions:</t>
  </si>
  <si>
    <t>Unit:</t>
  </si>
  <si>
    <t>Multiplier:</t>
  </si>
  <si>
    <t>Currency:</t>
  </si>
  <si>
    <t>Unique Identifier:</t>
  </si>
  <si>
    <t>Series Name:</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</si>
  <si>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</si>
  <si>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</si>
  <si>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</si>
  <si>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</si>
  <si>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</si>
  <si>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</si>
  <si>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</si>
  <si>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</si>
  <si>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</si>
  <si>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</si>
  <si>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</si>
  <si>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</si>
  <si>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</si>
  <si>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</si>
  <si>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</si>
  <si>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</si>
  <si>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</si>
  <si>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</si>
  <si>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</si>
  <si>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</si>
  <si>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</si>
  <si>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</si>
  <si>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</si>
  <si>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</si>
  <si>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</si>
  <si>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</si>
  <si>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</si>
  <si>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</si>
  <si>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</si>
  <si>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</si>
  <si>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</si>
  <si>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</si>
  <si>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</si>
  <si>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</si>
  <si>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</si>
  <si>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</si>
  <si>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</si>
  <si>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</si>
  <si>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</si>
  <si>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</si>
  <si>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</si>
  <si>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</si>
  <si>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</si>
  <si>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</si>
  <si>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</si>
  <si>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</si>
  <si>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</si>
  <si>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</si>
  <si>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</si>
  <si>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</si>
  <si>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</si>
  <si>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</si>
  <si>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</si>
  <si>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</si>
  <si>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</si>
  <si>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</si>
  <si>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</si>
  <si>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</si>
  <si>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</si>
  <si>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</si>
  <si>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</si>
  <si>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</si>
  <si>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</si>
  <si>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</si>
  <si>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</si>
  <si>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</si>
  <si>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</si>
  <si>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</si>
  <si>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</si>
  <si>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</si>
  <si>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</si>
  <si>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</si>
  <si>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</si>
  <si>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</si>
  <si>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</si>
  <si>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</si>
  <si>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</si>
  <si>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</si>
  <si>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</si>
  <si>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</si>
  <si>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Nonfinancial corporate business; structures, equipment, and intellectual property products, current cost basis (includes used car premium and REITs residential structures)</t>
  </si>
  <si>
    <t>Currency</t>
  </si>
  <si>
    <t>USD</t>
  </si>
  <si>
    <t>Z1/Z1/FL105015085.A</t>
  </si>
  <si>
    <t>FL105015085.A</t>
  </si>
  <si>
    <t>Domestic financial sectors; capital formation, net (IMA)</t>
  </si>
  <si>
    <t>Z1/Z1/FL795015085.A</t>
  </si>
  <si>
    <t>FL795015085.A</t>
  </si>
  <si>
    <t>Z1/Z1/FR105015085.A</t>
  </si>
  <si>
    <t>FR105015085.A</t>
  </si>
  <si>
    <t/>
  </si>
  <si>
    <t>Z1/Z1/FR795015085.A</t>
  </si>
  <si>
    <t>FR795015085.A</t>
  </si>
  <si>
    <t>Nonfinancial corporate business; gross fixed capital formation with equity REIT residential structures (IMA)</t>
  </si>
  <si>
    <t>Z1/Z1/FU105019085.A</t>
  </si>
  <si>
    <t>FU105019085.A</t>
  </si>
  <si>
    <t>Nonfinancial corporate business; capital formation, net (includes equity REIT residential structures) (IMA)</t>
  </si>
  <si>
    <t>Nonfinancial corporate business; consumption of fixed capital, structures, equipment, and intellectual property products, including equity REITs for all periods (adjusted NIPA basis)</t>
  </si>
  <si>
    <t>Z1/Z1/FU106300011.A</t>
  </si>
  <si>
    <t>FU106300011.A</t>
  </si>
  <si>
    <t>Domestic financial sectors; gross fixed investment, nonresidential structures, equipment, and intellectual property products</t>
  </si>
  <si>
    <t>Z1/Z1/FU795013005.A</t>
  </si>
  <si>
    <t>FU795013005.A</t>
  </si>
  <si>
    <t>Domestic financial sectors; structures, equipment, and intellectual property products, current cost basis (residual difference between NIPA and fixed asset accounts)</t>
  </si>
  <si>
    <t>Z1/Z1/FU795015095.A</t>
  </si>
  <si>
    <t>FU795015095.A</t>
  </si>
  <si>
    <t>Download Page</t>
  </si>
  <si>
    <t>All domestic sectors; gross fixed investment, current cost basis</t>
  </si>
  <si>
    <t>Z1/Z1/FL885019865.A</t>
  </si>
  <si>
    <t>FL885019865.A</t>
  </si>
  <si>
    <t>All domestic sectors; gross fixed investment, structures, current cost basis</t>
  </si>
  <si>
    <t>Z1/Z1/FL885019665.A</t>
  </si>
  <si>
    <t>FL885019665.A</t>
  </si>
  <si>
    <t>All domestic sectors; gross fixed investment, equipment, current cost basis</t>
  </si>
  <si>
    <t>Z1/Z1/FL885019265.A</t>
  </si>
  <si>
    <t>FL885019265.A</t>
  </si>
  <si>
    <t>All domestic sectors; nonresidential intellectual property products, current cost basis</t>
  </si>
  <si>
    <t>Z1/Z1/FL885013765.A</t>
  </si>
  <si>
    <t>FL885013765.A</t>
  </si>
  <si>
    <t>All domestic sectors; nonresidential software, current cost basis</t>
  </si>
  <si>
    <t>Z1/Z1/FL885013365.A</t>
  </si>
  <si>
    <t>FL885013365.A</t>
  </si>
  <si>
    <t>All domestic sectors; nonresidential research and development, current cost basis</t>
  </si>
  <si>
    <t>Z1/Z1/FL885013465.A</t>
  </si>
  <si>
    <t>FL885013465.A</t>
  </si>
  <si>
    <t>Private domestic sectors; nonresidential entertainment, literary, and artistic originals, current cost basis</t>
  </si>
  <si>
    <t>Z1/Z1/FL835013565.A</t>
  </si>
  <si>
    <t>FL835013565.A</t>
  </si>
  <si>
    <t>Households and nonprofit organizations; structures, equipment, and intellectual property products, current cost basis (Fixed assets basis)</t>
  </si>
  <si>
    <t>Z1/Z1/FL155015015.A</t>
  </si>
  <si>
    <t>FL155015015.A</t>
  </si>
  <si>
    <t>Nonfinancial noncorporate business; structures, equipment, and intellectual property products, current cost basis (NIPA basis)</t>
  </si>
  <si>
    <t>Z1/Z1/FL115015005.A</t>
  </si>
  <si>
    <t>FL115015005.A</t>
  </si>
  <si>
    <t>Federal government; nonfinancial assets (does not include land)</t>
  </si>
  <si>
    <t>Z1/Z1/FL315015005.A</t>
  </si>
  <si>
    <t>FL315015005.A</t>
  </si>
  <si>
    <t>State and local governments; net fixed investment (NIPA basis)</t>
  </si>
  <si>
    <t>Z1/Z1/FL215015005.A</t>
  </si>
  <si>
    <t>FL215015005.A</t>
  </si>
  <si>
    <t>Domestic financial sectors; nonfinancial assets (does not include land)</t>
  </si>
  <si>
    <t>Z1/Z1/FL795013865.A</t>
  </si>
  <si>
    <t>FL795013865.A</t>
  </si>
  <si>
    <t>Monetary authority; nonresidential structures, equipment, and intellectual property products, current cost basis</t>
  </si>
  <si>
    <t>Z1/Z1/FL715013865.A</t>
  </si>
  <si>
    <t>FL715013865.A</t>
  </si>
  <si>
    <t>Private depository institutions; nonresidential structures, equipment, and intellectual property products, current cost basis</t>
  </si>
  <si>
    <t>Z1/Z1/FL705013865.A</t>
  </si>
  <si>
    <t>FL705013865.A</t>
  </si>
  <si>
    <t>U.S.-chartered depository institutions; nonresidential structures, equipment, and intellectual property products, current cost basis</t>
  </si>
  <si>
    <t>Z1/Z1/FL765013865.A</t>
  </si>
  <si>
    <t>FL765013865.A</t>
  </si>
  <si>
    <t>Foreign banking offices in the U.S.; nonresidential structures, equipment, and intellectual property products, current cost basis</t>
  </si>
  <si>
    <t>Z1/Z1/FL755013865.A</t>
  </si>
  <si>
    <t>FL755013865.A</t>
  </si>
  <si>
    <t>Banks in U.S.-affiliated areas; nonresidential structures, equipment, and intellectual property products, current cost basis</t>
  </si>
  <si>
    <t>Z1/Z1/FL745013865.A</t>
  </si>
  <si>
    <t>FL745013865.A</t>
  </si>
  <si>
    <t>Credit unions; nonresidential structures, equipment, and intellectual property products, current cost basis</t>
  </si>
  <si>
    <t>Z1/Z1/FL475013865.A</t>
  </si>
  <si>
    <t>FL475013865.A</t>
  </si>
  <si>
    <t>Property-casualty insurance companies; nonresidential structures, equipment, and intellectual property products, current cost basis</t>
  </si>
  <si>
    <t>Z1/Z1/FL515013865.A</t>
  </si>
  <si>
    <t>FL515013865.A</t>
  </si>
  <si>
    <t>Life insurance companies; nonresidential structures, equipment, and intellectual property products, current cost basis</t>
  </si>
  <si>
    <t>Z1/Z1/FL545013865.A</t>
  </si>
  <si>
    <t>FL545013865.A</t>
  </si>
  <si>
    <t>Private pension funds; nonresidential structures, equipment, and intellectual property products, current cost basis</t>
  </si>
  <si>
    <t>Z1/Z1/FL575013865.A</t>
  </si>
  <si>
    <t>FL575013865.A</t>
  </si>
  <si>
    <t>State and local government employee retirement funds; nonresidential structures, equipment, and intellectual property products, current cost basis</t>
  </si>
  <si>
    <t>Z1/Z1/FL225013865.A</t>
  </si>
  <si>
    <t>FL225013865.A</t>
  </si>
  <si>
    <t xml:space="preserve">Government-sponsored enterprises; nonresidential structures, equipment, and intellectual property products, current cost basis </t>
  </si>
  <si>
    <t>Z1/Z1/FL405013865.A</t>
  </si>
  <si>
    <t>FL405013865.A</t>
  </si>
  <si>
    <t>Issuers of asset-backed securities; consumer leases</t>
  </si>
  <si>
    <t>Z1/Z1/FL675013263.A</t>
  </si>
  <si>
    <t>FL675013263.A</t>
  </si>
  <si>
    <t>Finance companies; nonresidential structures, equipment, and intellectual property products excluding securitized equipment, current cost basis</t>
  </si>
  <si>
    <t>Z1/Z1/FL615013865.A</t>
  </si>
  <si>
    <t>FL615013865.A</t>
  </si>
  <si>
    <t>Security brokers and dealers; nonresidential structures, equipment, and intellectual property products, current cost basis</t>
  </si>
  <si>
    <t>Z1/Z1/FL665013865.A</t>
  </si>
  <si>
    <t>FL665013865.A</t>
  </si>
  <si>
    <t>Holding companies; nonresidential structures, equipment, and intellectual property products, current cost basis</t>
  </si>
  <si>
    <t>Z1/Z1/FL735013865.A</t>
  </si>
  <si>
    <t>FL735013865.A</t>
  </si>
  <si>
    <t>Households and nonprofit organizations; consumer durable goods, current cost basis</t>
  </si>
  <si>
    <t>Z1/Z1/FL155111005.A</t>
  </si>
  <si>
    <t>FL155111005.A</t>
  </si>
  <si>
    <t>Nonfinancial business; inventories</t>
  </si>
  <si>
    <t>Z1/Z1/FL145020005.A</t>
  </si>
  <si>
    <t>FL145020005.A</t>
  </si>
  <si>
    <t xml:space="preserve">Nonfinancial corporate business; gross value added </t>
  </si>
  <si>
    <t>Z1/Z1/FA106902501.A</t>
  </si>
  <si>
    <t>FA106902501.A</t>
  </si>
  <si>
    <t>Nonfinancial corporate business; consumption of fixed capital, structures, equipment, and intellectual property products, including equity REIT residential structures (NIPA basis)</t>
  </si>
  <si>
    <t>Z1/Z1/FA106300003.A</t>
  </si>
  <si>
    <t>FA106300003.A</t>
  </si>
  <si>
    <t xml:space="preserve">Nonfinancial corporate business; net value added </t>
  </si>
  <si>
    <t>Z1/Z1/FA106902605.A</t>
  </si>
  <si>
    <t>FA106902605.A</t>
  </si>
  <si>
    <t xml:space="preserve">Nonfinancial corporate business; compensation of employees paid </t>
  </si>
  <si>
    <t>Z1/Z1/FA106025005.A</t>
  </si>
  <si>
    <t>FA106025005.A</t>
  </si>
  <si>
    <t xml:space="preserve">Nonfinancial corporate business; wages and salaries paid </t>
  </si>
  <si>
    <t>Z1/Z1/FA106020001.A</t>
  </si>
  <si>
    <t>FA106020001.A</t>
  </si>
  <si>
    <t>Nonfinancial corporate business; employers' social contributions paid</t>
  </si>
  <si>
    <t>Z1/Z1/FA106401001.A</t>
  </si>
  <si>
    <t>FA106401001.A</t>
  </si>
  <si>
    <t xml:space="preserve">Nonfinancial corporate business; taxes on production and imports less subsidies, payable </t>
  </si>
  <si>
    <t>Z1/Z1/FA106240101.A</t>
  </si>
  <si>
    <t>FA106240101.A</t>
  </si>
  <si>
    <t xml:space="preserve">Nonfinancial corporate business; operating surplus, net </t>
  </si>
  <si>
    <t>Z1/Z1/FA106402101.A</t>
  </si>
  <si>
    <t>FA106402101.A</t>
  </si>
  <si>
    <t xml:space="preserve">Nonfinancial corporate business; net national income/balance of primary incomes, net </t>
  </si>
  <si>
    <t>Z1/Z1/FA106140005.A</t>
  </si>
  <si>
    <t>FA106140005.A</t>
  </si>
  <si>
    <t xml:space="preserve">Nonfinancial corporate business; property income (received) </t>
  </si>
  <si>
    <t>Z1/Z1/FA106150105.A</t>
  </si>
  <si>
    <t>FA106150105.A</t>
  </si>
  <si>
    <t xml:space="preserve">Nonfinancial corporate business; interest received </t>
  </si>
  <si>
    <t>Z1/Z1/FA106130101.A</t>
  </si>
  <si>
    <t>FA106130101.A</t>
  </si>
  <si>
    <t>Nonfinancial corporate business; dividends received</t>
  </si>
  <si>
    <t>Z1/Z1/FA106121101.A</t>
  </si>
  <si>
    <t>FA106121101.A</t>
  </si>
  <si>
    <t>Nonfinancial corporate business; reinvested earnings on U.S. direct investment abroad; received</t>
  </si>
  <si>
    <t>Z1/Z1/FA103092201.A</t>
  </si>
  <si>
    <t>FA103092201.A</t>
  </si>
  <si>
    <t xml:space="preserve">Nonfinancial corporate business; uses of property income (paid) </t>
  </si>
  <si>
    <t>Z1/Z1/FA106150005.A</t>
  </si>
  <si>
    <t>FA106150005.A</t>
  </si>
  <si>
    <t xml:space="preserve">Nonfinancial corporate business; interest paid </t>
  </si>
  <si>
    <t>Z1/Z1/FA106130001.A</t>
  </si>
  <si>
    <t>FA106130001.A</t>
  </si>
  <si>
    <t>Nonfinancial corporate business; dividends paid</t>
  </si>
  <si>
    <t>Z1/Z1/FA106121001.A</t>
  </si>
  <si>
    <t>FA106121001.A</t>
  </si>
  <si>
    <t xml:space="preserve">Nonfinancial corporate business; reinvested earnings on foreign direct investment in U.S.; paid </t>
  </si>
  <si>
    <t>Z1/Z1/FA103192201.A</t>
  </si>
  <si>
    <t>FA103192201.A</t>
  </si>
  <si>
    <t>Nonfinancial corporate business; rents paid</t>
  </si>
  <si>
    <t>Z1/Z1/FA106112001.A</t>
  </si>
  <si>
    <t>FA106112001.A</t>
  </si>
  <si>
    <t xml:space="preserve">Nonfinancial corporate business; current taxes on income, wealth, etc. paid </t>
  </si>
  <si>
    <t>Z1/Z1/FA106220001.A</t>
  </si>
  <si>
    <t>FA106220001.A</t>
  </si>
  <si>
    <t>Nonfinancial corporate business; other current transfers paid</t>
  </si>
  <si>
    <t>Z1/Z1/FA106403001.A</t>
  </si>
  <si>
    <t>FA106403001.A</t>
  </si>
  <si>
    <t>Nonfinancial corporate business; disposable income, net; net saving (IMA)</t>
  </si>
  <si>
    <t>Z1/Z1/FA106012095.A</t>
  </si>
  <si>
    <t>FA106012095.A</t>
  </si>
  <si>
    <t>Nonfinancial corporate business; net saving excluding foreign earnings retained abroad less net capital transfers paid</t>
  </si>
  <si>
    <t>Z1/Z1/FA106006385.A</t>
  </si>
  <si>
    <t>FA106006385.A</t>
  </si>
  <si>
    <t xml:space="preserve">Nonfinancial corporate business; net capital transfers paid </t>
  </si>
  <si>
    <t>Z1/Z1/FA105440005.A</t>
  </si>
  <si>
    <t>FA105440005.A</t>
  </si>
  <si>
    <t>Z1/Z1/FA105050985.A</t>
  </si>
  <si>
    <t>FA105050985.A</t>
  </si>
  <si>
    <t>Z1/Z1/FA105019085.A</t>
  </si>
  <si>
    <t>FA105019085.A</t>
  </si>
  <si>
    <t>Nonfinancial corporate business; acquisition of nonproduced nonfinancial assets (net) (IMA)</t>
  </si>
  <si>
    <t>Z1/Z1/FA105420095.A</t>
  </si>
  <si>
    <t>FA105420095.A</t>
  </si>
  <si>
    <t xml:space="preserve">Nonfinancial corporate business; inventories including IVA </t>
  </si>
  <si>
    <t>Z1/Z1/FA105020005.A</t>
  </si>
  <si>
    <t>FA105020005.A</t>
  </si>
  <si>
    <t>Nonfinancial corporate business; net lending (+) or borrowing (-) (capital account), includes statistical discrepancy</t>
  </si>
  <si>
    <t>Z1/Z1/FA105000905.A</t>
  </si>
  <si>
    <t>FA105000905.A</t>
  </si>
  <si>
    <t>Nonfinancial corporate business; total financial assets</t>
  </si>
  <si>
    <t>Z1/Z1/FA104090005.A</t>
  </si>
  <si>
    <t>FA104090005.A</t>
  </si>
  <si>
    <t>Nonfinancial corporate business; total currency and deposits; asset</t>
  </si>
  <si>
    <t>Z1/Z1/FA104000005.A</t>
  </si>
  <si>
    <t>FA104000005.A</t>
  </si>
  <si>
    <t>Nonfinancial corporate business; checkable deposits and currency; asset</t>
  </si>
  <si>
    <t>Z1/Z1/FA103020005.A</t>
  </si>
  <si>
    <t>FA103020005.A</t>
  </si>
  <si>
    <t>Nonfinancial corporate business; total time and savings deposits; asset</t>
  </si>
  <si>
    <t>Z1/Z1/FA103030003.A</t>
  </si>
  <si>
    <t>FA103030003.A</t>
  </si>
  <si>
    <t>Nonfinancial corporate business; private foreign deposits; asset</t>
  </si>
  <si>
    <t>Z1/Z1/FA103091003.A</t>
  </si>
  <si>
    <t>FA103091003.A</t>
  </si>
  <si>
    <t>Nonfinancial corporate business; debt securities; asset</t>
  </si>
  <si>
    <t>Z1/Z1/FA104022005.A</t>
  </si>
  <si>
    <t>FA104022005.A</t>
  </si>
  <si>
    <t>Nonfinancial corporate business; commercial paper; asset</t>
  </si>
  <si>
    <t>Z1/Z1/FA103069100.A</t>
  </si>
  <si>
    <t>FA103069100.A</t>
  </si>
  <si>
    <t>Nonfinancial corporate business; Treasury securities; asset</t>
  </si>
  <si>
    <t>Z1/Z1/FA103061103.A</t>
  </si>
  <si>
    <t>FA103061103.A</t>
  </si>
  <si>
    <t>Nonfinancial corporate business; agency- and GSE-backed securities; asset</t>
  </si>
  <si>
    <t>Z1/Z1/FA103061703.A</t>
  </si>
  <si>
    <t>FA103061703.A</t>
  </si>
  <si>
    <t>Nonfinancial corporate business; municipal securities; asset</t>
  </si>
  <si>
    <t>Z1/Z1/FA103062003.A</t>
  </si>
  <si>
    <t>FA103062003.A</t>
  </si>
  <si>
    <t>Equity real estate investment trusts; corporate and foreign bonds; asset</t>
  </si>
  <si>
    <t>Z1/Z1/FA123063003.A</t>
  </si>
  <si>
    <t>FA123063003.A</t>
  </si>
  <si>
    <t xml:space="preserve">Nonfinancial corporate business; total loans including security repurchase agreements; asset </t>
  </si>
  <si>
    <t>Z1/Z1/FA104035005.A</t>
  </si>
  <si>
    <t>FA104035005.A</t>
  </si>
  <si>
    <t>Nonfinancial corporate business; short-term loans including security repurchase agreements; asset</t>
  </si>
  <si>
    <t>Z1/Z1/FA104041005.A</t>
  </si>
  <si>
    <t>FA104041005.A</t>
  </si>
  <si>
    <t>Nonfinancial corporate business; long-term loans; asset</t>
  </si>
  <si>
    <t>Z1/Z1/FA104042005.A</t>
  </si>
  <si>
    <t>FA104042005.A</t>
  </si>
  <si>
    <t xml:space="preserve">Nonfinancial corporate business; equity and investment fund shares; asset </t>
  </si>
  <si>
    <t>Z1/Z1/FA103081005.A</t>
  </si>
  <si>
    <t>FA103081005.A</t>
  </si>
  <si>
    <t>Nonfinancial corporate business; money market fund shares; asset</t>
  </si>
  <si>
    <t>Z1/Z1/FA103034000.A</t>
  </si>
  <si>
    <t>FA103034000.A</t>
  </si>
  <si>
    <t>Nonfinancial corporate business; corporate equities; asset</t>
  </si>
  <si>
    <t>Z1/Z1/FA103064103.A</t>
  </si>
  <si>
    <t>FA103064103.A</t>
  </si>
  <si>
    <t>Nonfinancial corporate business; mutual fund shares; asset</t>
  </si>
  <si>
    <t>Z1/Z1/FA103064203.A</t>
  </si>
  <si>
    <t>FA103064203.A</t>
  </si>
  <si>
    <t>Nonfinancial corporate business; U.S. direct investment abroad: equity; asset (market value)</t>
  </si>
  <si>
    <t>Z1/Z1/FA103092105.A</t>
  </si>
  <si>
    <t>FA103092105.A</t>
  </si>
  <si>
    <t xml:space="preserve">Nonfinancial corporate business; equity in Fannie Mae and Farm Credit System; asset </t>
  </si>
  <si>
    <t>Z1/Z1/FA103092405.A</t>
  </si>
  <si>
    <t>FA103092405.A</t>
  </si>
  <si>
    <t>Nonfinancial corporate business; insurance receivables due from property-casualty insurance companies; asset</t>
  </si>
  <si>
    <t>Z1/Z1/FA103076005.A</t>
  </si>
  <si>
    <t>FA103076005.A</t>
  </si>
  <si>
    <t xml:space="preserve">Nonfinancial corporate business; other accounts receivable; asset </t>
  </si>
  <si>
    <t>Z1/Z1/FA103096005.A</t>
  </si>
  <si>
    <t>FA103096005.A</t>
  </si>
  <si>
    <t>Nonfinancial corporate business; trade receivables; asset</t>
  </si>
  <si>
    <t>Z1/Z1/FA103070005.A</t>
  </si>
  <si>
    <t>FA103070005.A</t>
  </si>
  <si>
    <t>Nonfinancial corporate business; Paycheck Protection Program receivables due from federal government; asset</t>
  </si>
  <si>
    <t>Z1/Z1/FA103072005.A</t>
  </si>
  <si>
    <t>FA103072005.A</t>
  </si>
  <si>
    <t>Nonfinancial corporate business; other investment in finance company subsidiaries; asset</t>
  </si>
  <si>
    <t>Z1/Z1/FA103094705.A</t>
  </si>
  <si>
    <t>FA103094705.A</t>
  </si>
  <si>
    <t>Nonfinancial corporate business; unidentified miscellaneous assets</t>
  </si>
  <si>
    <t>Z1/Z1/FA103093005.A</t>
  </si>
  <si>
    <t>FA103093005.A</t>
  </si>
  <si>
    <t>Nonfinancial corporate business; total liabilities and equity</t>
  </si>
  <si>
    <t>Z1/Z1/FA104194005.A</t>
  </si>
  <si>
    <t>FA104194005.A</t>
  </si>
  <si>
    <t>Nonfinancial corporate business; debt securities; liability</t>
  </si>
  <si>
    <t>Z1/Z1/FA104122005.A</t>
  </si>
  <si>
    <t>FA104122005.A</t>
  </si>
  <si>
    <t>Nonfinancial corporate business; commercial paper; liability</t>
  </si>
  <si>
    <t>Z1/Z1/FA103169100.A</t>
  </si>
  <si>
    <t>FA103169100.A</t>
  </si>
  <si>
    <t>Nonfinancial corporate business; municipal securities; liability</t>
  </si>
  <si>
    <t>Z1/Z1/FA103162000.A</t>
  </si>
  <si>
    <t>FA103162000.A</t>
  </si>
  <si>
    <t>Nonfinancial corporate business; corporate bonds; liability</t>
  </si>
  <si>
    <t>Z1/Z1/FA103163005.A</t>
  </si>
  <si>
    <t>FA103163005.A</t>
  </si>
  <si>
    <t>Nonfinancial corporate business; loans including foreign direct investment intercompany debt; liability</t>
  </si>
  <si>
    <t>Z1/Z1/FA104135005.A</t>
  </si>
  <si>
    <t>FA104135005.A</t>
  </si>
  <si>
    <t xml:space="preserve">Nonfinancial corporate business; short-term loans; liability </t>
  </si>
  <si>
    <t>Z1/Z1/FA104141005.A</t>
  </si>
  <si>
    <t>FA104141005.A</t>
  </si>
  <si>
    <t>Nonfinancial corporate business; depository institution loans n.e.c.; liability</t>
  </si>
  <si>
    <t>Z1/Z1/FA103168005.A</t>
  </si>
  <si>
    <t>FA103168005.A</t>
  </si>
  <si>
    <t>Nonfinancial corporate business; other loans and advances; liability</t>
  </si>
  <si>
    <t>Z1/Z1/FA103169005.A</t>
  </si>
  <si>
    <t>FA103169005.A</t>
  </si>
  <si>
    <t xml:space="preserve">Nonfinancial corporate business; long-term loans; liability </t>
  </si>
  <si>
    <t>Z1/Z1/FA104142005.A</t>
  </si>
  <si>
    <t>FA104142005.A</t>
  </si>
  <si>
    <t>Nonfinancial corporate business; total mortgages; liability</t>
  </si>
  <si>
    <t>Z1/Z1/FA103165005.A</t>
  </si>
  <si>
    <t>FA103165005.A</t>
  </si>
  <si>
    <t>Nonfinancial corporate business; foreign direct investment in U.S.: intercompany debt; liability (market value)</t>
  </si>
  <si>
    <t>Z1/Z1/FA103192305.A</t>
  </si>
  <si>
    <t>FA103192305.A</t>
  </si>
  <si>
    <t xml:space="preserve">Nonfinancial corporate business; equity and investment fund shares; liability </t>
  </si>
  <si>
    <t>Z1/Z1/FA103181005.A</t>
  </si>
  <si>
    <t>FA103181005.A</t>
  </si>
  <si>
    <t>Nonfinancial corporate business; corporate equities; liability</t>
  </si>
  <si>
    <t>Z1/Z1/FA103164105.A</t>
  </si>
  <si>
    <t>FA103164105.A</t>
  </si>
  <si>
    <t>Nonfinancial corporate business; foreign direct investment in U.S.; liability (market value)</t>
  </si>
  <si>
    <t>Z1/Z1/FA103192105.A</t>
  </si>
  <si>
    <t>FA103192105.A</t>
  </si>
  <si>
    <t>Nonfinancial corporate business; retirement entitlements; liability (IMA)</t>
  </si>
  <si>
    <t>Z1/Z1/FA103152025.A</t>
  </si>
  <si>
    <t>FA103152025.A</t>
  </si>
  <si>
    <t>Private pension funds; pension fund contributions receivable; asset</t>
  </si>
  <si>
    <t>Z1/Z1/FA573074005.A</t>
  </si>
  <si>
    <t>FA573074005.A</t>
  </si>
  <si>
    <t>Private defined benefit pension funds; claims of pension fund on sponsor; asset</t>
  </si>
  <si>
    <t>Z1/Z1/FA573073005.A</t>
  </si>
  <si>
    <t>FA573073005.A</t>
  </si>
  <si>
    <t>Nonfinancial corporate business; other accounts payable; liability</t>
  </si>
  <si>
    <t>Z1/Z1/FA103196005.A</t>
  </si>
  <si>
    <t>FA103196005.A</t>
  </si>
  <si>
    <t>Nonfinancial corporate business; trade payables; liability</t>
  </si>
  <si>
    <t>Z1/Z1/FA103170005.A</t>
  </si>
  <si>
    <t>FA103170005.A</t>
  </si>
  <si>
    <t>Nonfinancial corporate business; total taxes payable; liability</t>
  </si>
  <si>
    <t>Z1/Z1/FA103178005.A</t>
  </si>
  <si>
    <t>FA103178005.A</t>
  </si>
  <si>
    <t>Nonfinancial corporate business; unidentified miscellaneous liabilities</t>
  </si>
  <si>
    <t>Z1/Z1/FA103193005.A</t>
  </si>
  <si>
    <t>FA103193005.A</t>
  </si>
  <si>
    <t>Nonfinancial corporate business; net lending (+) or borrowing (-) (financial account)</t>
  </si>
  <si>
    <t>Z1/Z1/FA105000005.A</t>
  </si>
  <si>
    <t>FA105000005.A</t>
  </si>
  <si>
    <t>Nonfinancial corporate business; total other volume changes (IMA)</t>
  </si>
  <si>
    <t>Z1/Z1/FV108090105.A</t>
  </si>
  <si>
    <t>FV108090105.A</t>
  </si>
  <si>
    <t>Nonfinancial corporate business; nonfinancial assets</t>
  </si>
  <si>
    <t>Z1/Z1/FV102010005.A</t>
  </si>
  <si>
    <t>FV102010005.A</t>
  </si>
  <si>
    <t>Nonfinancial corporate business; other volume changes, excluding disaster losses (IMA)</t>
  </si>
  <si>
    <t>Z1/Z1/FV108090085.A</t>
  </si>
  <si>
    <t>FV108090085.A</t>
  </si>
  <si>
    <t>Nonfinancial corporate business; statistical discrepancy (IMA)</t>
  </si>
  <si>
    <t>Z1/Z1/FU107005045.A</t>
  </si>
  <si>
    <t>FU107005045.A</t>
  </si>
  <si>
    <t>Nonfinancial corporate business; inventory valuation adjustment (IVA)</t>
  </si>
  <si>
    <t>Z1/Z1/FU105020601.A</t>
  </si>
  <si>
    <t>FU105020601.A</t>
  </si>
  <si>
    <t>Z1/Z1/FR102010005.A</t>
  </si>
  <si>
    <t>FR102010005.A</t>
  </si>
  <si>
    <t>Nonfinancial corporate business; real estate at market value</t>
  </si>
  <si>
    <t>Z1/Z1/FR105035005.A</t>
  </si>
  <si>
    <t>FR105035005.A</t>
  </si>
  <si>
    <t xml:space="preserve">Nonfinancial corporate business; equipment, current cost basis </t>
  </si>
  <si>
    <t>Z1/Z1/FR105015205.A</t>
  </si>
  <si>
    <t>FR105015205.A</t>
  </si>
  <si>
    <t>Nonfinancial corporate business; nonresidential intellectual property products, current cost basis</t>
  </si>
  <si>
    <t>Z1/Z1/FR105013765.A</t>
  </si>
  <si>
    <t>FR105013765.A</t>
  </si>
  <si>
    <t>Nonfinancial corporate business; inventories excluding IVA, current cost basis</t>
  </si>
  <si>
    <t>Z1/Z1/FR105020015.A</t>
  </si>
  <si>
    <t>FR105020015.A</t>
  </si>
  <si>
    <t>Z1/Z1/FR104090005.A</t>
  </si>
  <si>
    <t>FR104090005.A</t>
  </si>
  <si>
    <t>Z1/Z1/FR104022005.A</t>
  </si>
  <si>
    <t>FR104022005.A</t>
  </si>
  <si>
    <t>Nonfinancial corporate business; U.S. direct investment abroad: intercompany debt (market value)</t>
  </si>
  <si>
    <t>Z1/Z1/FR103092305.A</t>
  </si>
  <si>
    <t>FR103092305.A</t>
  </si>
  <si>
    <t>Z1/Z1/FR103064103.A</t>
  </si>
  <si>
    <t>FR103064103.A</t>
  </si>
  <si>
    <t>Z1/Z1/FR103064203.A</t>
  </si>
  <si>
    <t>FR103064203.A</t>
  </si>
  <si>
    <t>Z1/Z1/FR103092105.A</t>
  </si>
  <si>
    <t>FR103092105.A</t>
  </si>
  <si>
    <t>Z1/Z1/FR103093005.A</t>
  </si>
  <si>
    <t>FR103093005.A</t>
  </si>
  <si>
    <t>Z1/Z1/FR104194005.A</t>
  </si>
  <si>
    <t>FR104194005.A</t>
  </si>
  <si>
    <t>Z1/Z1/FR103192305.A</t>
  </si>
  <si>
    <t>FR103192305.A</t>
  </si>
  <si>
    <t>Z1/Z1/FR103164105.A</t>
  </si>
  <si>
    <t>FR103164105.A</t>
  </si>
  <si>
    <t>Z1/Z1/FR103192105.A</t>
  </si>
  <si>
    <t>FR103192105.A</t>
  </si>
  <si>
    <t>Z1/Z1/FR103152025.A</t>
  </si>
  <si>
    <t>FR103152025.A</t>
  </si>
  <si>
    <t>Z1/Z1/FR103193005.A</t>
  </si>
  <si>
    <t>FR103193005.A</t>
  </si>
  <si>
    <t>Nonfinancial corporate business; net worth (IMA)</t>
  </si>
  <si>
    <t>Z1/Z1/FR102090095.A</t>
  </si>
  <si>
    <t>FR102090095.A</t>
  </si>
  <si>
    <t>Z1/Z1/FC102090095.A</t>
  </si>
  <si>
    <t>FC102090095.A</t>
  </si>
  <si>
    <t>Nonfinancial corporate business; total assets</t>
  </si>
  <si>
    <t>Z1/Z1/FL102000005.A</t>
  </si>
  <si>
    <t>FL102000005.A</t>
  </si>
  <si>
    <t>Z1/Z1/LM102010005.A</t>
  </si>
  <si>
    <t>LM102010005.A</t>
  </si>
  <si>
    <t>Z1/Z1/LM105035005.A</t>
  </si>
  <si>
    <t>LM105035005.A</t>
  </si>
  <si>
    <t>Z1/Z1/LM105015205.A</t>
  </si>
  <si>
    <t>LM105015205.A</t>
  </si>
  <si>
    <t>Z1/Z1/LM105013765.A</t>
  </si>
  <si>
    <t>LM105013765.A</t>
  </si>
  <si>
    <t>Z1/Z1/LM105020015.A</t>
  </si>
  <si>
    <t>LM105020015.A</t>
  </si>
  <si>
    <t>Z1/Z1/FL104090005.A</t>
  </si>
  <si>
    <t>FL104090005.A</t>
  </si>
  <si>
    <t>Z1/Z1/FL104000005.A</t>
  </si>
  <si>
    <t>FL104000005.A</t>
  </si>
  <si>
    <t>Z1/Z1/FL103020005.A</t>
  </si>
  <si>
    <t>FL103020005.A</t>
  </si>
  <si>
    <t>Z1/Z1/FL103030003.A</t>
  </si>
  <si>
    <t>FL103030003.A</t>
  </si>
  <si>
    <t>Z1/Z1/FL103091003.A</t>
  </si>
  <si>
    <t>FL103091003.A</t>
  </si>
  <si>
    <t>Z1/Z1/LM104022005.A</t>
  </si>
  <si>
    <t>LM104022005.A</t>
  </si>
  <si>
    <t>Z1/Z1/FL103069100.A</t>
  </si>
  <si>
    <t>FL103069100.A</t>
  </si>
  <si>
    <t>Z1/Z1/LM103061103.A</t>
  </si>
  <si>
    <t>LM103061103.A</t>
  </si>
  <si>
    <t>Z1/Z1/LM103061703.A</t>
  </si>
  <si>
    <t>LM103061703.A</t>
  </si>
  <si>
    <t>Z1/Z1/LM103062003.A</t>
  </si>
  <si>
    <t>LM103062003.A</t>
  </si>
  <si>
    <t>Z1/Z1/LM123063003.A</t>
  </si>
  <si>
    <t>LM123063003.A</t>
  </si>
  <si>
    <t>Z1/Z1/FL104035005.A</t>
  </si>
  <si>
    <t>FL104035005.A</t>
  </si>
  <si>
    <t>Z1/Z1/FL104041005.A</t>
  </si>
  <si>
    <t>FL104041005.A</t>
  </si>
  <si>
    <t>Nonfinancial corporate business; security repurchase agreements; asset</t>
  </si>
  <si>
    <t>Z1/Z1/FL102051003.A</t>
  </si>
  <si>
    <t>FL102051003.A</t>
  </si>
  <si>
    <t>Nonfinancial corporate business; consumer credit; asset</t>
  </si>
  <si>
    <t>Z1/Z1/FL103066003.A</t>
  </si>
  <si>
    <t>FL103066003.A</t>
  </si>
  <si>
    <t>Z1/Z1/FL104042005.A</t>
  </si>
  <si>
    <t>FL104042005.A</t>
  </si>
  <si>
    <t>Nonfinancial corporate business; total mortgages; asset</t>
  </si>
  <si>
    <t>Z1/Z1/FL103065005.A</t>
  </si>
  <si>
    <t>FL103065005.A</t>
  </si>
  <si>
    <t>Z1/Z1/FL103092305.A</t>
  </si>
  <si>
    <t>FL103092305.A</t>
  </si>
  <si>
    <t>Z1/Z1/FL103081005.A</t>
  </si>
  <si>
    <t>FL103081005.A</t>
  </si>
  <si>
    <t>Z1/Z1/FL103034000.A</t>
  </si>
  <si>
    <t>FL103034000.A</t>
  </si>
  <si>
    <t>Z1/Z1/LM103064103.A</t>
  </si>
  <si>
    <t>LM103064103.A</t>
  </si>
  <si>
    <t>Z1/Z1/LM103064203.A</t>
  </si>
  <si>
    <t>LM103064203.A</t>
  </si>
  <si>
    <t>Z1/Z1/LM103092105.A</t>
  </si>
  <si>
    <t>LM103092105.A</t>
  </si>
  <si>
    <t>Z1/Z1/FL103092405.A</t>
  </si>
  <si>
    <t>FL103092405.A</t>
  </si>
  <si>
    <t>Z1/Z1/FL103076005.A</t>
  </si>
  <si>
    <t>FL103076005.A</t>
  </si>
  <si>
    <t>Z1/Z1/FL103096005.A</t>
  </si>
  <si>
    <t>FL103096005.A</t>
  </si>
  <si>
    <t>Z1/Z1/FL103070005.A</t>
  </si>
  <si>
    <t>FL103070005.A</t>
  </si>
  <si>
    <t>Z1/Z1/FL103072005.A</t>
  </si>
  <si>
    <t>FL103072005.A</t>
  </si>
  <si>
    <t>Z1/Z1/FL103094705.A</t>
  </si>
  <si>
    <t>FL103094705.A</t>
  </si>
  <si>
    <t>Z1/Z1/FL103093005.A</t>
  </si>
  <si>
    <t>FL103093005.A</t>
  </si>
  <si>
    <t>Nonfinancial corporate business; total liabilities and net worth (IMA)</t>
  </si>
  <si>
    <t>Z1/Z1/FL102100085.A</t>
  </si>
  <si>
    <t>FL102100085.A</t>
  </si>
  <si>
    <t>Z1/Z1/FL104194005.A</t>
  </si>
  <si>
    <t>FL104194005.A</t>
  </si>
  <si>
    <t>Z1/Z1/FL104122005.A</t>
  </si>
  <si>
    <t>FL104122005.A</t>
  </si>
  <si>
    <t>Z1/Z1/FL103169100.A</t>
  </si>
  <si>
    <t>FL103169100.A</t>
  </si>
  <si>
    <t>Z1/Z1/FL103162000.A</t>
  </si>
  <si>
    <t>FL103162000.A</t>
  </si>
  <si>
    <t>Z1/Z1/FL103163005.A</t>
  </si>
  <si>
    <t>FL103163005.A</t>
  </si>
  <si>
    <t>Z1/Z1/FL104135005.A</t>
  </si>
  <si>
    <t>FL104135005.A</t>
  </si>
  <si>
    <t>Z1/Z1/FL104141005.A</t>
  </si>
  <si>
    <t>FL104141005.A</t>
  </si>
  <si>
    <t>Z1/Z1/FL103168005.A</t>
  </si>
  <si>
    <t>FL103168005.A</t>
  </si>
  <si>
    <t>Z1/Z1/FL103169005.A</t>
  </si>
  <si>
    <t>FL103169005.A</t>
  </si>
  <si>
    <t>Z1/Z1/FL104142005.A</t>
  </si>
  <si>
    <t>FL104142005.A</t>
  </si>
  <si>
    <t>Z1/Z1/FL103165005.A</t>
  </si>
  <si>
    <t>FL103165005.A</t>
  </si>
  <si>
    <t>Z1/Z1/LM103192305.A</t>
  </si>
  <si>
    <t>LM103192305.A</t>
  </si>
  <si>
    <t>Z1/Z1/FL103181005.A</t>
  </si>
  <si>
    <t>FL103181005.A</t>
  </si>
  <si>
    <t>Z1/Z1/LM103164105.A</t>
  </si>
  <si>
    <t>LM103164105.A</t>
  </si>
  <si>
    <t>Z1/Z1/FL103192105.A</t>
  </si>
  <si>
    <t>FL103192105.A</t>
  </si>
  <si>
    <t>Z1/Z1/FL103152025.A</t>
  </si>
  <si>
    <t>FL103152025.A</t>
  </si>
  <si>
    <t>Z1/Z1/FL573074005.A</t>
  </si>
  <si>
    <t>FL573074005.A</t>
  </si>
  <si>
    <t>Z1/Z1/FL573073005.A</t>
  </si>
  <si>
    <t>FL573073005.A</t>
  </si>
  <si>
    <t>Z1/Z1/FL103196005.A</t>
  </si>
  <si>
    <t>FL103196005.A</t>
  </si>
  <si>
    <t>Z1/Z1/FL103170005.A</t>
  </si>
  <si>
    <t>FL103170005.A</t>
  </si>
  <si>
    <t>Z1/Z1/FL103178005.A</t>
  </si>
  <si>
    <t>FL103178005.A</t>
  </si>
  <si>
    <t>Z1/Z1/FL103193005.A</t>
  </si>
  <si>
    <t>FL103193005.A</t>
  </si>
  <si>
    <t>Z1/Z1/FL102090095.A</t>
  </si>
  <si>
    <t>FL102090095.A</t>
  </si>
  <si>
    <t>Domestic financial sectors; gross value added (IMA)</t>
  </si>
  <si>
    <t>Z1/Z1/FA796902505.A</t>
  </si>
  <si>
    <t>FA796902505.A</t>
  </si>
  <si>
    <t>Domestic financial sectors; consumption of fixed capital, nonresidential structures, equipment, and intellectual property products, including noncorporate financial, current cost basis (IMA)</t>
  </si>
  <si>
    <t>Z1/Z1/FA796330081.A</t>
  </si>
  <si>
    <t>FA796330081.A</t>
  </si>
  <si>
    <t>Domestic financial sectors; net value added (IMA)</t>
  </si>
  <si>
    <t>Z1/Z1/FA796902605.A</t>
  </si>
  <si>
    <t>FA796902605.A</t>
  </si>
  <si>
    <t>Domestic financial sectors; compensation of employees paid (IMA)</t>
  </si>
  <si>
    <t>Z1/Z1/FA796025005.A</t>
  </si>
  <si>
    <t>FA796025005.A</t>
  </si>
  <si>
    <t>Domestic financial sectors; wages and salaries paid (IMA)</t>
  </si>
  <si>
    <t>Z1/Z1/FA796020001.A</t>
  </si>
  <si>
    <t>FA796020001.A</t>
  </si>
  <si>
    <t>Domestic financial sectors; employers' social contributions paid (IMA)</t>
  </si>
  <si>
    <t>Z1/Z1/FA796401001.A</t>
  </si>
  <si>
    <t>FA796401001.A</t>
  </si>
  <si>
    <t>Domestic financial sectors; taxes on production and imports less subsidies, payable (IMA)</t>
  </si>
  <si>
    <t>Z1/Z1/FA796240101.A</t>
  </si>
  <si>
    <t>FA796240101.A</t>
  </si>
  <si>
    <t>Domestic financial sectors; operating surplus, net (IMA)</t>
  </si>
  <si>
    <t>Z1/Z1/FA796402101.A</t>
  </si>
  <si>
    <t>FA796402101.A</t>
  </si>
  <si>
    <t>Domestic financial sectors; net national income/balance of primary incomes, net (IMA)</t>
  </si>
  <si>
    <t>Z1/Z1/FA796140005.A</t>
  </si>
  <si>
    <t>FA796140005.A</t>
  </si>
  <si>
    <t>Domestic financial sectors; property income (received) (IMA)</t>
  </si>
  <si>
    <t>Z1/Z1/FA796150105.A</t>
  </si>
  <si>
    <t>FA796150105.A</t>
  </si>
  <si>
    <t>Domestic financial sectors; interest received (IMA)</t>
  </si>
  <si>
    <t>Z1/Z1/FA796130101.A</t>
  </si>
  <si>
    <t>FA796130101.A</t>
  </si>
  <si>
    <t>Domestic financial sectors; dividends received (IMA)</t>
  </si>
  <si>
    <t>Z1/Z1/FA796121101.A</t>
  </si>
  <si>
    <t>FA796121101.A</t>
  </si>
  <si>
    <t>Domestic financial sectors; reinvested earnings on U.S. direct investment abroad; received (IMA)</t>
  </si>
  <si>
    <t>Z1/Z1/FA793092281.A</t>
  </si>
  <si>
    <t>FA793092281.A</t>
  </si>
  <si>
    <t>Domestic financial sectors; uses of property income (paid) (IMA)</t>
  </si>
  <si>
    <t>Z1/Z1/FA796150005.A</t>
  </si>
  <si>
    <t>FA796150005.A</t>
  </si>
  <si>
    <t>Domestic financial sectors; interest paid (IMA)</t>
  </si>
  <si>
    <t>Z1/Z1/FA796130001.A</t>
  </si>
  <si>
    <t>FA796130001.A</t>
  </si>
  <si>
    <t>Domestic financial sectors; distributed income of corporations, paid (IMA)</t>
  </si>
  <si>
    <t>Z1/Z1/FA796120005.A</t>
  </si>
  <si>
    <t>FA796120005.A</t>
  </si>
  <si>
    <t>Domestic financial sectors; dividends paid (IMA)</t>
  </si>
  <si>
    <t>Z1/Z1/FA796121001.A</t>
  </si>
  <si>
    <t>FA796121001.A</t>
  </si>
  <si>
    <t>Domestic financial sectors; withdrawals from income of quasi-corporations, paid (IMA)</t>
  </si>
  <si>
    <t>Z1/Z1/FA796122001.A</t>
  </si>
  <si>
    <t>FA796122001.A</t>
  </si>
  <si>
    <t>Domestic financial sectors; reinvested earnings on foreign direct investment in U.S.; paid (IMA)</t>
  </si>
  <si>
    <t>Z1/Z1/FA793192281.A</t>
  </si>
  <si>
    <t>FA793192281.A</t>
  </si>
  <si>
    <t>Domestic financial sectors; rents on land and natural resources paid (IMA)</t>
  </si>
  <si>
    <t>Z1/Z1/FA796112001.A</t>
  </si>
  <si>
    <t>FA796112001.A</t>
  </si>
  <si>
    <t>Domestic financial sectors; current taxes on income, wealth, etc. paid (IMA)</t>
  </si>
  <si>
    <t>Z1/Z1/FA796220001.A</t>
  </si>
  <si>
    <t>FA796220001.A</t>
  </si>
  <si>
    <t>Domestic financial sectors; other current transfers paid (IMA)</t>
  </si>
  <si>
    <t>Z1/Z1/FA796403005.A</t>
  </si>
  <si>
    <t>FA796403005.A</t>
  </si>
  <si>
    <t>Domestic financial sectors; disposable income, net; net saving including foreign earnings retained abroad and CCAdj (IMA)</t>
  </si>
  <si>
    <t>Z1/Z1/FA796012095.A</t>
  </si>
  <si>
    <t>FA796012095.A</t>
  </si>
  <si>
    <t>Domestic financial sectors; net saving including foreign earnings retained abroad and CCAdj less net capital transfers paid (IMA)</t>
  </si>
  <si>
    <t>Z1/Z1/FA796006385.A</t>
  </si>
  <si>
    <t>FA796006385.A</t>
  </si>
  <si>
    <t>Domestic financial sectors; net capital transfers paid</t>
  </si>
  <si>
    <t>Z1/Z1/FA795440005.A</t>
  </si>
  <si>
    <t>FA795440005.A</t>
  </si>
  <si>
    <t>Z1/Z1/FA795015085.A</t>
  </si>
  <si>
    <t>FA795015085.A</t>
  </si>
  <si>
    <t>Z1/Z1/FA795013005.A</t>
  </si>
  <si>
    <t>FA795013005.A</t>
  </si>
  <si>
    <t>Domestic financial sectors; net lending (+) or borrowing (-) (capital account)</t>
  </si>
  <si>
    <t>Z1/Z1/FA795000995.A</t>
  </si>
  <si>
    <t>FA795000995.A</t>
  </si>
  <si>
    <t xml:space="preserve">Domestic financial sectors; total financial assets </t>
  </si>
  <si>
    <t>Z1/Z1/FA794090005.A</t>
  </si>
  <si>
    <t>FA794090005.A</t>
  </si>
  <si>
    <t xml:space="preserve">Domestic financial sectors; total currency and deposits; asset </t>
  </si>
  <si>
    <t>Z1/Z1/FA794000005.A</t>
  </si>
  <si>
    <t>FA794000005.A</t>
  </si>
  <si>
    <t>Domestic financial sectors; debt securities; asset</t>
  </si>
  <si>
    <t>Z1/Z1/FA794022005.A</t>
  </si>
  <si>
    <t>FA794022005.A</t>
  </si>
  <si>
    <t>Domestic financial sectors; open market paper; asset</t>
  </si>
  <si>
    <t>Z1/Z1/FA793069175.A</t>
  </si>
  <si>
    <t>FA793069175.A</t>
  </si>
  <si>
    <t>Domestic financial sectors; Treasury securities; asset</t>
  </si>
  <si>
    <t>Z1/Z1/FA793061105.A</t>
  </si>
  <si>
    <t>FA793061105.A</t>
  </si>
  <si>
    <t>Domestic financial sectors; agency- and GSE-backed securities; asset</t>
  </si>
  <si>
    <t>Z1/Z1/FA793061705.A</t>
  </si>
  <si>
    <t>FA793061705.A</t>
  </si>
  <si>
    <t>Domestic financial sectors; municipal securities; asset</t>
  </si>
  <si>
    <t>Z1/Z1/FA793062005.A</t>
  </si>
  <si>
    <t>FA793062005.A</t>
  </si>
  <si>
    <t>Domestic financial sectors; corporate and foreign bonds; asset</t>
  </si>
  <si>
    <t>Z1/Z1/FA793063005.A</t>
  </si>
  <si>
    <t>FA793063005.A</t>
  </si>
  <si>
    <t>Domestic financial sectors; total loans including security repurchase agreements; asset</t>
  </si>
  <si>
    <t>Z1/Z1/FA794035005.A</t>
  </si>
  <si>
    <t>FA794035005.A</t>
  </si>
  <si>
    <t>Domestic financial sectors; short-term loans including security repurchase agreements; asset</t>
  </si>
  <si>
    <t>Z1/Z1/FA794041005.A</t>
  </si>
  <si>
    <t>FA794041005.A</t>
  </si>
  <si>
    <t>Domestic financial sectors; long-term loans; asset</t>
  </si>
  <si>
    <t>Z1/Z1/FA794042005.A</t>
  </si>
  <si>
    <t>FA794042005.A</t>
  </si>
  <si>
    <t>Domestic financial sectors; equity and investment fund shares; asset (IMA)</t>
  </si>
  <si>
    <t>Z1/Z1/FA793081005.A</t>
  </si>
  <si>
    <t>FA793081005.A</t>
  </si>
  <si>
    <t>Domestic financial sectors; corporate equities; asset</t>
  </si>
  <si>
    <t>Z1/Z1/FA793064105.A</t>
  </si>
  <si>
    <t>FA793064105.A</t>
  </si>
  <si>
    <t>Domestic financial sectors; mutual fund shares; asset</t>
  </si>
  <si>
    <t>Z1/Z1/FA793064205.A</t>
  </si>
  <si>
    <t>FA793064205.A</t>
  </si>
  <si>
    <t>Domestic financial sectors; money market fund shares; asset</t>
  </si>
  <si>
    <t>Z1/Z1/FA793034005.A</t>
  </si>
  <si>
    <t>FA793034005.A</t>
  </si>
  <si>
    <t>Domestic financial sectors; equity in FHLB; asset</t>
  </si>
  <si>
    <t>Z1/Z1/FA793092405.A</t>
  </si>
  <si>
    <t>FA793092405.A</t>
  </si>
  <si>
    <t>Domestic financial sectors; U.S. direct investment abroad: equity; asset (market value)</t>
  </si>
  <si>
    <t>Z1/Z1/FA793092105.A</t>
  </si>
  <si>
    <t>FA793092105.A</t>
  </si>
  <si>
    <t>Monetary authority; Federal Reserve bank stock; liability</t>
  </si>
  <si>
    <t>Z1/Z1/FA713164003.A</t>
  </si>
  <si>
    <t>FA713164003.A</t>
  </si>
  <si>
    <t>Domestic financial sectors; equity investment in own subsidiaries; asset</t>
  </si>
  <si>
    <t>Z1/Z1/FA793094605.A</t>
  </si>
  <si>
    <t>FA793094605.A</t>
  </si>
  <si>
    <t>Domestic financial sectors; insurance, pension and standardized guarantee schemes; asset (IMA)</t>
  </si>
  <si>
    <t>Z1/Z1/FA793052005.A</t>
  </si>
  <si>
    <t>FA793052005.A</t>
  </si>
  <si>
    <t>Domestic financial sectors; other accounts receivable; asset (IMA)</t>
  </si>
  <si>
    <t>Z1/Z1/FA793096005.A</t>
  </si>
  <si>
    <t>FA793096005.A</t>
  </si>
  <si>
    <t>Domestic financial sectors; total liabilities and equity</t>
  </si>
  <si>
    <t>Z1/Z1/FA794194005.A</t>
  </si>
  <si>
    <t>FA794194005.A</t>
  </si>
  <si>
    <t>Domestic financial sectors; total currency and deposits; liability</t>
  </si>
  <si>
    <t>Z1/Z1/FA794100005.A</t>
  </si>
  <si>
    <t>FA794100005.A</t>
  </si>
  <si>
    <t xml:space="preserve">Domestic financial sectors; debt securities; liability </t>
  </si>
  <si>
    <t>Z1/Z1/FA794122005.A</t>
  </si>
  <si>
    <t>FA794122005.A</t>
  </si>
  <si>
    <t>GSEs and agency- and GSE-backed mortgage pools; U.S. government agency securities; liability</t>
  </si>
  <si>
    <t>Z1/Z1/FA423161705.A</t>
  </si>
  <si>
    <t>FA423161705.A</t>
  </si>
  <si>
    <t>Domestic financial sectors; corporate and foreign bonds; liability</t>
  </si>
  <si>
    <t>Z1/Z1/FA793163005.A</t>
  </si>
  <si>
    <t>FA793163005.A</t>
  </si>
  <si>
    <t>Domestic financial sectors; open market paper; liability</t>
  </si>
  <si>
    <t>Z1/Z1/FA793169175.A</t>
  </si>
  <si>
    <t>FA793169175.A</t>
  </si>
  <si>
    <t>Domestic financial sectors; total loans including security repurchase agreements; liability</t>
  </si>
  <si>
    <t>Z1/Z1/FA794135005.A</t>
  </si>
  <si>
    <t>FA794135005.A</t>
  </si>
  <si>
    <t>Domestic financial sectors; short-term loans including security repurchase agreements; liability</t>
  </si>
  <si>
    <t>Z1/Z1/FA794141005.A</t>
  </si>
  <si>
    <t>FA794141005.A</t>
  </si>
  <si>
    <t>Domestic financial sectors; foreign direct investment in U.S.: intercompany debt; liability (market value)</t>
  </si>
  <si>
    <t>Z1/Z1/FA793192305.A</t>
  </si>
  <si>
    <t>FA793192305.A</t>
  </si>
  <si>
    <t>Domestic financial sectors; equity and investment fund shares; liability (IMA)</t>
  </si>
  <si>
    <t>Z1/Z1/FA793181005.A</t>
  </si>
  <si>
    <t>FA793181005.A</t>
  </si>
  <si>
    <t>Money market funds; total financial assets</t>
  </si>
  <si>
    <t>Z1/Z1/FA634090005.A</t>
  </si>
  <si>
    <t>FA634090005.A</t>
  </si>
  <si>
    <t>Domestic financial sectors; corporate equities; liability</t>
  </si>
  <si>
    <t>Z1/Z1/FA793164105.A</t>
  </si>
  <si>
    <t>FA793164105.A</t>
  </si>
  <si>
    <t>Mutual funds; mutual fund shares; liability</t>
  </si>
  <si>
    <t>Z1/Z1/FA653164205.A</t>
  </si>
  <si>
    <t>FA653164205.A</t>
  </si>
  <si>
    <t>Government-sponsored enterprises; equity in government-sponsored enterprises (GSEs); liability</t>
  </si>
  <si>
    <t>Z1/Z1/FA403192405.A</t>
  </si>
  <si>
    <t>FA403192405.A</t>
  </si>
  <si>
    <t>Domestic financial sectors; foreign direct investment in U.S.: equity; liability (market value</t>
  </si>
  <si>
    <t>Z1/Z1/FA793192105.A</t>
  </si>
  <si>
    <t>FA793192105.A</t>
  </si>
  <si>
    <t>Security brokers and dealers; proprietors' equity in noncorporate business</t>
  </si>
  <si>
    <t>Z1/Z1/FA662090003.A</t>
  </si>
  <si>
    <t>FA662090003.A</t>
  </si>
  <si>
    <t xml:space="preserve">Domestic financial sectors; equity investment by parent companies; liability </t>
  </si>
  <si>
    <t>Z1/Z1/FA793194605.A</t>
  </si>
  <si>
    <t>FA793194605.A</t>
  </si>
  <si>
    <t>Monetary authority; equity and investment fund shares; liability (SBS)</t>
  </si>
  <si>
    <t>Z1/Z1/FA713164005.A</t>
  </si>
  <si>
    <t>FA713164005.A</t>
  </si>
  <si>
    <t>Other financial business; Exchange Stabilization Fund Economic Recovery Programs Equity Investment in Federal Reserve credit facility LLCs; liability</t>
  </si>
  <si>
    <t>Z1/Z1/FA503194205.A</t>
  </si>
  <si>
    <t>FA503194205.A</t>
  </si>
  <si>
    <t>Insurance companies and pension funds; insurance, pension and standardized guarantee schemes; liability (IMA)</t>
  </si>
  <si>
    <t>Z1/Z1/FA583152005.A</t>
  </si>
  <si>
    <t>FA583152005.A</t>
  </si>
  <si>
    <t>Domestic financial sectors; other accounts payable; liability (IMA)</t>
  </si>
  <si>
    <t>Z1/Z1/FA793196005.A</t>
  </si>
  <si>
    <t>FA793196005.A</t>
  </si>
  <si>
    <t>Domestic financial sectors; net lending (+) or borrowing (-) (financial account)</t>
  </si>
  <si>
    <t>Z1/Z1/FA795000005.A</t>
  </si>
  <si>
    <t>FA795000005.A</t>
  </si>
  <si>
    <t>Domestic financial sectors; total other volume changes (IMA)</t>
  </si>
  <si>
    <t>Z1/Z1/FV798090185.A</t>
  </si>
  <si>
    <t>FV798090185.A</t>
  </si>
  <si>
    <t>Z1/Z1/FV795013865.A</t>
  </si>
  <si>
    <t>FV795013865.A</t>
  </si>
  <si>
    <t>Domestic financial sectors; other volume changes (IMA)</t>
  </si>
  <si>
    <t>Z1/Z1/FV798090085.A</t>
  </si>
  <si>
    <t>FV798090085.A</t>
  </si>
  <si>
    <t>Domestic financial sectors; statistical discrepancy (IMA)</t>
  </si>
  <si>
    <t>Z1/Z1/FU797005045.A</t>
  </si>
  <si>
    <t>FU797005045.A</t>
  </si>
  <si>
    <t>Z1/Z1/FR795013865.A</t>
  </si>
  <si>
    <t>FR795013865.A</t>
  </si>
  <si>
    <t>Domestic financial sectors; nonresidential structures, current cost basis</t>
  </si>
  <si>
    <t>Z1/Z1/FR795013665.A</t>
  </si>
  <si>
    <t>FR795013665.A</t>
  </si>
  <si>
    <t>Domestic financial sectors; nonresidential equipment, current cost basis</t>
  </si>
  <si>
    <t>Z1/Z1/FR795013265.A</t>
  </si>
  <si>
    <t>FR795013265.A</t>
  </si>
  <si>
    <t>Domestic financial sectors; nonresidential intellectual property products, current cost basis</t>
  </si>
  <si>
    <t>Z1/Z1/FR795013765.A</t>
  </si>
  <si>
    <t>FR795013765.A</t>
  </si>
  <si>
    <t>Z1/Z1/FR794090005.A</t>
  </si>
  <si>
    <t>FR794090005.A</t>
  </si>
  <si>
    <t>Z1/Z1/FR794000005.A</t>
  </si>
  <si>
    <t>FR794000005.A</t>
  </si>
  <si>
    <t>Z1/Z1/FR794022005.A</t>
  </si>
  <si>
    <t>FR794022005.A</t>
  </si>
  <si>
    <t>Z1/Z1/FR794035005.A</t>
  </si>
  <si>
    <t>FR794035005.A</t>
  </si>
  <si>
    <t>Z1/Z1/FR793064105.A</t>
  </si>
  <si>
    <t>FR793064105.A</t>
  </si>
  <si>
    <t>Z1/Z1/FR793064205.A</t>
  </si>
  <si>
    <t>FR793064205.A</t>
  </si>
  <si>
    <t>Z1/Z1/FR793092105.A</t>
  </si>
  <si>
    <t>FR793092105.A</t>
  </si>
  <si>
    <t>Z1/Z1/FR793052005.A</t>
  </si>
  <si>
    <t>FR793052005.A</t>
  </si>
  <si>
    <t>Z1/Z1/FR793096005.A</t>
  </si>
  <si>
    <t>FR793096005.A</t>
  </si>
  <si>
    <t>Z1/Z1/FR794194005.A</t>
  </si>
  <si>
    <t>FR794194005.A</t>
  </si>
  <si>
    <t>Z1/Z1/FR793192305.A</t>
  </si>
  <si>
    <t>FR793192305.A</t>
  </si>
  <si>
    <t>Z1/Z1/FR793164105.A</t>
  </si>
  <si>
    <t>FR793164105.A</t>
  </si>
  <si>
    <t>Z1/Z1/FR653164205.A</t>
  </si>
  <si>
    <t>FR653164205.A</t>
  </si>
  <si>
    <t>Z1/Z1/FR793192105.A</t>
  </si>
  <si>
    <t>FR793192105.A</t>
  </si>
  <si>
    <t>Z1/Z1/FR662090003.A</t>
  </si>
  <si>
    <t>FR662090003.A</t>
  </si>
  <si>
    <t>Z1/Z1/FR793194605.A</t>
  </si>
  <si>
    <t>FR793194605.A</t>
  </si>
  <si>
    <t>Z1/Z1/FR583152005.A</t>
  </si>
  <si>
    <t>FR583152005.A</t>
  </si>
  <si>
    <t>Z1/Z1/FR793196005.A</t>
  </si>
  <si>
    <t>FR793196005.A</t>
  </si>
  <si>
    <t>Domestic financial sectors; net worth (IMA)</t>
  </si>
  <si>
    <t>Z1/Z1/FR792090095.A</t>
  </si>
  <si>
    <t>FR792090095.A</t>
  </si>
  <si>
    <t>Z1/Z1/FC792090095.A</t>
  </si>
  <si>
    <t>FC792090095.A</t>
  </si>
  <si>
    <t>Domestic financial sectors; total assets (does not include land)</t>
  </si>
  <si>
    <t>Z1/Z1/FL792000095.A</t>
  </si>
  <si>
    <t>FL792000095.A</t>
  </si>
  <si>
    <t>Z1/Z1/LM795013865.A</t>
  </si>
  <si>
    <t>LM795013865.A</t>
  </si>
  <si>
    <t>Z1/Z1/LM795013665.A</t>
  </si>
  <si>
    <t>LM795013665.A</t>
  </si>
  <si>
    <t>Z1/Z1/LM795013265.A</t>
  </si>
  <si>
    <t>LM795013265.A</t>
  </si>
  <si>
    <t>Z1/Z1/LM795013765.A</t>
  </si>
  <si>
    <t>LM795013765.A</t>
  </si>
  <si>
    <t>Z1/Z1/FL794090005.A</t>
  </si>
  <si>
    <t>FL794090005.A</t>
  </si>
  <si>
    <t>Z1/Z1/FL794000005.A</t>
  </si>
  <si>
    <t>FL794000005.A</t>
  </si>
  <si>
    <t>Z1/Z1/FL794022005.A</t>
  </si>
  <si>
    <t>FL794022005.A</t>
  </si>
  <si>
    <t>Z1/Z1/FL793069175.A</t>
  </si>
  <si>
    <t>FL793069175.A</t>
  </si>
  <si>
    <t>Z1/Z1/FL793061105.A</t>
  </si>
  <si>
    <t>FL793061105.A</t>
  </si>
  <si>
    <t>Z1/Z1/FL793061705.A</t>
  </si>
  <si>
    <t>FL793061705.A</t>
  </si>
  <si>
    <t>Z1/Z1/FL793062005.A</t>
  </si>
  <si>
    <t>FL793062005.A</t>
  </si>
  <si>
    <t>Z1/Z1/FL793063005.A</t>
  </si>
  <si>
    <t>FL793063005.A</t>
  </si>
  <si>
    <t>Z1/Z1/FL794035005.A</t>
  </si>
  <si>
    <t>FL794035005.A</t>
  </si>
  <si>
    <t>Z1/Z1/FL794041005.A</t>
  </si>
  <si>
    <t>FL794041005.A</t>
  </si>
  <si>
    <t>Z1/Z1/FL794042005.A</t>
  </si>
  <si>
    <t>FL794042005.A</t>
  </si>
  <si>
    <t>Z1/Z1/FL793081005.A</t>
  </si>
  <si>
    <t>FL793081005.A</t>
  </si>
  <si>
    <t>Z1/Z1/LM793064105.A</t>
  </si>
  <si>
    <t>LM793064105.A</t>
  </si>
  <si>
    <t>Z1/Z1/LM793064205.A</t>
  </si>
  <si>
    <t>LM793064205.A</t>
  </si>
  <si>
    <t>Z1/Z1/FL793034005.A</t>
  </si>
  <si>
    <t>FL793034005.A</t>
  </si>
  <si>
    <t>Z1/Z1/FL793092405.A</t>
  </si>
  <si>
    <t>FL793092405.A</t>
  </si>
  <si>
    <t>Z1/Z1/LM793092105.A</t>
  </si>
  <si>
    <t>LM793092105.A</t>
  </si>
  <si>
    <t>Z1/Z1/FL713164003.A</t>
  </si>
  <si>
    <t>FL713164003.A</t>
  </si>
  <si>
    <t>Z1/Z1/FL793094605.A</t>
  </si>
  <si>
    <t>FL793094605.A</t>
  </si>
  <si>
    <t>Z1/Z1/FL793052005.A</t>
  </si>
  <si>
    <t>FL793052005.A</t>
  </si>
  <si>
    <t>Z1/Z1/FL793096005.A</t>
  </si>
  <si>
    <t>FL793096005.A</t>
  </si>
  <si>
    <t>Domestic financial sectors; total liabilities and net worth (IMA)</t>
  </si>
  <si>
    <t>Z1/Z1/FL792100005.A</t>
  </si>
  <si>
    <t>FL792100005.A</t>
  </si>
  <si>
    <t>Z1/Z1/FL794194005.A</t>
  </si>
  <si>
    <t>FL794194005.A</t>
  </si>
  <si>
    <t>Z1/Z1/FL794100005.A</t>
  </si>
  <si>
    <t>FL794100005.A</t>
  </si>
  <si>
    <t>Z1/Z1/FL794122005.A</t>
  </si>
  <si>
    <t>FL794122005.A</t>
  </si>
  <si>
    <t>Z1/Z1/FL423161705.A</t>
  </si>
  <si>
    <t>FL423161705.A</t>
  </si>
  <si>
    <t>Z1/Z1/FL793163005.A</t>
  </si>
  <si>
    <t>FL793163005.A</t>
  </si>
  <si>
    <t>Z1/Z1/FL793169175.A</t>
  </si>
  <si>
    <t>FL793169175.A</t>
  </si>
  <si>
    <t>Z1/Z1/FL794135005.A</t>
  </si>
  <si>
    <t>FL794135005.A</t>
  </si>
  <si>
    <t>Z1/Z1/FL794141005.A</t>
  </si>
  <si>
    <t>FL794141005.A</t>
  </si>
  <si>
    <t>Z1/Z1/FL793192305.A</t>
  </si>
  <si>
    <t>FL793192305.A</t>
  </si>
  <si>
    <t>Z1/Z1/FL793181005.A</t>
  </si>
  <si>
    <t>FL793181005.A</t>
  </si>
  <si>
    <t>Z1/Z1/FL634090005.A</t>
  </si>
  <si>
    <t>FL634090005.A</t>
  </si>
  <si>
    <t>Z1/Z1/LM793164105.A</t>
  </si>
  <si>
    <t>LM793164105.A</t>
  </si>
  <si>
    <t>Z1/Z1/LM653164205.A</t>
  </si>
  <si>
    <t>LM653164205.A</t>
  </si>
  <si>
    <t>Z1/Z1/FL403192405.A</t>
  </si>
  <si>
    <t>FL403192405.A</t>
  </si>
  <si>
    <t>Z1/Z1/LM793192105.A</t>
  </si>
  <si>
    <t>LM793192105.A</t>
  </si>
  <si>
    <t>Z1/Z1/LM662090003.A</t>
  </si>
  <si>
    <t>LM662090003.A</t>
  </si>
  <si>
    <t>Z1/Z1/FL793194605.A</t>
  </si>
  <si>
    <t>FL793194605.A</t>
  </si>
  <si>
    <t>Z1/Z1/FL713164005.A</t>
  </si>
  <si>
    <t>FL713164005.A</t>
  </si>
  <si>
    <t>Z1/Z1/FL503194205.A</t>
  </si>
  <si>
    <t>FL503194205.A</t>
  </si>
  <si>
    <t>Z1/Z1/FL583152005.A</t>
  </si>
  <si>
    <t>FL583152005.A</t>
  </si>
  <si>
    <t>Z1/Z1/FL793196005.A</t>
  </si>
  <si>
    <t>FL793196005.A</t>
  </si>
  <si>
    <t>Z1/Z1/FL792090095.A</t>
  </si>
  <si>
    <t>FL792090095.A</t>
  </si>
  <si>
    <t>Table 1.14. Gross Value Added of Domestic Corporate Business in Current Dollars and Gross Value Added of Nonfinancial Domestic Corporate Business in Current and Chained Dollars</t>
  </si>
  <si>
    <t>[Millions of dollars]</t>
  </si>
  <si>
    <t>Bureau of Economic Analysis</t>
  </si>
  <si>
    <t>Last Revised on: February 20, 2026 - Next Release Date March 13, 2026</t>
  </si>
  <si>
    <t>Line</t>
  </si>
  <si>
    <t>1929</t>
  </si>
  <si>
    <t>1930</t>
  </si>
  <si>
    <t>1931</t>
  </si>
  <si>
    <t>1932</t>
  </si>
  <si>
    <t>1933</t>
  </si>
  <si>
    <t>1934</t>
  </si>
  <si>
    <t>1935</t>
  </si>
  <si>
    <t>1936</t>
  </si>
  <si>
    <t>1937</t>
  </si>
  <si>
    <t>1938</t>
  </si>
  <si>
    <t>1939</t>
  </si>
  <si>
    <t>1940</t>
  </si>
  <si>
    <t>1941</t>
  </si>
  <si>
    <t>1942</t>
  </si>
  <si>
    <t>1943</t>
  </si>
  <si>
    <t>1944</t>
  </si>
  <si>
    <t>2025</t>
  </si>
  <si>
    <t>1</t>
  </si>
  <si>
    <t xml:space="preserve">        Gross value added of corporate business1</t>
  </si>
  <si>
    <t>---</t>
  </si>
  <si>
    <t>2</t>
  </si>
  <si>
    <t>Consumption of fixed capital</t>
  </si>
  <si>
    <t>3</t>
  </si>
  <si>
    <t>Net value added</t>
  </si>
  <si>
    <t>4</t>
  </si>
  <si>
    <t xml:space="preserve">    Compensation of employees</t>
  </si>
  <si>
    <t>5</t>
  </si>
  <si>
    <t xml:space="preserve">        Wages and salaries</t>
  </si>
  <si>
    <t>6</t>
  </si>
  <si>
    <t xml:space="preserve">        Supplements to wages and salaries</t>
  </si>
  <si>
    <t>7</t>
  </si>
  <si>
    <t xml:space="preserve">    Taxes on production and imports less subsidies</t>
  </si>
  <si>
    <t>8</t>
  </si>
  <si>
    <t xml:space="preserve">    Net operating surplus</t>
  </si>
  <si>
    <t>9</t>
  </si>
  <si>
    <t xml:space="preserve">        Net interest and miscellaneous payments</t>
  </si>
  <si>
    <t>10</t>
  </si>
  <si>
    <t xml:space="preserve">        Business current transfer payments (net)</t>
  </si>
  <si>
    <t>11</t>
  </si>
  <si>
    <t xml:space="preserve">        Corporate profits with IVA and CCAdj</t>
  </si>
  <si>
    <t>12</t>
  </si>
  <si>
    <t xml:space="preserve">            Taxes on corporate income</t>
  </si>
  <si>
    <t>13</t>
  </si>
  <si>
    <t xml:space="preserve">            Profits after tax with IVA and CCAdj</t>
  </si>
  <si>
    <t>14</t>
  </si>
  <si>
    <t xml:space="preserve">                Net dividends</t>
  </si>
  <si>
    <t>15</t>
  </si>
  <si>
    <t xml:space="preserve">                Undistributed profits with IVA and CCAdj</t>
  </si>
  <si>
    <t>16</t>
  </si>
  <si>
    <t xml:space="preserve">        Gross value added of financial corporate business1</t>
  </si>
  <si>
    <t>17</t>
  </si>
  <si>
    <t xml:space="preserve">        Gross value added of nonfinancial corporate business1</t>
  </si>
  <si>
    <t>18</t>
  </si>
  <si>
    <t>19</t>
  </si>
  <si>
    <t>20</t>
  </si>
  <si>
    <t>21</t>
  </si>
  <si>
    <t>22</t>
  </si>
  <si>
    <t>23</t>
  </si>
  <si>
    <t>24</t>
  </si>
  <si>
    <t>25</t>
  </si>
  <si>
    <t>26</t>
  </si>
  <si>
    <t>27</t>
  </si>
  <si>
    <t>28</t>
  </si>
  <si>
    <t>29</t>
  </si>
  <si>
    <t>30</t>
  </si>
  <si>
    <t>31</t>
  </si>
  <si>
    <t>Addenda:</t>
  </si>
  <si>
    <t xml:space="preserve">    Corporate business:</t>
  </si>
  <si>
    <t>32</t>
  </si>
  <si>
    <t xml:space="preserve">        Profits before tax (without IVA and CCAdj)</t>
  </si>
  <si>
    <t>33</t>
  </si>
  <si>
    <t xml:space="preserve">        Profits after tax (without IVA and CCAdj)</t>
  </si>
  <si>
    <t>34</t>
  </si>
  <si>
    <t xml:space="preserve">        Undistributed profits after tax (without IVA and CCAdj)</t>
  </si>
  <si>
    <t>35</t>
  </si>
  <si>
    <t xml:space="preserve">        Inventory valuation adjustment</t>
  </si>
  <si>
    <t>36</t>
  </si>
  <si>
    <t xml:space="preserve">        Capital consumption adjustment</t>
  </si>
  <si>
    <t xml:space="preserve">    Nonfinancial corporate business:</t>
  </si>
  <si>
    <t>37</t>
  </si>
  <si>
    <t>38</t>
  </si>
  <si>
    <t>39</t>
  </si>
  <si>
    <t>40</t>
  </si>
  <si>
    <t xml:space="preserve">    Value added, in millions of chained (2017) dollars:</t>
  </si>
  <si>
    <t>41</t>
  </si>
  <si>
    <t xml:space="preserve">        Gross value added of nonfinancial corporate business2</t>
  </si>
  <si>
    <t>42</t>
  </si>
  <si>
    <t xml:space="preserve">            Consumption of fixed capital3</t>
  </si>
  <si>
    <t>43</t>
  </si>
  <si>
    <t xml:space="preserve">            Net value added4</t>
  </si>
  <si>
    <t>Legend / Footnotes:</t>
  </si>
  <si>
    <t>1. Estimates for financial corporate business and nonfinancial corporate business for 2000 and earlier periods are based on the 1987 Standard Industrial Classification (SIC); later estimates for these industries are based on the North American Industry Classification System (NAICS).</t>
  </si>
  <si>
    <t>2. The current-dollar gross value added is deflated using the gross value added chain-type price index for nonfinancial industries from the GDP-by-industry accounts. For periods when this price index is not available, the chain-type price index for GDP goods and structures is used.</t>
  </si>
  <si>
    <t>3. Chained-dollar consumption of fixed capital of nonfinancial corporate business is calculated as the product of the chain-type quantity index and the 2017 current-dollar value of the corresponding series, divided by 100.</t>
  </si>
  <si>
    <t>4. Chained-dollar net value added of nonfinancial corporate business is the difference between the gross product and the consumption of fixed capital.</t>
  </si>
  <si>
    <t>IVA Inventory valuation adjustment</t>
  </si>
  <si>
    <t>CCAdj Capital consumption adjustment</t>
  </si>
  <si>
    <t>Table 6.1. Current-Cost Net Stock of Private Fixed Assets by Industry Group and Legal Form of Organization</t>
  </si>
  <si>
    <t>[Millions of dollars; yearend estimates]</t>
  </si>
  <si>
    <t>Last Revised on: September 26, 2025</t>
  </si>
  <si>
    <t>1925</t>
  </si>
  <si>
    <t>1926</t>
  </si>
  <si>
    <t>1927</t>
  </si>
  <si>
    <t>1928</t>
  </si>
  <si>
    <t xml:space="preserve">        Private fixed assets</t>
  </si>
  <si>
    <t>By legal form of organization:</t>
  </si>
  <si>
    <t xml:space="preserve">  Corporate</t>
  </si>
  <si>
    <t xml:space="preserve">    Financial</t>
  </si>
  <si>
    <t xml:space="preserve">    Nonfinancial</t>
  </si>
  <si>
    <t xml:space="preserve">  Noncorporate</t>
  </si>
  <si>
    <t xml:space="preserve">    Sole proprietorships</t>
  </si>
  <si>
    <t xml:space="preserve">    Partnerships</t>
  </si>
  <si>
    <t xml:space="preserve">    Nonprofit institutions</t>
  </si>
  <si>
    <t xml:space="preserve">    Households</t>
  </si>
  <si>
    <t xml:space="preserve">    Tax-exempt cooperatives</t>
  </si>
  <si>
    <t>For selected industry groups:</t>
  </si>
  <si>
    <t xml:space="preserve">  Farms</t>
  </si>
  <si>
    <t xml:space="preserve">  Manufacturing</t>
  </si>
  <si>
    <t xml:space="preserve">  Nonfarm nonmanufacturing (nonresidential fixed assets only)</t>
  </si>
  <si>
    <t>Table 6.4. Current-Cost Depreciation of Private Fixed Assets by Industry Group and Legal Form of Organization</t>
  </si>
  <si>
    <t>Table 6.7. Investment in Private Fixed Assets by Industry Group and Legal Form of Organization</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</si>
  <si>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</si>
  <si>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</si>
  <si>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</si>
  <si>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</si>
  <si>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</si>
  <si>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</si>
  <si>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</si>
  <si>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</si>
  <si>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</si>
  <si>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</si>
  <si>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</si>
  <si>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</si>
  <si>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</si>
  <si>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</si>
  <si>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</si>
  <si>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</si>
  <si>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</si>
  <si>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</si>
  <si>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</si>
  <si>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</si>
  <si>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</si>
  <si>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</si>
  <si>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</si>
  <si>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</si>
  <si>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Total Assets</t>
  </si>
  <si>
    <t>Capital Assets</t>
  </si>
  <si>
    <t>Financial Assets</t>
  </si>
  <si>
    <t>Total Liabilities and Equity</t>
  </si>
  <si>
    <t>Common Stock</t>
  </si>
  <si>
    <t>Total Liabilities</t>
  </si>
  <si>
    <t>CRSP Market Cap Adjustment Factor</t>
  </si>
  <si>
    <t xml:space="preserve">Enterprise Value </t>
  </si>
  <si>
    <t>Federal Reserve Economic Data, Federal Reserve Bank of St. Louis</t>
  </si>
  <si>
    <t>Link: https://fred.stlouisfed.org</t>
  </si>
  <si>
    <t>Help: https://fredhelp.stlouisfed.org</t>
  </si>
  <si>
    <t>This data may be copyrighted. Please refer to the Terms of Use: https://fred.stlouisfed.org/legal#fred-terms-faq</t>
  </si>
  <si>
    <t>LTGOVTBD</t>
  </si>
  <si>
    <t>Long-Term U.S. Government Securities (DISCONTINUED), Percent, Annual, Not Seasonally Adjusted</t>
  </si>
  <si>
    <t>Data Updated: 2006-06-07</t>
  </si>
  <si>
    <t>observation_date</t>
  </si>
  <si>
    <t>Market Yield on U.S. Treasury Securities at 10-Year Constant Maturity, Quoted on an Investment Basis, Percent, Annual, Not Seasonally Adjusted</t>
  </si>
  <si>
    <t>FRED Graph Observations</t>
  </si>
  <si>
    <t>DGS1</t>
  </si>
  <si>
    <t>Market Yield on U.S. Treasury Securities at 1-Year Constant Maturity, Quoted on an Investment Basis, Percent, Annual, Not Seasonally Adjusted</t>
  </si>
  <si>
    <t>REAINTRATREARAT10Y</t>
  </si>
  <si>
    <t>10-Year Real Interest Rate, Percent, Annual, Not Seasonally Adjusted</t>
  </si>
  <si>
    <t>Table 2.3.4. Price Indexes for Personal Consumption Expenditures by Major Type of Product</t>
  </si>
  <si>
    <t>[Index numbers, 2017=100]</t>
  </si>
  <si>
    <t xml:space="preserve">        Personal consumption expenditures (PCE)</t>
  </si>
  <si>
    <t>Goods</t>
  </si>
  <si>
    <t xml:space="preserve">    Durable goods</t>
  </si>
  <si>
    <t xml:space="preserve">        Motor vehicles and parts</t>
  </si>
  <si>
    <t xml:space="preserve">        Furnishings and durable household equipment</t>
  </si>
  <si>
    <t xml:space="preserve">        Recreational goods and vehicles</t>
  </si>
  <si>
    <t xml:space="preserve">        Other durable goods</t>
  </si>
  <si>
    <t xml:space="preserve">    Nondurable goods</t>
  </si>
  <si>
    <t xml:space="preserve">        Food and beverages purchased for off-premises consumption</t>
  </si>
  <si>
    <t xml:space="preserve">        Clothing and footwear</t>
  </si>
  <si>
    <t xml:space="preserve">        Gasoline and other energy goods</t>
  </si>
  <si>
    <t xml:space="preserve">        Other nondurable goods</t>
  </si>
  <si>
    <t>Services</t>
  </si>
  <si>
    <t xml:space="preserve">    Household consumption expenditures (for services)</t>
  </si>
  <si>
    <t xml:space="preserve">        Housing and utilities</t>
  </si>
  <si>
    <t xml:space="preserve">        Health care</t>
  </si>
  <si>
    <t xml:space="preserve">        Transportation services</t>
  </si>
  <si>
    <t xml:space="preserve">        Recreation services</t>
  </si>
  <si>
    <t xml:space="preserve">        Food services and accommodations</t>
  </si>
  <si>
    <t xml:space="preserve">        Financial services and insurance</t>
  </si>
  <si>
    <t xml:space="preserve">        Other services</t>
  </si>
  <si>
    <t xml:space="preserve">    Final consumption expenditures of nonprofit institutions serving households (NPISHs)1</t>
  </si>
  <si>
    <t xml:space="preserve">        Gross output of nonprofit institutions2</t>
  </si>
  <si>
    <t xml:space="preserve">        Less: Receipts from sales of goods and services by nonprofit institutions3</t>
  </si>
  <si>
    <t xml:space="preserve">    PCE excluding food and energy4</t>
  </si>
  <si>
    <t xml:space="preserve">    PCE excluding food, energy, and housing4</t>
  </si>
  <si>
    <t xml:space="preserve">    Energy goods and services5</t>
  </si>
  <si>
    <t xml:space="preserve">    PCE services excluding energy and housing</t>
  </si>
  <si>
    <t xml:space="preserve">    Housing</t>
  </si>
  <si>
    <t xml:space="preserve">    Market-based PCE6</t>
  </si>
  <si>
    <t xml:space="preserve">    Market-based PCE excluding food and energy6</t>
  </si>
  <si>
    <t>1. Net expenses of NPISHs, defined as their gross operating expenses less primary sales to households.</t>
  </si>
  <si>
    <t>2. Gross output is net of unrelated sales, secondary sales, and sales to business, to government, and to the rest of the world; excludes own-account investment (construction and software).</t>
  </si>
  <si>
    <t>3. Excludes unrelated sales, secondary sales, and sales to business, to government, and to the rest of the world; includes membership dues and fees.</t>
  </si>
  <si>
    <t>4. Food consists of food and beverages purchased for off-premises consumption; food services, which include purchased meals and beverages, are not classified as food.</t>
  </si>
  <si>
    <t>5. Consists of gasoline and other energy goods and of electricity and gas services.</t>
  </si>
  <si>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</si>
  <si>
    <t>Source: Tax Foundation</t>
  </si>
  <si>
    <t>https://taxfoundation.org/data/all/federal/historical-corporate-tax-rates-brackets/</t>
  </si>
  <si>
    <t>Summary</t>
  </si>
  <si>
    <t>Historical Corporate Income Tax Rates &amp; Brackets, 1909-2020</t>
  </si>
  <si>
    <t>Year</t>
  </si>
  <si>
    <t>Taxable Income Brackets</t>
  </si>
  <si>
    <t>Rates</t>
  </si>
  <si>
    <t>Notes:</t>
  </si>
  <si>
    <t>2018-2025</t>
  </si>
  <si>
    <t>All taxable income</t>
  </si>
  <si>
    <t>For tax years beginning after 2017, the Tax Cuts and Jobs Act (P.L. 115-97) replaced the graduated corporate tax structure with a flat 21% corporate tax rate.</t>
  </si>
  <si>
    <t>1993-2017</t>
  </si>
  <si>
    <t>First $50,000</t>
  </si>
  <si>
    <t>The Revenue Reconciliation Act of 1993  increased the maximum corporate tax rate to 35% for corporations with taxable income over $10 million. Corporations with taxable income over $15 million are subject to an additional tax of 3% of the excess over $15 million, or $100,000, whichever is smaller</t>
  </si>
  <si>
    <t>$50,000-$75,000</t>
  </si>
  <si>
    <t>$75,000-$100,000</t>
  </si>
  <si>
    <t>$100,000-$335,000</t>
  </si>
  <si>
    <t>$335,000-$10,000,000</t>
  </si>
  <si>
    <t>$10,000,000-$15,000,000</t>
  </si>
  <si>
    <t>$15,000,000-$18,333,333</t>
  </si>
  <si>
    <t>Over $18,333,333</t>
  </si>
  <si>
    <t>1988-1992</t>
  </si>
  <si>
    <t>Over $335,000</t>
  </si>
  <si>
    <t>First $25,000</t>
  </si>
  <si>
    <t>The Tax Reform Act of 1986 (TRA86) established a new rate structure effective for Tax Year 1988 and made the rates for Transition Year 1987 an average of the pre-TRA rates for 1986 and the post-TRA rates for 1988.</t>
  </si>
  <si>
    <t>$25,000-$50,000</t>
  </si>
  <si>
    <t>A new “alternative minimum tax” (AMT) replaced the add-on minimum tax, effective in 1987.  It required a calculation of an alternative measure of taxable income that reduced or eliminated many tax preference items.  The tax was 20 percent of the excess of this “alternative minimum taxable income” (AMTI) over $40,000.  The $40,000 exemption was reduced by 25 percent of the excess of AMTI over $150,000.  AMT in excess of regular tax could be carried over as a credit against regular tax in future years.  In 1998, “small” corporations (generally, those with average gross receipts of less than $5 million) were exempted from the AMT.</t>
  </si>
  <si>
    <t>The maximum tax rate on capital gains was capped at 34 percent for 1987, which was to be the rate on the highest corporate tax bracket in 1988 and after, according to TRA86.  The maximum capital gain rate was raised to 35 percent when the highest corporate rate bracket was increased in 1993.</t>
  </si>
  <si>
    <t>$335,000-$1,000,000</t>
  </si>
  <si>
    <t>$1,000,000-$1,405,000</t>
  </si>
  <si>
    <t>Over $1,405,000</t>
  </si>
  <si>
    <t>1984-1986</t>
  </si>
  <si>
    <t>The maximum tax rate on long-term capital gains was 28 percent.</t>
  </si>
  <si>
    <t>$100,000-$1,000,000</t>
  </si>
  <si>
    <t>Beginning in 1983, incorporated professional practices (“personal service corporations”) have been taxed on all taxable income at the corporate tax rate applicable to the highest income bracket.</t>
  </si>
  <si>
    <t>Over $100,000</t>
  </si>
  <si>
    <t>1979-1981</t>
  </si>
  <si>
    <t>1975-1978</t>
  </si>
  <si>
    <t>Over $50,000</t>
  </si>
  <si>
    <t>The holding period for long-term capital gain treatment of assets was increased from 6 months to 9 months in 1977 and 12 months in 1978.  The rate remained at 30 percent.</t>
  </si>
  <si>
    <t>1971-1974</t>
  </si>
  <si>
    <t>Over $25,000</t>
  </si>
  <si>
    <t>The maximum tax rate on long-term capital gains was increased to 30 percent.</t>
  </si>
  <si>
    <t>Includes a 2.5 percent Vietnam War surcharge.</t>
  </si>
  <si>
    <t>The maximum tax rate on long-term capital gains was increased to 28 percent.</t>
  </si>
  <si>
    <t>1968-1969</t>
  </si>
  <si>
    <t>From 1969 through 1986, corporations were also subject to an “add-on minimum tax” on certain “tax preference” items (such as percentage depletion, accelerated depreciation) above a certain amount.  For Tax Years 1969 through 1976, the tax was 10 percent of tax preferences in excess of $30,000; after 1976, the tax was 15 percent of preferences in excess of the greater of $10,000 or regular income tax.</t>
  </si>
  <si>
    <t>Rates include the Vietnam War surcharge of 10 percent.</t>
  </si>
  <si>
    <t>1965-1967</t>
  </si>
  <si>
    <t>1952-1963</t>
  </si>
  <si>
    <t>From April 1, 1954, through Calendar Year 1969, the maximum tax rate on capital gains was 25 percent.</t>
  </si>
  <si>
    <t>These rates reflect a tax increase (for the Korean War), effective March 31, 1951.  The maximum capital gain tax rate was also increased to 26 percent.</t>
  </si>
  <si>
    <t>An excess profits tax was also in effect from July 1950 through Calendar Year 1953.  The tax was 30 percent of an adjusted profits figure reduced by credits for the level of prewar profits.  It was not offset against income tax, but the sum of income and excess profits taxes was capped at a given percentage of income (from 62 percent to 70 percent).</t>
  </si>
  <si>
    <t>Beginning with Tax Year 1942, gains on the sale of assets held for more than 6 months (long-term capital gains) could be treated separately from other taxable income and taxed at a maximum rate of 25 percent.</t>
  </si>
  <si>
    <t>1946-1949</t>
  </si>
  <si>
    <t>Taxable income $50,000 or less:</t>
  </si>
  <si>
    <t>These rates are the sum of the “normal tax” rates and the “surtax” rates, which actually applied to slightly different definitions of taxable income.</t>
  </si>
  <si>
    <t>First $5,000</t>
  </si>
  <si>
    <t>Next $15,000</t>
  </si>
  <si>
    <t>Next $5,000</t>
  </si>
  <si>
    <t>Next $25,000</t>
  </si>
  <si>
    <t>Taxable income over $50,000</t>
  </si>
  <si>
    <t>1942-1945</t>
  </si>
  <si>
    <t>Taxable income $38,461.54 or less:</t>
  </si>
  <si>
    <t>Next $13,461.54</t>
  </si>
  <si>
    <t>Taxable income over $38,461.54</t>
  </si>
  <si>
    <t>Taxable income $31,964.30 or less:</t>
  </si>
  <si>
    <t>From June 1940 to the end of 1945, a tax on profits in excess of average prewar earnings was also imposed.  It was taken into account, as either a deduction or a credit, for the income tax and the other excess profits tax.</t>
  </si>
  <si>
    <t>The rates for 1940 include extra “defense tax” rates that are integrated with the regular rates in later years.</t>
  </si>
  <si>
    <t>Next $6,964.30</t>
  </si>
  <si>
    <t>Taxable income over $31,964.30, not over $38,565.84:</t>
  </si>
  <si>
    <t>Next $13,565.84</t>
  </si>
  <si>
    <t>Taxable income over $38,565.84</t>
  </si>
  <si>
    <t>1938-1939</t>
  </si>
  <si>
    <t>Taxable income $25,000 or less:</t>
  </si>
  <si>
    <t>Taxable income over $25,000</t>
  </si>
  <si>
    <t>1936-1937</t>
  </si>
  <si>
    <t>First $2,000</t>
  </si>
  <si>
    <t>An additional surtax ranging from 7 percent to 27 percent was imposed on undistributed profits.</t>
  </si>
  <si>
    <t>Over $2,000, not over  $15,000</t>
  </si>
  <si>
    <t>Over $15,000, not over $40,000</t>
  </si>
  <si>
    <t>Over $40,000</t>
  </si>
  <si>
    <t>1932-1935</t>
  </si>
  <si>
    <t>An additional “declared value” excess profits tax, based on profits in excess of a percentage of the value of corporate stock, was in effect from 1933 through 1945.  It was a deduction for income tax purposes.</t>
  </si>
  <si>
    <t>1930-1931</t>
  </si>
  <si>
    <t>First $3,000</t>
  </si>
  <si>
    <t>Over $3,000</t>
  </si>
  <si>
    <t>1926-1927</t>
  </si>
  <si>
    <t>Over $2,000</t>
  </si>
  <si>
    <t>1922-1924</t>
  </si>
  <si>
    <t>1919-1921</t>
  </si>
  <si>
    <t>An additional tax on “excess profits” and/or “war profits” was in effect from 1917 to 1922.  It was allowed as a deduction for computing income tax.</t>
  </si>
  <si>
    <t>1913 (March 1)-1915</t>
  </si>
  <si>
    <t>1909-1913 (February 28)</t>
  </si>
  <si>
    <t>All sectors; corporate equities; asset</t>
  </si>
  <si>
    <t>Z1/Z1/LM893064105.A</t>
  </si>
  <si>
    <t>LM893064105.A</t>
  </si>
  <si>
    <t>Nonfinancial corporate business; public corporate equities; liability (includes closely held before 1996q4)</t>
  </si>
  <si>
    <t>Z1/Z1/LM103164115.A</t>
  </si>
  <si>
    <t>LM103164115.A</t>
  </si>
  <si>
    <t>Nonfinancial corporate business; closely held corporate equities; liability</t>
  </si>
  <si>
    <t>Z1/Z1/LM103164125.A</t>
  </si>
  <si>
    <t>LM103164125.A</t>
  </si>
  <si>
    <t>U.S.-chartered depository institutions; corporate equities; liability</t>
  </si>
  <si>
    <t>Z1/Z1/LM763164105.A</t>
  </si>
  <si>
    <t>LM763164105.A</t>
  </si>
  <si>
    <t>U.S.-chartered depository institutions; public corporate equities; liability</t>
  </si>
  <si>
    <t>Z1/Z1/LM763164113.A</t>
  </si>
  <si>
    <t>LM763164113.A</t>
  </si>
  <si>
    <t>U.S.-chartered depository institutions; closely held corporate equities; liability</t>
  </si>
  <si>
    <t>Z1/Z1/LM763164123.A</t>
  </si>
  <si>
    <t>LM763164123.A</t>
  </si>
  <si>
    <t>Property-casualty insurance companies; corporate equities; liability</t>
  </si>
  <si>
    <t>Z1/Z1/LM513164105.A</t>
  </si>
  <si>
    <t>LM513164105.A</t>
  </si>
  <si>
    <t>Property-casualty insurance companies; public corporate equities; liability</t>
  </si>
  <si>
    <t>Z1/Z1/LM513164113.A</t>
  </si>
  <si>
    <t>LM513164113.A</t>
  </si>
  <si>
    <t>Property-casualty insurance companies; closely held corporate equities; liability</t>
  </si>
  <si>
    <t>Z1/Z1/LM513164123.A</t>
  </si>
  <si>
    <t>LM513164123.A</t>
  </si>
  <si>
    <t>Life insurance companies, general accounts; corporate equities; liability</t>
  </si>
  <si>
    <t>Z1/Z1/LM543164175.A</t>
  </si>
  <si>
    <t>LM543164175.A</t>
  </si>
  <si>
    <t>Life insurance companies, general accounts; public corporate equities; liability</t>
  </si>
  <si>
    <t>Z1/Z1/LM543164113.A</t>
  </si>
  <si>
    <t>LM543164113.A</t>
  </si>
  <si>
    <t>Life insurance companies, general accounts; closely held corporate equities; liability</t>
  </si>
  <si>
    <t>Z1/Z1/LM543164123.A</t>
  </si>
  <si>
    <t>LM543164123.A</t>
  </si>
  <si>
    <t xml:space="preserve">Closed-end funds; total financial assets </t>
  </si>
  <si>
    <t>Z1/Z1/LM554090005.A</t>
  </si>
  <si>
    <t>LM554090005.A</t>
  </si>
  <si>
    <t>Exchange-traded funds; total financial assets</t>
  </si>
  <si>
    <t>Z1/Z1/LM564090005.A</t>
  </si>
  <si>
    <t>LM564090005.A</t>
  </si>
  <si>
    <t>Government-sponsored enterprises; corporate equities; liability</t>
  </si>
  <si>
    <t>Z1/Z1/LM403164105.A</t>
  </si>
  <si>
    <t>LM403164105.A</t>
  </si>
  <si>
    <t>Mortgage real estate investment trusts; corporate equities; liability</t>
  </si>
  <si>
    <t>Z1/Z1/LM643164105.A</t>
  </si>
  <si>
    <t>LM643164105.A</t>
  </si>
  <si>
    <t>Mortgage real estate investment trusts; public corporate equities; liability</t>
  </si>
  <si>
    <t>Z1/Z1/LM643164113.A</t>
  </si>
  <si>
    <t>LM643164113.A</t>
  </si>
  <si>
    <t>Mortgage real estate investment trusts; closely held corporate equities; liability</t>
  </si>
  <si>
    <t>Z1/Z1/LM643164123.A</t>
  </si>
  <si>
    <t>LM643164123.A</t>
  </si>
  <si>
    <t>Security brokers and dealers; corporate equities; liability</t>
  </si>
  <si>
    <t>Z1/Z1/LM663164105.A</t>
  </si>
  <si>
    <t>LM663164105.A</t>
  </si>
  <si>
    <t>Security brokers and dealers; public corporate equities; liability</t>
  </si>
  <si>
    <t>Z1/Z1/LM663164113.A</t>
  </si>
  <si>
    <t>LM663164113.A</t>
  </si>
  <si>
    <t>Security brokers and dealers; closely held corporate equities; liability</t>
  </si>
  <si>
    <t>Z1/Z1/LM663164123.A</t>
  </si>
  <si>
    <t>LM663164123.A</t>
  </si>
  <si>
    <t>Holding companies; corporate equities; liability</t>
  </si>
  <si>
    <t>Z1/Z1/LM733164105.A</t>
  </si>
  <si>
    <t>LM733164105.A</t>
  </si>
  <si>
    <t>Holding companies; public corporate equities; liability</t>
  </si>
  <si>
    <t>Z1/Z1/LM733164113.A</t>
  </si>
  <si>
    <t>LM733164113.A</t>
  </si>
  <si>
    <t>Holding companies; closely held corporate equities; liability</t>
  </si>
  <si>
    <t>Z1/Z1/LM733164123.A</t>
  </si>
  <si>
    <t>LM733164123.A</t>
  </si>
  <si>
    <t>Other financial business; corporate equities; liability</t>
  </si>
  <si>
    <t>Z1/Z1/LM503164105.A</t>
  </si>
  <si>
    <t>LM503164105.A</t>
  </si>
  <si>
    <t>Other financial business; public corporate equities; liability</t>
  </si>
  <si>
    <t>Z1/Z1/LM503164115.A</t>
  </si>
  <si>
    <t>LM503164115.A</t>
  </si>
  <si>
    <t>Other financial business; closely held corporate equities; liability</t>
  </si>
  <si>
    <t>Z1/Z1/LM503164125.A</t>
  </si>
  <si>
    <t>LM503164125.A</t>
  </si>
  <si>
    <t>Rest of the world; foreign corporate equities including foreign investment fund shares; liability</t>
  </si>
  <si>
    <t>Z1/Z1/LM263164100.A</t>
  </si>
  <si>
    <t>LM263164100.A</t>
  </si>
  <si>
    <t>Households and nonprofit organizations; corporate equities; asset</t>
  </si>
  <si>
    <t>Z1/Z1/LM153064105.A</t>
  </si>
  <si>
    <t>LM153064105.A</t>
  </si>
  <si>
    <t>Federal government; corporate equities; asset</t>
  </si>
  <si>
    <t>Z1/Z1/LM313064105.A</t>
  </si>
  <si>
    <t>LM313064105.A</t>
  </si>
  <si>
    <t>State and local governments; corporate equities; asset</t>
  </si>
  <si>
    <t>Z1/Z1/LM213064103.A</t>
  </si>
  <si>
    <t>LM213064103.A</t>
  </si>
  <si>
    <t>Monetary authority; corporate equities; asset</t>
  </si>
  <si>
    <t>Z1/Z1/FL713064103.A</t>
  </si>
  <si>
    <t>FL713064103.A</t>
  </si>
  <si>
    <t>U.S.-chartered depository institutions; corporate equities, excluding Federal Reserve stock and equity in GSEs; asset</t>
  </si>
  <si>
    <t>Z1/Z1/LM763064103.A</t>
  </si>
  <si>
    <t>LM763064103.A</t>
  </si>
  <si>
    <t>Foreign banking offices in the U.S.; corporate equities; asset</t>
  </si>
  <si>
    <t>Z1/Z1/FL753064103.A</t>
  </si>
  <si>
    <t>FL753064103.A</t>
  </si>
  <si>
    <t>Property-casualty insurance companies; corporate equities, including those held by U.S. residual market reinsurers; asset</t>
  </si>
  <si>
    <t>Z1/Z1/LM513064105.A</t>
  </si>
  <si>
    <t>LM513064105.A</t>
  </si>
  <si>
    <t>Life insurance companies; corporate equities; asset</t>
  </si>
  <si>
    <t>Z1/Z1/LM543064105.A</t>
  </si>
  <si>
    <t>LM543064105.A</t>
  </si>
  <si>
    <t>Private pension funds, including 403(b) plans; corporate equities; asset</t>
  </si>
  <si>
    <t>Z1/Z1/LM573064105.A</t>
  </si>
  <si>
    <t>LM573064105.A</t>
  </si>
  <si>
    <t>Federal government retirement funds; corporate equities; asset</t>
  </si>
  <si>
    <t>Z1/Z1/LM343064105.A</t>
  </si>
  <si>
    <t>LM343064105.A</t>
  </si>
  <si>
    <t>State and local government employee defined benefit retirement funds; corporate equities; asset</t>
  </si>
  <si>
    <t>Z1/Z1/LM223064145.A</t>
  </si>
  <si>
    <t>LM223064145.A</t>
  </si>
  <si>
    <t>Mutual funds; corporate equities; asset</t>
  </si>
  <si>
    <t>Z1/Z1/LM653064100.A</t>
  </si>
  <si>
    <t>LM653064100.A</t>
  </si>
  <si>
    <t>Closed-end funds; corporate equities; asset</t>
  </si>
  <si>
    <t>Z1/Z1/LM553064103.A</t>
  </si>
  <si>
    <t>LM553064103.A</t>
  </si>
  <si>
    <t>Exchange-traded funds; corporate equities; asset</t>
  </si>
  <si>
    <t>Z1/Z1/LM563064100.A</t>
  </si>
  <si>
    <t>LM563064100.A</t>
  </si>
  <si>
    <t>Security brokers and dealers; corporate equities (net); asset</t>
  </si>
  <si>
    <t>Z1/Z1/LM663064105.A</t>
  </si>
  <si>
    <t>LM663064105.A</t>
  </si>
  <si>
    <t>Other financial business; corporate equities; asset</t>
  </si>
  <si>
    <t>Z1/Z1/FL503064105.A</t>
  </si>
  <si>
    <t>FL503064105.A</t>
  </si>
  <si>
    <t>Rest of the world; U.S. corporate equities; asset</t>
  </si>
  <si>
    <t>Z1/Z1/LM263064105.A</t>
  </si>
  <si>
    <t>LM263064105.A</t>
  </si>
  <si>
    <t xml:space="preserve">All domestic sectors; public corporate equities; liability                                 </t>
  </si>
  <si>
    <t>Z1/Z1/LM883164115.A</t>
  </si>
  <si>
    <t>LM883164115.A</t>
  </si>
  <si>
    <t>All domestic sectors; closely held corporate equities; liability</t>
  </si>
  <si>
    <t>Z1/Z1/LM883164123.A</t>
  </si>
  <si>
    <t>LM883164123.A</t>
  </si>
  <si>
    <t>All domestic sectors; closely held S corporation corporate equities; liability</t>
  </si>
  <si>
    <t>Z1/Z1/LM883164133.A</t>
  </si>
  <si>
    <t>LM883164133.A</t>
  </si>
  <si>
    <t>All domestic sectors; closely held C corporation corporate equities; liability</t>
  </si>
  <si>
    <t>Z1/Z1/LM883164135.A</t>
  </si>
  <si>
    <t>LM883164135.A</t>
  </si>
  <si>
    <t>Interest rates and price indexes; Dow Jones U.S. Total Market Index</t>
  </si>
  <si>
    <t>Percent</t>
  </si>
  <si>
    <t>Z1/Z1/PC073164013.A</t>
  </si>
  <si>
    <t>PC073164013.A</t>
  </si>
  <si>
    <t>Dates</t>
  </si>
  <si>
    <t>GVA</t>
  </si>
  <si>
    <t>NaN</t>
  </si>
  <si>
    <t>GFC</t>
  </si>
  <si>
    <t>Employee Compensation</t>
  </si>
  <si>
    <t>Indirect Business Taxes</t>
  </si>
  <si>
    <t>Net Operating Surplus</t>
  </si>
  <si>
    <t>Business Transfers</t>
  </si>
  <si>
    <t>Taxes on Corporate Income</t>
  </si>
  <si>
    <t>Investment</t>
  </si>
  <si>
    <t>Free Cash Flow</t>
  </si>
  <si>
    <t>Reproduction Value of Capital</t>
  </si>
  <si>
    <t>Enterprise Value</t>
  </si>
  <si>
    <t xml:space="preserve">All sectors; U.S. wealth </t>
  </si>
  <si>
    <t>Z1/Z1/FL892090005.A</t>
  </si>
  <si>
    <t>FL892090005.A</t>
  </si>
  <si>
    <t>Households and nonprofit organizations; nonfinancial assets</t>
  </si>
  <si>
    <t>Z1/Z1/LM152010005.A</t>
  </si>
  <si>
    <t>LM152010005.A</t>
  </si>
  <si>
    <t>Households and nonprofit organizations; real estate at market value</t>
  </si>
  <si>
    <t>Z1/Z1/LM155035005.A</t>
  </si>
  <si>
    <t>LM155035005.A</t>
  </si>
  <si>
    <t xml:space="preserve">Nonprofit organizations; equipment, current cost basis </t>
  </si>
  <si>
    <t>Z1/Z1/LM165015205.A</t>
  </si>
  <si>
    <t>LM165015205.A</t>
  </si>
  <si>
    <t>Nonprofit organizations; nonresidential intellectual property products, current cost basis</t>
  </si>
  <si>
    <t>Z1/Z1/LM165013765.A</t>
  </si>
  <si>
    <t>LM165013765.A</t>
  </si>
  <si>
    <t>Z1/Z1/LM155111005.A</t>
  </si>
  <si>
    <t>LM155111005.A</t>
  </si>
  <si>
    <t>Nonfinancial noncorporate business; nonfinancial assets</t>
  </si>
  <si>
    <t>Z1/Z1/LM112010005.A</t>
  </si>
  <si>
    <t>LM112010005.A</t>
  </si>
  <si>
    <t>Nonfinancial noncorporate business; real estate at market value</t>
  </si>
  <si>
    <t>Z1/Z1/LM115035005.A</t>
  </si>
  <si>
    <t>LM115035005.A</t>
  </si>
  <si>
    <t>Nonfinancial noncorporate business; equipment, current cost basis</t>
  </si>
  <si>
    <t>Z1/Z1/LM115015205.A</t>
  </si>
  <si>
    <t>LM115015205.A</t>
  </si>
  <si>
    <t>Nonfinancial noncorporate business; nonresidential intellectual property products, current cost basis</t>
  </si>
  <si>
    <t>Z1/Z1/LM115013765.A</t>
  </si>
  <si>
    <t>LM115013765.A</t>
  </si>
  <si>
    <t xml:space="preserve">Nonfinancial noncorporate business; inventories </t>
  </si>
  <si>
    <t>Z1/Z1/LM115020005.A</t>
  </si>
  <si>
    <t>LM115020005.A</t>
  </si>
  <si>
    <t>All domestic sectors; market value estimate of nonfinancial assets</t>
  </si>
  <si>
    <t>Z1/Z1/LM882010405.A</t>
  </si>
  <si>
    <t>LM882010405.A</t>
  </si>
  <si>
    <t>Nonfinancial corporate business; market value estimate of nonfinancial assets</t>
  </si>
  <si>
    <t>Z1/Z1/LM102010405.A</t>
  </si>
  <si>
    <t>LM102010405.A</t>
  </si>
  <si>
    <t>Domestic financial sectors; market value estimate of nonfinancial assets</t>
  </si>
  <si>
    <t>Z1/Z1/LM792010405.A</t>
  </si>
  <si>
    <t>LM792010405.A</t>
  </si>
  <si>
    <t>Z1/Z1/LM315015005.A</t>
  </si>
  <si>
    <t>LM315015005.A</t>
  </si>
  <si>
    <t>Federal government; total residential and nonresidential structures</t>
  </si>
  <si>
    <t>Z1/Z1/LM315015605.A</t>
  </si>
  <si>
    <t>LM315015605.A</t>
  </si>
  <si>
    <t>Federal government; nonresidential equipment, current cost basis</t>
  </si>
  <si>
    <t>Z1/Z1/LM315013265.A</t>
  </si>
  <si>
    <t>LM315013265.A</t>
  </si>
  <si>
    <t>Federal government; nonresidential intellectual property products, current cost basis</t>
  </si>
  <si>
    <t>Z1/Z1/LM315013765.A</t>
  </si>
  <si>
    <t>LM315013765.A</t>
  </si>
  <si>
    <t>State and local governments; nonfinancial assets (does not include land)</t>
  </si>
  <si>
    <t>Z1/Z1/LM212010095.A</t>
  </si>
  <si>
    <t>LM212010095.A</t>
  </si>
  <si>
    <t>State and local governments; total residential and nonresidential structures</t>
  </si>
  <si>
    <t>Z1/Z1/LM215015605.A</t>
  </si>
  <si>
    <t>LM215015605.A</t>
  </si>
  <si>
    <t>State and local governments; nonresidential equipment, current cost basis</t>
  </si>
  <si>
    <t>Z1/Z1/LM215013265.A</t>
  </si>
  <si>
    <t>LM215013265.A</t>
  </si>
  <si>
    <t>State and local governments; nonresidential intellectual property products, current cost basis</t>
  </si>
  <si>
    <t>Z1/Z1/LM215013765.A</t>
  </si>
  <si>
    <t>LM215013765.A</t>
  </si>
  <si>
    <t>All domestic sectors; U.S. financial claims on the rest of the world; asset</t>
  </si>
  <si>
    <t>Z1/Z1/FL882090265.A</t>
  </si>
  <si>
    <t>FL882090265.A</t>
  </si>
  <si>
    <t>Rest of the world; total liabilities and equity</t>
  </si>
  <si>
    <t>Z1/Z1/FL264194005.A</t>
  </si>
  <si>
    <t>FL264194005.A</t>
  </si>
  <si>
    <t>Rest of the world; total financial liabilities and foreign direct investment: equity</t>
  </si>
  <si>
    <t>Z1/Z1/FL264194035.A</t>
  </si>
  <si>
    <t>FL264194035.A</t>
  </si>
  <si>
    <t>Rest of the world; total financial assets</t>
  </si>
  <si>
    <t>Z1/Z1/FL264090005.A</t>
  </si>
  <si>
    <t>FL264090005.A</t>
  </si>
  <si>
    <t>Rest of the world; total financial assets excluding U.S. corporate equities and mutual fund shares</t>
  </si>
  <si>
    <t>Z1/Z1/FL264090035.A</t>
  </si>
  <si>
    <t>FL264090035.A</t>
  </si>
  <si>
    <t>Z1/Z1/FC892090005.A</t>
  </si>
  <si>
    <t>FC892090005.A</t>
  </si>
  <si>
    <t>All sectors; U.S. wealth</t>
  </si>
  <si>
    <t>Z1/Z1/PC892090005.A</t>
  </si>
  <si>
    <t>PC892090005.A</t>
  </si>
  <si>
    <t xml:space="preserve">Households and nonprofit organizations; net worth </t>
  </si>
  <si>
    <t>Z1/Z1/FL152090005.A</t>
  </si>
  <si>
    <t>FL152090005.A</t>
  </si>
  <si>
    <t>Z1/Z1/FC152090005.A</t>
  </si>
  <si>
    <t>FC152090005.A</t>
  </si>
  <si>
    <t>Households and nonprofit organizations; net worth</t>
  </si>
  <si>
    <t>Z1/Z1/PC152090005.A</t>
  </si>
  <si>
    <t>PC152090005.A</t>
  </si>
  <si>
    <t>Calendar Date</t>
  </si>
  <si>
    <t>Value-Weighted Return-incl. dividends</t>
  </si>
  <si>
    <t>Value-Weighted Return-excl. dividends</t>
  </si>
  <si>
    <t>Total Market Value</t>
  </si>
  <si>
    <t>CRSP Inverse</t>
  </si>
  <si>
    <t>S&amp;P Earnings Yield</t>
  </si>
  <si>
    <t>FCF</t>
  </si>
  <si>
    <t>FCF/V</t>
  </si>
  <si>
    <t xml:space="preserve">PCE </t>
  </si>
  <si>
    <t>Durable Goods</t>
  </si>
  <si>
    <t>PCE Non Durables and Services</t>
  </si>
  <si>
    <t>Ratio of Equity Market Cap to CRSP</t>
  </si>
  <si>
    <t>CRSP</t>
  </si>
  <si>
    <t>Top Corp Tax Rate</t>
  </si>
  <si>
    <t>Direct Capital Revaluations</t>
  </si>
  <si>
    <t>PCE Deflator</t>
  </si>
  <si>
    <t>Nonfinfancial Corporate</t>
  </si>
  <si>
    <t>Capital</t>
  </si>
  <si>
    <t>Depreciation</t>
  </si>
  <si>
    <t>Revaluation</t>
  </si>
  <si>
    <t>Other Volume Changes</t>
  </si>
  <si>
    <t>Computed</t>
  </si>
  <si>
    <t>Domestic Financial Sectors</t>
  </si>
  <si>
    <t>Investment NIPA</t>
  </si>
  <si>
    <t>Investment NIPA-Fixed Assets</t>
  </si>
  <si>
    <t>Investment Computed</t>
  </si>
  <si>
    <t>Totals</t>
  </si>
  <si>
    <t>CRSP Rwd</t>
  </si>
  <si>
    <t>Gravelle EMTR</t>
  </si>
  <si>
    <t>Sources</t>
  </si>
  <si>
    <t>https://digital.library.unt.edu/ark:/67531/metadc817820/</t>
  </si>
  <si>
    <t>https://www.congress.gov/crs_external_products/RS/PDF/RS21706/RS21706.6.pdf</t>
  </si>
  <si>
    <t>File Created: 2026-03-12 11:40 am CDT</t>
  </si>
  <si>
    <t>GS1</t>
  </si>
  <si>
    <t>Data Updated: 2026-03-02</t>
  </si>
  <si>
    <t>File Created: 2026-03-12 11:59 am CDT</t>
  </si>
  <si>
    <t>File Created: 2026-03-12 12:07 pm CDT</t>
  </si>
  <si>
    <t>GS10</t>
  </si>
  <si>
    <t>File Created: 2026-03-12 12:12 pm CDT</t>
  </si>
  <si>
    <t>Data Updated: 2026-03-11</t>
  </si>
  <si>
    <t>From Survey of Professional Forecasters</t>
  </si>
  <si>
    <t>https://www.philadelphiafed.org/surveys-and-data/real-time-data-research/inflation-forecasts</t>
  </si>
  <si>
    <t>SPF Forecasts</t>
  </si>
  <si>
    <t>YEAR</t>
  </si>
  <si>
    <t>QUARTER</t>
  </si>
  <si>
    <t>INFPGDP1YR</t>
  </si>
  <si>
    <t>#N/A</t>
  </si>
  <si>
    <t>INFCPI1YR</t>
  </si>
  <si>
    <t>INFCPI10YR</t>
  </si>
  <si>
    <t>Other Forecasts</t>
  </si>
  <si>
    <r>
      <t xml:space="preserve">This file contains data on 10-year CPI inflation expectations from the Philadelphia Fed's </t>
    </r>
    <r>
      <rPr>
        <i/>
        <sz val="10"/>
        <color rgb="FF000000"/>
        <rFont val="Arial"/>
        <family val="2"/>
      </rPr>
      <t>Livingston Survey</t>
    </r>
    <r>
      <rPr>
        <sz val="10"/>
        <color rgb="FF000000"/>
        <rFont val="Arial"/>
        <family val="2"/>
      </rPr>
      <t xml:space="preserve"> and from the </t>
    </r>
    <r>
      <rPr>
        <i/>
        <sz val="10"/>
        <color rgb="FF000000"/>
        <rFont val="Arial"/>
        <family val="2"/>
      </rPr>
      <t>Blue Chip Economic Indicators</t>
    </r>
    <r>
      <rPr>
        <sz val="10"/>
        <color rgb="FF000000"/>
        <rFont val="Arial"/>
        <family val="2"/>
      </rPr>
      <t>. Each number below is the forecast for the average rate of CPI inflation for the next 10 years.</t>
    </r>
  </si>
  <si>
    <r>
      <t>Livingston Survey:</t>
    </r>
    <r>
      <rPr>
        <sz val="10"/>
        <color rgb="FF000000"/>
        <rFont val="Arial"/>
        <family val="2"/>
      </rPr>
      <t xml:space="preserve"> Long-term inflation forecasts are taken in every survey, June and December. </t>
    </r>
  </si>
  <si>
    <r>
      <t>Blue Chip Economic Indicators:</t>
    </r>
    <r>
      <rPr>
        <sz val="10"/>
        <color rgb="FF000000"/>
        <rFont val="Arial"/>
        <family val="2"/>
      </rPr>
      <t xml:space="preserve"> Long-term inflation forecasts are taken twice a year (March and October).  The original data were obtained from Robert Eggert, Editor, Blue Chip Economic Indicators, P.O. Box 2243, Sedona, Arizona 86339, phone (602) 282-4882.  Note that prior to 1983, and in 1983:4, the variable was the GNP deflator rather than the CPI.</t>
    </r>
  </si>
  <si>
    <r>
      <t xml:space="preserve">The data in this file can be used to extend the time series of 10-year inflation expectations, available on our web page, from the Philadelphia Fed's </t>
    </r>
    <r>
      <rPr>
        <i/>
        <sz val="10"/>
        <color rgb="FF000000"/>
        <rFont val="Arial"/>
        <family val="2"/>
      </rPr>
      <t>Survey of Professional Forecasters</t>
    </r>
    <r>
      <rPr>
        <sz val="10"/>
        <color rgb="FF000000"/>
        <rFont val="Arial"/>
        <family val="2"/>
      </rPr>
      <t xml:space="preserve">.  </t>
    </r>
  </si>
  <si>
    <t>Survey Date</t>
  </si>
  <si>
    <t>1979:4</t>
  </si>
  <si>
    <t>1980:1</t>
  </si>
  <si>
    <t>1980:2</t>
  </si>
  <si>
    <t>1980:3</t>
  </si>
  <si>
    <t>1980:4</t>
  </si>
  <si>
    <t>1981:1</t>
  </si>
  <si>
    <t>1981:2</t>
  </si>
  <si>
    <t>1981:3</t>
  </si>
  <si>
    <t>1981:4</t>
  </si>
  <si>
    <t>1982:1</t>
  </si>
  <si>
    <t>1982:2</t>
  </si>
  <si>
    <t>1982:3</t>
  </si>
  <si>
    <t>1982:4</t>
  </si>
  <si>
    <t>1983:1</t>
  </si>
  <si>
    <t>1983:2</t>
  </si>
  <si>
    <t>1983:3</t>
  </si>
  <si>
    <t>1983:4</t>
  </si>
  <si>
    <t>1984:1</t>
  </si>
  <si>
    <t>1984:2</t>
  </si>
  <si>
    <t>1984:3</t>
  </si>
  <si>
    <t>1984:4</t>
  </si>
  <si>
    <t>1985:1</t>
  </si>
  <si>
    <t>1985:2</t>
  </si>
  <si>
    <t>1985:3</t>
  </si>
  <si>
    <t>1985:4</t>
  </si>
  <si>
    <t>1986:1</t>
  </si>
  <si>
    <t>1986:2</t>
  </si>
  <si>
    <t>1986:3</t>
  </si>
  <si>
    <t>1986:4</t>
  </si>
  <si>
    <t>1987:1</t>
  </si>
  <si>
    <t>1987:2</t>
  </si>
  <si>
    <t>1987:3</t>
  </si>
  <si>
    <t>1987:4</t>
  </si>
  <si>
    <t>1988:1</t>
  </si>
  <si>
    <t>1988:2</t>
  </si>
  <si>
    <t>1988:3</t>
  </si>
  <si>
    <t>1988:4</t>
  </si>
  <si>
    <t>1989:1</t>
  </si>
  <si>
    <t>1989:2</t>
  </si>
  <si>
    <t>1989:3</t>
  </si>
  <si>
    <t>1989:4</t>
  </si>
  <si>
    <t>1990:1</t>
  </si>
  <si>
    <t>1990:2</t>
  </si>
  <si>
    <t>1990:3</t>
  </si>
  <si>
    <t>1990:4</t>
  </si>
  <si>
    <t>1991:1</t>
  </si>
  <si>
    <t>1991:2</t>
  </si>
  <si>
    <t>1991:3</t>
  </si>
  <si>
    <t>1991:4</t>
  </si>
  <si>
    <t>1992:1</t>
  </si>
  <si>
    <t>1992:2</t>
  </si>
  <si>
    <t>1992:3</t>
  </si>
  <si>
    <t>1992:4</t>
  </si>
  <si>
    <t>1993:1</t>
  </si>
  <si>
    <t>1993:2</t>
  </si>
  <si>
    <t>1993:3</t>
  </si>
  <si>
    <t>1993:4</t>
  </si>
  <si>
    <t>1994:1</t>
  </si>
  <si>
    <t>1994:2</t>
  </si>
  <si>
    <t>1994:3</t>
  </si>
  <si>
    <t>1994:4</t>
  </si>
  <si>
    <t>1995:1</t>
  </si>
  <si>
    <t>1995:2</t>
  </si>
  <si>
    <t>1995:3</t>
  </si>
  <si>
    <t>1995:4</t>
  </si>
  <si>
    <t>1996:1</t>
  </si>
  <si>
    <t>1996:2</t>
  </si>
  <si>
    <t>1996:3</t>
  </si>
  <si>
    <t>1996:4</t>
  </si>
  <si>
    <t>1997:1</t>
  </si>
  <si>
    <t>1997:2</t>
  </si>
  <si>
    <t>1997:3</t>
  </si>
  <si>
    <t>1997:4</t>
  </si>
  <si>
    <t>1998:1</t>
  </si>
  <si>
    <t>1998:2</t>
  </si>
  <si>
    <t>1998:3</t>
  </si>
  <si>
    <t>1998:4</t>
  </si>
  <si>
    <t>1999:1</t>
  </si>
  <si>
    <t>1999:2</t>
  </si>
  <si>
    <t>1999:3</t>
  </si>
  <si>
    <t>1999:4</t>
  </si>
  <si>
    <t>2000:1</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</si>
  <si>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</si>
  <si>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</si>
  <si>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</si>
  <si>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</si>
  <si>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</si>
  <si>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</si>
  <si>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</si>
  <si>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</si>
  <si>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</si>
  <si>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</si>
  <si>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</si>
  <si>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</si>
  <si>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</si>
  <si>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</si>
  <si>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</si>
  <si>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</si>
  <si>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</si>
  <si>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</si>
  <si>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</si>
  <si>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</si>
  <si>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</si>
  <si>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</si>
  <si>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</si>
  <si>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</si>
  <si>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</si>
  <si>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</si>
  <si>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</si>
  <si>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</si>
  <si>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</si>
  <si>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</si>
  <si>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</si>
  <si>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</si>
  <si>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</si>
  <si>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</si>
  <si>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</si>
  <si>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</si>
  <si>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</si>
  <si>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</si>
  <si>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</si>
  <si>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</si>
  <si>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</si>
  <si>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</si>
  <si>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</si>
  <si>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</si>
  <si>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</si>
  <si>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</si>
  <si>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</si>
  <si>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</si>
  <si>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</si>
  <si>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</si>
  <si>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</si>
  <si>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</si>
  <si>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</si>
  <si>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</si>
  <si>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</si>
  <si>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</si>
  <si>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</si>
  <si>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</si>
  <si>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</si>
  <si>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</si>
  <si>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</si>
  <si>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</si>
  <si>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</si>
  <si>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</si>
  <si>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</si>
  <si>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</si>
  <si>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</si>
  <si>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</si>
  <si>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</si>
  <si>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</si>
  <si>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</si>
  <si>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</si>
  <si>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</si>
  <si>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</si>
  <si>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</si>
  <si>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</si>
  <si>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</si>
  <si>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</si>
  <si>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</si>
  <si>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</si>
  <si>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</si>
  <si>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</si>
  <si>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</si>
  <si>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</si>
  <si>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</si>
  <si>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</si>
  <si>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</si>
  <si>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</si>
  <si>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</si>
  <si>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</si>
  <si>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</si>
  <si>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</si>
  <si>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</si>
  <si>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</si>
  <si>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</si>
  <si>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</si>
  <si>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</si>
  <si>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2024:3</t>
  </si>
  <si>
    <t>2024:4</t>
  </si>
  <si>
    <t>2025:1</t>
  </si>
  <si>
    <t>2025:2</t>
  </si>
  <si>
    <t>2025:3</t>
  </si>
  <si>
    <t>2025:4</t>
  </si>
  <si>
    <t>2026:1</t>
  </si>
  <si>
    <t>Livingston</t>
  </si>
  <si>
    <t>Blue Chip</t>
  </si>
  <si>
    <t>Combined</t>
  </si>
  <si>
    <t>One Year</t>
  </si>
  <si>
    <t>Ten Year</t>
  </si>
  <si>
    <t>Survey</t>
  </si>
  <si>
    <t>Cleveland Fed</t>
  </si>
  <si>
    <t>One Year Nominal Rate</t>
  </si>
  <si>
    <t>Ten Year Nominal Rate</t>
  </si>
  <si>
    <t>One Year Inflation Expectations</t>
  </si>
  <si>
    <t>Ten Year Inflation Expectations</t>
  </si>
  <si>
    <t>Cleveland Ten Year Real Rate</t>
  </si>
  <si>
    <t>Ten Year Real Rate Extended</t>
  </si>
  <si>
    <t>Source https://www.newyorkfed.org/research/policy/rstar</t>
  </si>
  <si>
    <t>Current Model Estimates</t>
  </si>
  <si>
    <t>LW</t>
  </si>
  <si>
    <t>HLW</t>
  </si>
  <si>
    <t>Two sided estimates</t>
  </si>
  <si>
    <t>r star</t>
  </si>
  <si>
    <t>g</t>
  </si>
  <si>
    <t>Annual (Q4) Estimates</t>
  </si>
  <si>
    <t>rstar LW</t>
  </si>
  <si>
    <t>rstar HLW</t>
  </si>
  <si>
    <t>Giannoni et al estimates</t>
  </si>
  <si>
    <t>https://github.com/FRBNY-TimeSeriesAnalysis/rstarGlobal?tab=readme-ov-file</t>
  </si>
  <si>
    <t>rstar DelNegro</t>
  </si>
  <si>
    <t>SP Earnings Yield</t>
  </si>
  <si>
    <t>SPDividend Yield</t>
  </si>
  <si>
    <t>trend g HLW</t>
  </si>
  <si>
    <t>Bauer Rudebusch rstar (end of year)</t>
  </si>
  <si>
    <t>Bauer Rudebusch Rstar</t>
  </si>
  <si>
    <t>date</t>
  </si>
  <si>
    <t>rstar</t>
  </si>
  <si>
    <t>rstar_Q4</t>
  </si>
  <si>
    <t>gva</t>
  </si>
  <si>
    <t>pce deflator</t>
  </si>
  <si>
    <t>g(rgva)</t>
  </si>
  <si>
    <t>g(r_gdp)</t>
  </si>
  <si>
    <t>gdp (from JST)</t>
  </si>
  <si>
    <t>cpi (from JST)</t>
  </si>
  <si>
    <t>eg from IMA</t>
  </si>
  <si>
    <t>eg from JST</t>
  </si>
  <si>
    <t>eg IMA corrected</t>
  </si>
  <si>
    <t>tax/NOS</t>
  </si>
  <si>
    <t>(tax+transfers)/NOS</t>
  </si>
  <si>
    <t>max rate</t>
  </si>
  <si>
    <t>IBT+bt/gva</t>
  </si>
  <si>
    <t>EV</t>
  </si>
  <si>
    <t>Statistics of Income 1945 Volume 2 Table 20 page 420</t>
  </si>
  <si>
    <t>https://www.irs.gov/pub/irs-soi/45soireppt2ar.pdf</t>
  </si>
  <si>
    <t>FCF/EV</t>
  </si>
  <si>
    <t>CS, 1</t>
  </si>
  <si>
    <t>CS, 2</t>
  </si>
  <si>
    <t>Nonfinancial FCF/GVA</t>
  </si>
  <si>
    <t>Ratio</t>
  </si>
  <si>
    <t>Net Invest/QK</t>
  </si>
  <si>
    <t>Tobins Q</t>
  </si>
  <si>
    <t>QK3</t>
  </si>
  <si>
    <t>VPi0</t>
  </si>
  <si>
    <t>VPi3</t>
  </si>
  <si>
    <t>VPi8</t>
  </si>
  <si>
    <t>QK8</t>
  </si>
  <si>
    <t>Net Lending over V</t>
  </si>
  <si>
    <t>Net Property Payments over V</t>
  </si>
  <si>
    <t>FCF over V</t>
  </si>
  <si>
    <t>FCFless inventories over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</si>
</sst>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0000"/>
    <numFmt numFmtId="167" formatCode="##0"/>
    <numFmt numFmtId="168" formatCode="0.0000"/>
  </numFmts>
  <fonts count="25">
    <font>
      <sz val="12"/>
      <color theme="1"/>
      <name val="Aptos Narrow"/>
      <family val="2"/>
      <scheme val="minor"/>
    </font>
    <font>
      <u/>
      <sz val="12"/>
      <color theme="10"/>
      <name val="Aptos Narrow"/>
      <family val="2"/>
      <scheme val="minor"/>
    </font>
    <font>
      <u/>
      <sz val="10"/>
      <color indexed="12"/>
      <name val="Arial"/>
      <family val="2"/>
    </font>
    <font>
      <sz val="14"/>
      <name val="Times New Roman"/>
      <family val="1"/>
    </font>
    <font>
      <u/>
      <sz val="10"/>
      <color rgb="FF0000FF"/>
      <name val="Arial"/>
      <family val="2"/>
    </font>
    <font>
      <sz val="10"/>
      <name val="Arial"/>
      <family val="2"/>
    </font>
    <font>
      <b/>
      <sz val="14"/>
      <name val="Calibri"/>
      <family val="2"/>
    </font>
    <font>
      <sz val="13"/>
      <name val="Calibri"/>
      <family val="2"/>
    </font>
    <font>
      <b/>
      <sz val="11"/>
      <color indexed="9"/>
      <name val="Calibri"/>
      <family val="2"/>
    </font>
    <font>
      <b/>
      <sz val="11"/>
      <name val="Calibri"/>
      <family val="2"/>
    </font>
    <font>
      <b/>
      <i/>
      <sz val="15"/>
      <name val="Calibri"/>
      <family val="2"/>
    </font>
    <font>
      <i/>
      <sz val="11"/>
      <name val="Calibri"/>
      <family val="2"/>
    </font>
    <font>
      <sz val="11"/>
      <color rgb="FF000000"/>
      <name val="Aptos Narrow"/>
      <family val="2"/>
      <scheme val="minor"/>
    </font>
    <font>
      <b/>
      <sz val="11"/>
      <color rgb="FFFFFFFF"/>
      <name val="Calibri"/>
      <family val="2"/>
    </font>
    <font>
      <sz val="12"/>
      <color rgb="FF000000"/>
      <name val="Aptos Narrow"/>
      <family val="2"/>
      <scheme val="minor"/>
    </font>
    <font>
      <sz val="10"/>
      <color theme="1"/>
      <name val="Consolas"/>
      <family val="3"/>
    </font>
    <font>
      <b/>
      <sz val="11"/>
      <color rgb="FF000000"/>
      <name val="ITC Bookman"/>
    </font>
    <font>
      <sz val="11"/>
      <color rgb="FF000000"/>
      <name val="ITC Bookman"/>
    </font>
    <font>
      <sz val="10"/>
      <color rgb="FF000000"/>
      <name val="Arial"/>
      <family val="2"/>
    </font>
    <font>
      <i/>
      <sz val="10"/>
      <color rgb="FF000000"/>
      <name val="Arial"/>
      <family val="2"/>
    </font>
    <font>
      <b/>
      <u/>
      <sz val="10"/>
      <color rgb="FF000000"/>
      <name val="Arial"/>
      <family val="2"/>
    </font>
    <font>
      <b/>
      <sz val="10"/>
      <name val="Arial"/>
      <family val="2"/>
    </font>
    <font>
      <sz val="11"/>
      <color theme="1"/>
      <name val="Aptos Narrow"/>
      <family val="2"/>
      <scheme val="minor"/>
    </font>
    <font>
      <b/>
      <sz val="11"/>
      <color rgb="FF000000"/>
      <name val="Calibri"/>
      <family val="2"/>
    </font>
    <font>
      <sz val="11"/>
      <color rgb="FF000000"/>
      <name val="Calibri"/>
      <family val="2"/>
    </font>
  </fonts>
  <fills count="8">
    <fill>
      <patternFill patternType="none"/>
    </fill>
    <fill>
      <patternFill patternType="gray125"/>
    </fill>
    <fill>
      <patternFill patternType="solid">
        <fgColor rgb="FF99CCFF"/>
        <bgColor indexed="64"/>
      </patternFill>
    </fill>
    <fill>
      <patternFill patternType="solid">
        <fgColor rgb="FFC0C0C0"/>
        <bgColor indexed="64"/>
      </patternFill>
    </fill>
    <fill>
      <patternFill patternType="solid">
        <fgColor rgb="FF99CCFF"/>
        <bgColor rgb="FF000000"/>
      </patternFill>
    </fill>
    <fill>
      <patternFill patternType="solid">
        <fgColor rgb="FFC0C0C0"/>
        <bgColor rgb="FF000000"/>
      </patternFill>
    </fill>
    <fill>
      <patternFill patternType="darkGray">
        <bgColor indexed="12"/>
      </patternFill>
    </fill>
    <fill>
      <patternFill patternType="darkGray">
        <fgColor rgb="FF000000"/>
        <bgColor rgb="FF0000FF"/>
      </patternFill>
    </fill>
  </fills>
  <borders count="12">
    <border>
      <left/>
      <right/>
      <top/>
      <bottom/>
      <diagonal/>
    </border>
    <border>
      <left/>
      <right/>
      <top/>
      <bottom style="medium">
        <color rgb="FF000000"/>
      </bottom>
      <diagonal/>
    </border>
    <border>
      <left/>
      <right style="medium">
        <color rgb="FF000000"/>
      </right>
      <top/>
      <bottom/>
      <diagonal/>
    </border>
    <border>
      <left/>
      <right/>
      <top/>
      <bottom style="medium">
        <color auto="1"/>
      </bottom>
      <diagonal/>
    </border>
    <border>
      <left/>
      <right style="medium">
        <color auto="1"/>
      </right>
      <top/>
      <bottom/>
      <diagonal/>
    </border>
    <border>
      <left style="thin">
        <color indexed="9"/>
      </left>
      <right style="thin">
        <color indexed="9"/>
      </right>
      <top style="thin">
        <color indexed="9"/>
      </top>
      <bottom style="thin">
        <color indexed="9"/>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bottom style="medium">
        <color auto="1"/>
      </bottom>
      <diagonal/>
    </border>
    <border>
      <left/>
      <right style="medium">
        <color auto="1"/>
      </right>
      <top/>
      <bottom/>
      <diagonal/>
    </border>
    <border>
      <left/>
      <right/>
      <top/>
      <bottom style="medium">
        <color auto="1"/>
      </bottom>
      <diagonal/>
    </border>
    <border>
      <left/>
      <right style="medium">
        <color auto="1"/>
      </right>
      <top/>
      <bottom/>
      <diagonal/>
    </border>
  </borders>
  <cellStyleXfs count="3">
    <xf numFmtId="0" fontId="0" fillId="0" borderId="0"/>
    <xf numFmtId="0" fontId="1" fillId="0" borderId="0" applyNumberFormat="0" applyFill="0" applyBorder="0" applyAlignment="0" applyProtection="0"/>
    <xf numFmtId="0" fontId="22" fillId="0" borderId="0"/>
  </cellStyleXfs>
  <cellXfs count="58">
    <xf numFmtId="0" fontId="0" fillId="0" borderId="0" xfId="0"/>
    <xf numFmtId="0" fontId="2" fillId="2" borderId="0" xfId="0" applyFont="1" applyFill="1"/>
    <xf numFmtId="0" fontId="3" fillId="2" borderId="0" xfId="0" applyFont="1" applyFill="1"/>
    <xf numFmtId="0" fontId="4" fillId="4" borderId="0" xfId="0" applyFont="1" applyFill="1"/>
    <xf numFmtId="0" fontId="1" fillId="4" borderId="0" xfId="1" applyFill="1"/>
    <xf numFmtId="0" fontId="3" fillId="4" borderId="0" xfId="0" applyFont="1" applyFill="1"/>
    <xf numFmtId="0" fontId="5" fillId="4" borderId="1" xfId="0" applyFont="1" applyFill="1" applyBorder="1"/>
    <xf numFmtId="0" fontId="5" fillId="0" borderId="0" xfId="0" applyFont="1"/>
    <xf numFmtId="0" fontId="5" fillId="5" borderId="2" xfId="0" applyFont="1" applyFill="1" applyBorder="1"/>
    <xf numFmtId="0" fontId="0" fillId="2" borderId="3" xfId="0" applyFill="1" applyBorder="1"/>
    <xf numFmtId="0" fontId="0" fillId="3" borderId="4" xfId="0" applyFill="1" applyBorder="1"/>
    <xf numFmtId="0" fontId="8" fillId="6" borderId="5" xfId="0" applyFont="1" applyFill="1" applyBorder="1" applyAlignment="1">
      <alignment horizontal="center" vertical="center"/>
    </xf>
    <xf numFmtId="0" fontId="9" fillId="0" borderId="0" xfId="0" applyFont="1"/>
    <xf numFmtId="0" fontId="12" fillId="0" borderId="0" xfId="0" applyFont="1"/>
    <xf numFmtId="0" fontId="13" fillId="7" borderId="6" xfId="0" applyFont="1" applyFill="1" applyBorder="1" applyAlignment="1">
      <alignment horizontal="center" vertical="center"/>
    </xf>
    <xf numFmtId="0" fontId="13" fillId="7" borderId="7" xfId="0" applyFont="1" applyFill="1" applyBorder="1" applyAlignment="1">
      <alignment horizontal="center" vertical="center"/>
    </xf>
    <xf numFmtId="1" fontId="0" fillId="0" borderId="0" xfId="0" applyNumberFormat="1"/>
    <xf numFmtId="0" fontId="1" fillId="0" borderId="0" xfId="1"/>
    <xf numFmtId="9" fontId="0" fillId="0" borderId="0" xfId="0" applyNumberFormat="1"/>
    <xf numFmtId="164" fontId="0" fillId="0" borderId="0" xfId="0" applyNumberFormat="1"/>
    <xf numFmtId="0" fontId="0" fillId="2" borderId="8" xfId="0" applyFill="1" applyBorder="1"/>
    <xf numFmtId="0" fontId="0" fillId="3" borderId="9" xfId="0" applyFill="1" applyBorder="1"/>
    <xf numFmtId="0" fontId="0" fillId="2" borderId="10" xfId="0" applyFill="1" applyBorder="1"/>
    <xf numFmtId="0" fontId="0" fillId="3" borderId="11" xfId="0" applyFill="1" applyBorder="1"/>
    <xf numFmtId="0" fontId="14" fillId="0" borderId="0" xfId="0" applyFont="1"/>
    <xf numFmtId="14" fontId="14" fillId="0" borderId="0" xfId="0" applyNumberFormat="1" applyFont="1"/>
    <xf numFmtId="1" fontId="14" fillId="0" borderId="0" xfId="0" applyNumberFormat="1" applyFont="1"/>
    <xf numFmtId="0" fontId="5" fillId="5" borderId="11" xfId="0" applyFont="1" applyFill="1" applyBorder="1"/>
    <xf numFmtId="0" fontId="15" fillId="0" borderId="0" xfId="0" applyFont="1" applyAlignment="1">
      <alignment horizontal="left" vertical="center" indent="2"/>
    </xf>
    <xf numFmtId="0" fontId="0" fillId="0" borderId="0" xfId="0" applyAlignment="1">
      <alignment wrapText="1"/>
    </xf>
    <xf numFmtId="14" fontId="0" fillId="0" borderId="0" xfId="0" applyNumberFormat="1"/>
    <xf numFmtId="165" fontId="0" fillId="0" borderId="0" xfId="0" applyNumberFormat="1"/>
    <xf numFmtId="2" fontId="0" fillId="0" borderId="0" xfId="0" applyNumberFormat="1"/>
    <xf numFmtId="166" fontId="0" fillId="0" borderId="0" xfId="0" applyNumberFormat="1"/>
    <xf numFmtId="167" fontId="16" fillId="0" borderId="0" xfId="0" applyNumberFormat="1" applyFont="1" applyAlignment="1">
      <alignment horizontal="right"/>
    </xf>
    <xf numFmtId="167" fontId="0" fillId="0" borderId="0" xfId="0" applyNumberFormat="1" applyAlignment="1">
      <alignment horizontal="right"/>
    </xf>
    <xf numFmtId="4" fontId="16" fillId="0" borderId="0" xfId="0" applyNumberFormat="1" applyFont="1" applyAlignment="1">
      <alignment horizontal="right"/>
    </xf>
    <xf numFmtId="4" fontId="0" fillId="0" borderId="0" xfId="0" applyNumberFormat="1" applyAlignment="1">
      <alignment horizontal="right"/>
    </xf>
    <xf numFmtId="4" fontId="17" fillId="0" borderId="0" xfId="0" applyNumberFormat="1" applyFont="1" applyAlignment="1">
      <alignment horizontal="right"/>
    </xf>
    <xf numFmtId="0" fontId="18" fillId="0" borderId="0" xfId="0" applyFont="1" applyAlignment="1">
      <alignment horizontal="left" vertical="center" readingOrder="1"/>
    </xf>
    <xf numFmtId="0" fontId="20" fillId="0" borderId="0" xfId="0" applyFont="1" applyAlignment="1">
      <alignment horizontal="left" vertical="center" readingOrder="1"/>
    </xf>
    <xf numFmtId="0" fontId="21" fillId="0" borderId="0" xfId="0" applyFont="1" applyAlignment="1">
      <alignment horizontal="center"/>
    </xf>
    <xf numFmtId="49" fontId="0" fillId="0" borderId="0" xfId="0" applyNumberFormat="1"/>
    <xf numFmtId="49" fontId="5" fillId="0" borderId="0" xfId="0" applyNumberFormat="1" applyFont="1"/>
    <xf numFmtId="4" fontId="0" fillId="0" borderId="0" xfId="0" applyNumberFormat="1"/>
    <xf numFmtId="168" fontId="0" fillId="0" borderId="0" xfId="0" applyNumberFormat="1"/>
    <xf numFmtId="0" fontId="22" fillId="0" borderId="0" xfId="2"/>
    <xf numFmtId="168" fontId="22" fillId="0" borderId="0" xfId="2" applyNumberFormat="1"/>
    <xf numFmtId="0" fontId="23" fillId="0" borderId="0" xfId="0" applyFont="1" applyAlignment="1">
      <alignment horizontal="center"/>
    </xf>
    <xf numFmtId="165" fontId="24" fillId="0" borderId="0" xfId="0" applyNumberFormat="1" applyFont="1"/>
    <xf numFmtId="0" fontId="24" fillId="0" borderId="0" xfId="0" applyFont="1"/>
    <xf numFmtId="0" fontId="11" fillId="0" borderId="0" xfId="0" applyFont="1" applyAlignment="1">
      <alignment wrapText="1"/>
    </xf>
    <xf numFmtId="0" fontId="0" fillId="0" borderId="0" xfId="0"/>
    <xf numFmtId="0" fontId="6" fillId="0" borderId="0" xfId="0" applyFont="1"/>
    <xf numFmtId="0" fontId="7" fillId="0" borderId="0" xfId="0" applyFont="1"/>
    <xf numFmtId="0" fontId="10" fillId="0" borderId="0" xfId="0" applyFont="1" applyAlignment="1">
      <alignment wrapText="1"/>
    </xf>
    <xf numFmtId="0" fontId="12" fillId="0" borderId="0" xfId="0" applyFont="1"/>
    <xf numFmtId="0" fontId="0" fillId="0" borderId="0" xfId="0" applyAlignment="1">
      <alignment horizontal="center"/>
    </xf>
  </cellXfs>
  <cellStyles count="3">
    <cellStyle name="Hyperlink" xfId="1" builtinId="8"/>
    <cellStyle name="Normal" xfId="0" builtinId="0"/>
    <cellStyle name="Normal 2" xfId="2" xr:uid="{4F8E0266-6E5C-3D47-9F63-C82D91AE74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Paytout Yield and FCF/V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'S5'!$L$2:$CH$2</c:f>
              <c:numCache>
                <c:formatCode>General</c:formatCode>
                <c:ptCount val="75"/>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numCache>
            </c:numRef>
          </c:cat>
          <c:val>
            <c:numRef>
              <c:f>'S5'!$L$172:$CH$172</c:f>
              <c:numCache>
                <c:formatCode>General</c:formatCode>
                <c:ptCount val="75"/>
                <c:pt idx="0">
                  <c:v>4.532629264920849E-2</c:v>
                </c:pt>
                <c:pt idx="1">
                  <c:v>3.3783542836765622E-2</c:v>
                </c:pt>
                <c:pt idx="2">
                  <c:v>3.4600786381508673E-2</c:v>
                </c:pt>
                <c:pt idx="3">
                  <c:v>3.7232014479371946E-2</c:v>
                </c:pt>
                <c:pt idx="4">
                  <c:v>2.7127991872329952E-2</c:v>
                </c:pt>
                <c:pt idx="5">
                  <c:v>2.2379954450632525E-2</c:v>
                </c:pt>
                <c:pt idx="6">
                  <c:v>2.0980915473134142E-2</c:v>
                </c:pt>
                <c:pt idx="7">
                  <c:v>2.443908317721907E-2</c:v>
                </c:pt>
                <c:pt idx="8">
                  <c:v>1.9019475929726554E-2</c:v>
                </c:pt>
                <c:pt idx="9">
                  <c:v>1.8045546179939399E-2</c:v>
                </c:pt>
                <c:pt idx="10">
                  <c:v>1.8602397392827912E-2</c:v>
                </c:pt>
                <c:pt idx="11">
                  <c:v>1.6502601413422361E-2</c:v>
                </c:pt>
                <c:pt idx="12">
                  <c:v>1.8558676873463114E-2</c:v>
                </c:pt>
                <c:pt idx="13">
                  <c:v>1.8719280386983082E-2</c:v>
                </c:pt>
                <c:pt idx="14">
                  <c:v>1.9343319221671904E-2</c:v>
                </c:pt>
                <c:pt idx="15">
                  <c:v>2.0577244932236595E-2</c:v>
                </c:pt>
                <c:pt idx="16">
                  <c:v>2.3118966282372529E-2</c:v>
                </c:pt>
                <c:pt idx="17">
                  <c:v>2.1384938592245634E-2</c:v>
                </c:pt>
                <c:pt idx="18">
                  <c:v>2.1022971697413489E-2</c:v>
                </c:pt>
                <c:pt idx="19">
                  <c:v>2.5378117112376294E-2</c:v>
                </c:pt>
                <c:pt idx="20">
                  <c:v>2.7552786373579469E-2</c:v>
                </c:pt>
                <c:pt idx="21">
                  <c:v>2.5802162400370785E-2</c:v>
                </c:pt>
                <c:pt idx="22">
                  <c:v>2.3509201173017389E-2</c:v>
                </c:pt>
                <c:pt idx="23">
                  <c:v>2.7842181565775274E-2</c:v>
                </c:pt>
                <c:pt idx="24">
                  <c:v>4.2019104772394934E-2</c:v>
                </c:pt>
                <c:pt idx="25">
                  <c:v>3.5331848091516953E-2</c:v>
                </c:pt>
                <c:pt idx="26">
                  <c:v>3.2852990290061231E-2</c:v>
                </c:pt>
                <c:pt idx="27">
                  <c:v>3.8126367562965516E-2</c:v>
                </c:pt>
                <c:pt idx="28">
                  <c:v>3.9625663613934922E-2</c:v>
                </c:pt>
                <c:pt idx="29">
                  <c:v>3.6193192955903737E-2</c:v>
                </c:pt>
                <c:pt idx="30">
                  <c:v>3.9511981775237556E-2</c:v>
                </c:pt>
                <c:pt idx="31">
                  <c:v>5.1656414608397261E-2</c:v>
                </c:pt>
                <c:pt idx="32">
                  <c:v>5.3498538964157898E-2</c:v>
                </c:pt>
                <c:pt idx="33">
                  <c:v>5.0096801728699805E-2</c:v>
                </c:pt>
                <c:pt idx="34">
                  <c:v>5.4455091982168642E-2</c:v>
                </c:pt>
                <c:pt idx="35">
                  <c:v>5.0949248833282293E-2</c:v>
                </c:pt>
                <c:pt idx="36">
                  <c:v>5.0604089894081453E-2</c:v>
                </c:pt>
                <c:pt idx="37">
                  <c:v>4.8859233299388787E-2</c:v>
                </c:pt>
                <c:pt idx="38">
                  <c:v>5.2421334955185937E-2</c:v>
                </c:pt>
                <c:pt idx="39">
                  <c:v>5.2899230996067331E-2</c:v>
                </c:pt>
                <c:pt idx="40">
                  <c:v>5.3283923939416063E-2</c:v>
                </c:pt>
                <c:pt idx="41">
                  <c:v>4.2560238529961061E-2</c:v>
                </c:pt>
                <c:pt idx="42">
                  <c:v>3.6641530878591053E-2</c:v>
                </c:pt>
                <c:pt idx="43">
                  <c:v>3.4047571307577816E-2</c:v>
                </c:pt>
                <c:pt idx="44">
                  <c:v>3.8193212910167133E-2</c:v>
                </c:pt>
                <c:pt idx="45">
                  <c:v>3.2455064979100216E-2</c:v>
                </c:pt>
                <c:pt idx="46">
                  <c:v>3.0714682406990098E-2</c:v>
                </c:pt>
                <c:pt idx="47">
                  <c:v>2.7598990267477832E-2</c:v>
                </c:pt>
                <c:pt idx="48">
                  <c:v>2.5707555153909632E-2</c:v>
                </c:pt>
                <c:pt idx="49">
                  <c:v>1.9204110114541477E-2</c:v>
                </c:pt>
                <c:pt idx="50">
                  <c:v>2.4278668663231497E-2</c:v>
                </c:pt>
                <c:pt idx="51">
                  <c:v>2.6711908123433811E-2</c:v>
                </c:pt>
                <c:pt idx="52">
                  <c:v>3.2651648499118453E-2</c:v>
                </c:pt>
                <c:pt idx="53">
                  <c:v>2.7489313922062199E-2</c:v>
                </c:pt>
                <c:pt idx="54">
                  <c:v>2.9062900885733236E-2</c:v>
                </c:pt>
                <c:pt idx="55">
                  <c:v>2.5867890750366111E-2</c:v>
                </c:pt>
                <c:pt idx="56">
                  <c:v>3.2030004242614166E-2</c:v>
                </c:pt>
                <c:pt idx="57">
                  <c:v>3.3979641364440961E-2</c:v>
                </c:pt>
                <c:pt idx="58">
                  <c:v>4.5404901865175998E-2</c:v>
                </c:pt>
                <c:pt idx="59">
                  <c:v>3.1170957994351971E-2</c:v>
                </c:pt>
                <c:pt idx="60">
                  <c:v>2.5004494766706128E-2</c:v>
                </c:pt>
                <c:pt idx="61">
                  <c:v>2.7716750209938665E-2</c:v>
                </c:pt>
                <c:pt idx="62">
                  <c:v>2.9746752560684223E-2</c:v>
                </c:pt>
                <c:pt idx="63">
                  <c:v>2.2965260059904465E-2</c:v>
                </c:pt>
                <c:pt idx="64">
                  <c:v>2.3421174067547342E-2</c:v>
                </c:pt>
                <c:pt idx="65">
                  <c:v>2.6086101076477772E-2</c:v>
                </c:pt>
                <c:pt idx="66">
                  <c:v>2.6237500579033977E-2</c:v>
                </c:pt>
                <c:pt idx="67">
                  <c:v>2.3776221077483787E-2</c:v>
                </c:pt>
                <c:pt idx="68">
                  <c:v>2.6837496308644192E-2</c:v>
                </c:pt>
                <c:pt idx="69">
                  <c:v>2.3234190646865639E-2</c:v>
                </c:pt>
                <c:pt idx="70">
                  <c:v>2.0502571567762602E-2</c:v>
                </c:pt>
                <c:pt idx="71">
                  <c:v>2.3126349103344428E-2</c:v>
                </c:pt>
                <c:pt idx="72">
                  <c:v>2.9994332575293343E-2</c:v>
                </c:pt>
                <c:pt idx="73">
                  <c:v>2.543934969026623E-2</c:v>
                </c:pt>
                <c:pt idx="74">
                  <c:v>2.2344114924751031E-2</c:v>
                </c:pt>
              </c:numCache>
            </c:numRef>
          </c:val>
          <c:smooth val="0"/>
          <c:extLst>
            <c:ext xmlns:c16="http://schemas.microsoft.com/office/drawing/2014/chart" uri="{C3380CC4-5D6E-409C-BE32-E72D297353CC}">
              <c16:uniqueId val="{00000000-BA6E-244D-8DB4-CF0B8A99990E}"/>
            </c:ext>
          </c:extLst>
        </c:ser>
        <c:ser>
          <c:idx val="1"/>
          <c:order val="1"/>
          <c:spPr>
            <a:ln w="28575" cap="rnd">
              <a:solidFill>
                <a:schemeClr val="accent2"/>
              </a:solidFill>
              <a:round/>
            </a:ln>
            <a:effectLst/>
          </c:spPr>
          <c:marker>
            <c:symbol val="none"/>
          </c:marker>
          <c:cat>
            <c:numRef>
              <c:f>'S5'!$L$2:$CH$2</c:f>
              <c:numCache>
                <c:formatCode>General</c:formatCode>
                <c:ptCount val="75"/>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numCache>
            </c:numRef>
          </c:cat>
          <c:val>
            <c:numRef>
              <c:f>'S5'!$L$174:$CH$174</c:f>
              <c:numCache>
                <c:formatCode>General</c:formatCode>
                <c:ptCount val="75"/>
                <c:pt idx="0">
                  <c:v>6.2278326100012465E-2</c:v>
                </c:pt>
                <c:pt idx="1">
                  <c:v>4.1517339752161896E-2</c:v>
                </c:pt>
                <c:pt idx="2">
                  <c:v>4.5810132048455646E-2</c:v>
                </c:pt>
                <c:pt idx="3">
                  <c:v>3.969883641341547E-2</c:v>
                </c:pt>
                <c:pt idx="4">
                  <c:v>3.6483015819929202E-2</c:v>
                </c:pt>
                <c:pt idx="5">
                  <c:v>3.7781573558400797E-2</c:v>
                </c:pt>
                <c:pt idx="6">
                  <c:v>2.3472042025326101E-2</c:v>
                </c:pt>
                <c:pt idx="7">
                  <c:v>2.5351573931337374E-2</c:v>
                </c:pt>
                <c:pt idx="8">
                  <c:v>2.7457058427789179E-2</c:v>
                </c:pt>
                <c:pt idx="9">
                  <c:v>2.9815364743659388E-2</c:v>
                </c:pt>
                <c:pt idx="10">
                  <c:v>2.5365562518651148E-2</c:v>
                </c:pt>
                <c:pt idx="11">
                  <c:v>2.4341183771890016E-2</c:v>
                </c:pt>
                <c:pt idx="12">
                  <c:v>3.114918316250976E-2</c:v>
                </c:pt>
                <c:pt idx="13">
                  <c:v>3.3568494047457563E-2</c:v>
                </c:pt>
                <c:pt idx="14">
                  <c:v>3.3413823129310134E-2</c:v>
                </c:pt>
                <c:pt idx="15">
                  <c:v>3.2284851061215473E-2</c:v>
                </c:pt>
                <c:pt idx="16">
                  <c:v>3.266378922403624E-2</c:v>
                </c:pt>
                <c:pt idx="17">
                  <c:v>2.9813903339760188E-2</c:v>
                </c:pt>
                <c:pt idx="18">
                  <c:v>2.6230503959520219E-2</c:v>
                </c:pt>
                <c:pt idx="19">
                  <c:v>2.448462920251741E-2</c:v>
                </c:pt>
                <c:pt idx="20">
                  <c:v>2.3106126287147203E-2</c:v>
                </c:pt>
                <c:pt idx="21">
                  <c:v>3.0823702825708708E-2</c:v>
                </c:pt>
                <c:pt idx="22">
                  <c:v>2.9836722511253015E-2</c:v>
                </c:pt>
                <c:pt idx="23">
                  <c:v>3.1861079194002939E-2</c:v>
                </c:pt>
                <c:pt idx="24">
                  <c:v>3.0411911046964318E-2</c:v>
                </c:pt>
                <c:pt idx="25">
                  <c:v>4.8631491676587035E-2</c:v>
                </c:pt>
                <c:pt idx="26">
                  <c:v>5.1686300295236826E-2</c:v>
                </c:pt>
                <c:pt idx="27">
                  <c:v>5.7303430193621156E-2</c:v>
                </c:pt>
                <c:pt idx="28">
                  <c:v>5.1590735884883165E-2</c:v>
                </c:pt>
                <c:pt idx="29">
                  <c:v>3.5948732910590309E-2</c:v>
                </c:pt>
                <c:pt idx="30">
                  <c:v>2.9699078095678139E-2</c:v>
                </c:pt>
                <c:pt idx="31">
                  <c:v>4.815231840729791E-2</c:v>
                </c:pt>
                <c:pt idx="32">
                  <c:v>5.5949027053178911E-2</c:v>
                </c:pt>
                <c:pt idx="33">
                  <c:v>6.734405125071366E-2</c:v>
                </c:pt>
                <c:pt idx="34">
                  <c:v>7.1378005901927541E-2</c:v>
                </c:pt>
                <c:pt idx="35">
                  <c:v>6.8554323668986519E-2</c:v>
                </c:pt>
                <c:pt idx="36">
                  <c:v>6.5009189035280718E-2</c:v>
                </c:pt>
                <c:pt idx="37">
                  <c:v>7.5514911054639769E-2</c:v>
                </c:pt>
                <c:pt idx="38">
                  <c:v>7.717545128370995E-2</c:v>
                </c:pt>
                <c:pt idx="39">
                  <c:v>6.1319781996945627E-2</c:v>
                </c:pt>
                <c:pt idx="40">
                  <c:v>5.7592944271489019E-2</c:v>
                </c:pt>
                <c:pt idx="41">
                  <c:v>5.2473322904305654E-2</c:v>
                </c:pt>
                <c:pt idx="42">
                  <c:v>4.5260538875256259E-2</c:v>
                </c:pt>
                <c:pt idx="43">
                  <c:v>4.4310114925149094E-2</c:v>
                </c:pt>
                <c:pt idx="44">
                  <c:v>5.2573088105791657E-2</c:v>
                </c:pt>
                <c:pt idx="45">
                  <c:v>4.2261299659066026E-2</c:v>
                </c:pt>
                <c:pt idx="46">
                  <c:v>4.2055856825087591E-2</c:v>
                </c:pt>
                <c:pt idx="47">
                  <c:v>3.5577793329858207E-2</c:v>
                </c:pt>
                <c:pt idx="48">
                  <c:v>2.5847474043746852E-2</c:v>
                </c:pt>
                <c:pt idx="49">
                  <c:v>1.9546808067765972E-2</c:v>
                </c:pt>
                <c:pt idx="50">
                  <c:v>1.7078346674200023E-2</c:v>
                </c:pt>
                <c:pt idx="51">
                  <c:v>2.4629267317872319E-2</c:v>
                </c:pt>
                <c:pt idx="52">
                  <c:v>4.90612782711983E-2</c:v>
                </c:pt>
                <c:pt idx="53">
                  <c:v>4.6480907691319476E-2</c:v>
                </c:pt>
                <c:pt idx="54">
                  <c:v>4.8586904588976722E-2</c:v>
                </c:pt>
                <c:pt idx="55">
                  <c:v>4.9908305594900365E-2</c:v>
                </c:pt>
                <c:pt idx="56">
                  <c:v>4.7463689014896678E-2</c:v>
                </c:pt>
                <c:pt idx="57">
                  <c:v>4.1967664137681125E-2</c:v>
                </c:pt>
                <c:pt idx="58">
                  <c:v>5.2281257514269854E-2</c:v>
                </c:pt>
                <c:pt idx="59">
                  <c:v>5.7970080129350017E-2</c:v>
                </c:pt>
                <c:pt idx="60">
                  <c:v>5.7691865663519401E-2</c:v>
                </c:pt>
                <c:pt idx="61">
                  <c:v>5.4819685583905292E-2</c:v>
                </c:pt>
                <c:pt idx="62">
                  <c:v>4.9564625947723602E-2</c:v>
                </c:pt>
                <c:pt idx="63">
                  <c:v>4.1511720628881733E-2</c:v>
                </c:pt>
                <c:pt idx="64">
                  <c:v>3.4938229919988059E-2</c:v>
                </c:pt>
                <c:pt idx="65">
                  <c:v>3.7283265324574211E-2</c:v>
                </c:pt>
                <c:pt idx="66">
                  <c:v>3.3027887329785455E-2</c:v>
                </c:pt>
                <c:pt idx="67">
                  <c:v>3.199397595469497E-2</c:v>
                </c:pt>
                <c:pt idx="68">
                  <c:v>3.40126931143803E-2</c:v>
                </c:pt>
                <c:pt idx="69">
                  <c:v>3.0125446244667387E-2</c:v>
                </c:pt>
                <c:pt idx="70">
                  <c:v>2.8545683370253695E-2</c:v>
                </c:pt>
                <c:pt idx="71">
                  <c:v>3.0701286026465976E-2</c:v>
                </c:pt>
                <c:pt idx="72">
                  <c:v>3.6253701838774063E-2</c:v>
                </c:pt>
                <c:pt idx="73">
                  <c:v>2.986746787488884E-2</c:v>
                </c:pt>
                <c:pt idx="74">
                  <c:v>2.5507324667979302E-2</c:v>
                </c:pt>
              </c:numCache>
            </c:numRef>
          </c:val>
          <c:smooth val="0"/>
          <c:extLst>
            <c:ext xmlns:c16="http://schemas.microsoft.com/office/drawing/2014/chart" uri="{C3380CC4-5D6E-409C-BE32-E72D297353CC}">
              <c16:uniqueId val="{00000001-BA6E-244D-8DB4-CF0B8A99990E}"/>
            </c:ext>
          </c:extLst>
        </c:ser>
        <c:ser>
          <c:idx val="2"/>
          <c:order val="2"/>
          <c:spPr>
            <a:ln w="28575" cap="rnd">
              <a:solidFill>
                <a:schemeClr val="accent3"/>
              </a:solidFill>
              <a:round/>
            </a:ln>
            <a:effectLst/>
          </c:spPr>
          <c:marker>
            <c:symbol val="none"/>
          </c:marker>
          <c:val>
            <c:numRef>
              <c:f>'S5'!$L$175:$CH$175</c:f>
              <c:numCache>
                <c:formatCode>General</c:formatCode>
                <c:ptCount val="75"/>
                <c:pt idx="0">
                  <c:v>3.2300649299142198E-2</c:v>
                </c:pt>
                <c:pt idx="1">
                  <c:v>4.9032718195595945E-3</c:v>
                </c:pt>
                <c:pt idx="2">
                  <c:v>3.7605400122730059E-2</c:v>
                </c:pt>
                <c:pt idx="3">
                  <c:v>3.5794183445190156E-2</c:v>
                </c:pt>
                <c:pt idx="4">
                  <c:v>4.4033293157738643E-2</c:v>
                </c:pt>
                <c:pt idx="5">
                  <c:v>2.666934604122409E-2</c:v>
                </c:pt>
                <c:pt idx="6">
                  <c:v>1.5092798167953149E-2</c:v>
                </c:pt>
                <c:pt idx="7">
                  <c:v>2.5469091679973823E-2</c:v>
                </c:pt>
                <c:pt idx="8">
                  <c:v>3.2464424706413343E-2</c:v>
                </c:pt>
                <c:pt idx="9">
                  <c:v>2.3678460628447952E-2</c:v>
                </c:pt>
                <c:pt idx="10">
                  <c:v>2.3303225577705484E-2</c:v>
                </c:pt>
                <c:pt idx="11">
                  <c:v>2.3222612795372646E-2</c:v>
                </c:pt>
                <c:pt idx="12">
                  <c:v>2.6855526329835764E-2</c:v>
                </c:pt>
                <c:pt idx="13">
                  <c:v>2.9744429333242117E-2</c:v>
                </c:pt>
                <c:pt idx="14">
                  <c:v>2.9375733453871188E-2</c:v>
                </c:pt>
                <c:pt idx="15">
                  <c:v>2.6401816140542805E-2</c:v>
                </c:pt>
                <c:pt idx="16">
                  <c:v>2.1200440242486723E-2</c:v>
                </c:pt>
                <c:pt idx="17">
                  <c:v>2.3037936071755079E-2</c:v>
                </c:pt>
                <c:pt idx="18">
                  <c:v>2.0541255444681876E-2</c:v>
                </c:pt>
                <c:pt idx="19">
                  <c:v>1.8007479454453797E-2</c:v>
                </c:pt>
                <c:pt idx="20">
                  <c:v>2.1071199914634797E-2</c:v>
                </c:pt>
                <c:pt idx="21">
                  <c:v>2.6397088433513408E-2</c:v>
                </c:pt>
                <c:pt idx="22">
                  <c:v>2.4543822853494622E-2</c:v>
                </c:pt>
                <c:pt idx="23">
                  <c:v>2.0262321923420708E-2</c:v>
                </c:pt>
                <c:pt idx="24">
                  <c:v>1.1531230415709214E-2</c:v>
                </c:pt>
                <c:pt idx="25">
                  <c:v>5.4641189093889937E-2</c:v>
                </c:pt>
                <c:pt idx="26">
                  <c:v>4.0010937108371773E-2</c:v>
                </c:pt>
                <c:pt idx="27">
                  <c:v>4.5612546195497448E-2</c:v>
                </c:pt>
                <c:pt idx="28">
                  <c:v>3.7304468010901995E-2</c:v>
                </c:pt>
                <c:pt idx="29">
                  <c:v>2.7049019652536234E-2</c:v>
                </c:pt>
                <c:pt idx="30">
                  <c:v>2.8326445328274417E-2</c:v>
                </c:pt>
                <c:pt idx="31">
                  <c:v>3.6634237252411404E-2</c:v>
                </c:pt>
                <c:pt idx="32">
                  <c:v>6.2912744808650584E-2</c:v>
                </c:pt>
                <c:pt idx="33">
                  <c:v>6.2238171599633504E-2</c:v>
                </c:pt>
                <c:pt idx="34">
                  <c:v>4.7456755823444462E-2</c:v>
                </c:pt>
                <c:pt idx="35">
                  <c:v>6.2795542730948284E-2</c:v>
                </c:pt>
                <c:pt idx="36">
                  <c:v>6.192576421143809E-2</c:v>
                </c:pt>
                <c:pt idx="37">
                  <c:v>6.6278490042319657E-2</c:v>
                </c:pt>
                <c:pt idx="38">
                  <c:v>6.9874965480113863E-2</c:v>
                </c:pt>
                <c:pt idx="39">
                  <c:v>5.543476357954813E-2</c:v>
                </c:pt>
                <c:pt idx="40">
                  <c:v>5.5160489720359272E-2</c:v>
                </c:pt>
                <c:pt idx="41">
                  <c:v>5.2656542096379835E-2</c:v>
                </c:pt>
                <c:pt idx="42">
                  <c:v>4.392222506273092E-2</c:v>
                </c:pt>
                <c:pt idx="43">
                  <c:v>4.0676393426149364E-2</c:v>
                </c:pt>
                <c:pt idx="44">
                  <c:v>4.4954148315213674E-2</c:v>
                </c:pt>
                <c:pt idx="45">
                  <c:v>3.6554235730574182E-2</c:v>
                </c:pt>
                <c:pt idx="46">
                  <c:v>3.9155605309451461E-2</c:v>
                </c:pt>
                <c:pt idx="47">
                  <c:v>2.8962301133440532E-2</c:v>
                </c:pt>
                <c:pt idx="48">
                  <c:v>2.115060094437227E-2</c:v>
                </c:pt>
                <c:pt idx="49">
                  <c:v>1.6084993515894232E-2</c:v>
                </c:pt>
                <c:pt idx="50">
                  <c:v>1.3617992629909915E-2</c:v>
                </c:pt>
                <c:pt idx="51">
                  <c:v>2.7253563440296572E-2</c:v>
                </c:pt>
                <c:pt idx="52">
                  <c:v>4.7513554612599665E-2</c:v>
                </c:pt>
                <c:pt idx="53">
                  <c:v>4.5689045793014513E-2</c:v>
                </c:pt>
                <c:pt idx="54">
                  <c:v>4.5167529765082051E-2</c:v>
                </c:pt>
                <c:pt idx="55">
                  <c:v>4.6367409017075811E-2</c:v>
                </c:pt>
                <c:pt idx="56">
                  <c:v>4.26811564069167E-2</c:v>
                </c:pt>
                <c:pt idx="57">
                  <c:v>4.021096981849779E-2</c:v>
                </c:pt>
                <c:pt idx="58">
                  <c:v>5.2837581928645287E-2</c:v>
                </c:pt>
                <c:pt idx="59">
                  <c:v>6.5944745513823178E-2</c:v>
                </c:pt>
                <c:pt idx="60">
                  <c:v>5.4891833294901722E-2</c:v>
                </c:pt>
                <c:pt idx="61">
                  <c:v>5.2798418561161069E-2</c:v>
                </c:pt>
                <c:pt idx="62">
                  <c:v>4.6243685312705514E-2</c:v>
                </c:pt>
                <c:pt idx="63">
                  <c:v>3.8423455637614998E-2</c:v>
                </c:pt>
                <c:pt idx="64">
                  <c:v>3.248906111353491E-2</c:v>
                </c:pt>
                <c:pt idx="65">
                  <c:v>3.2495580535677054E-2</c:v>
                </c:pt>
                <c:pt idx="66">
                  <c:v>3.1707494218163268E-2</c:v>
                </c:pt>
                <c:pt idx="67">
                  <c:v>3.1137641618984732E-2</c:v>
                </c:pt>
                <c:pt idx="68">
                  <c:v>3.2566185463346886E-2</c:v>
                </c:pt>
                <c:pt idx="69">
                  <c:v>2.8457127057423089E-2</c:v>
                </c:pt>
                <c:pt idx="70">
                  <c:v>2.8929189548365972E-2</c:v>
                </c:pt>
                <c:pt idx="71">
                  <c:v>3.0209149683377044E-2</c:v>
                </c:pt>
                <c:pt idx="72">
                  <c:v>3.1033236031935266E-2</c:v>
                </c:pt>
                <c:pt idx="73">
                  <c:v>2.9196667296243286E-2</c:v>
                </c:pt>
                <c:pt idx="74">
                  <c:v>2.4943283652544525E-2</c:v>
                </c:pt>
              </c:numCache>
            </c:numRef>
          </c:val>
          <c:smooth val="0"/>
          <c:extLst>
            <c:ext xmlns:c16="http://schemas.microsoft.com/office/drawing/2014/chart" uri="{C3380CC4-5D6E-409C-BE32-E72D297353CC}">
              <c16:uniqueId val="{00000001-778E-884B-8CE5-2362A5315168}"/>
            </c:ext>
          </c:extLst>
        </c:ser>
        <c:dLbls>
          <c:showLegendKey val="0"/>
          <c:showVal val="0"/>
          <c:showCatName val="0"/>
          <c:showSerName val="0"/>
          <c:showPercent val="0"/>
          <c:showBubbleSize val="0"/>
        </c:dLbls>
        <c:smooth val="0"/>
        <c:axId val="1688768895"/>
        <c:axId val="1607632191"/>
      </c:lineChart>
      <c:catAx>
        <c:axId val="168876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632191"/>
        <c:crosses val="autoZero"/>
        <c:auto val="1"/>
        <c:lblAlgn val="ctr"/>
        <c:lblOffset val="100"/>
        <c:noMultiLvlLbl val="0"/>
      </c:catAx>
      <c:valAx>
        <c:axId val="160763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6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Lending Capital Account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'S5'!$L$173:$CH$173</c:f>
              <c:numCache>
                <c:formatCode>General</c:formatCode>
                <c:ptCount val="75"/>
                <c:pt idx="0">
                  <c:v>-1.9835918820609866E-2</c:v>
                </c:pt>
                <c:pt idx="1">
                  <c:v>-3.5361504858696623E-2</c:v>
                </c:pt>
                <c:pt idx="2">
                  <c:v>-4.4773744857837675E-3</c:v>
                </c:pt>
                <c:pt idx="3">
                  <c:v>-1.0253159323622231E-2</c:v>
                </c:pt>
                <c:pt idx="4">
                  <c:v>1.1528923273027873E-2</c:v>
                </c:pt>
                <c:pt idx="5">
                  <c:v>-3.7798319649384699E-4</c:v>
                </c:pt>
                <c:pt idx="6">
                  <c:v>-1.0237535372092186E-2</c:v>
                </c:pt>
                <c:pt idx="7">
                  <c:v>-3.9702564882470731E-3</c:v>
                </c:pt>
                <c:pt idx="8">
                  <c:v>9.498667257104413E-3</c:v>
                </c:pt>
                <c:pt idx="9">
                  <c:v>1.9208947476430185E-3</c:v>
                </c:pt>
                <c:pt idx="10">
                  <c:v>1.094693175673879E-3</c:v>
                </c:pt>
                <c:pt idx="11">
                  <c:v>3.3839225046177848E-3</c:v>
                </c:pt>
                <c:pt idx="12">
                  <c:v>4.5295038399616686E-3</c:v>
                </c:pt>
                <c:pt idx="13">
                  <c:v>7.3673991995649862E-3</c:v>
                </c:pt>
                <c:pt idx="14">
                  <c:v>6.1016920035946625E-3</c:v>
                </c:pt>
                <c:pt idx="15">
                  <c:v>1.7390477153074845E-3</c:v>
                </c:pt>
                <c:pt idx="16">
                  <c:v>-7.2718996213873045E-3</c:v>
                </c:pt>
                <c:pt idx="17">
                  <c:v>-3.0371073690186839E-3</c:v>
                </c:pt>
                <c:pt idx="18">
                  <c:v>-4.9779948580498537E-3</c:v>
                </c:pt>
                <c:pt idx="19">
                  <c:v>-1.2484176932709564E-2</c:v>
                </c:pt>
                <c:pt idx="20">
                  <c:v>-1.168352851731313E-2</c:v>
                </c:pt>
                <c:pt idx="21">
                  <c:v>-4.7586484617780922E-3</c:v>
                </c:pt>
                <c:pt idx="22">
                  <c:v>-4.03408763901474E-3</c:v>
                </c:pt>
                <c:pt idx="23">
                  <c:v>-1.4300805222440515E-2</c:v>
                </c:pt>
                <c:pt idx="24">
                  <c:v>-3.7374897924302562E-2</c:v>
                </c:pt>
                <c:pt idx="25">
                  <c:v>1.2705498962941037E-2</c:v>
                </c:pt>
                <c:pt idx="26">
                  <c:v>-1.4361464921503462E-3</c:v>
                </c:pt>
                <c:pt idx="27">
                  <c:v>-4.20741676676256E-3</c:v>
                </c:pt>
                <c:pt idx="28">
                  <c:v>-1.4100908069287108E-2</c:v>
                </c:pt>
                <c:pt idx="29">
                  <c:v>-1.9292969123955488E-2</c:v>
                </c:pt>
                <c:pt idx="30">
                  <c:v>-2.0032427110032794E-2</c:v>
                </c:pt>
                <c:pt idx="31">
                  <c:v>-2.4781970428959431E-2</c:v>
                </c:pt>
                <c:pt idx="32">
                  <c:v>2.4120627590434886E-3</c:v>
                </c:pt>
                <c:pt idx="33">
                  <c:v>4.1651643862786461E-3</c:v>
                </c:pt>
                <c:pt idx="34">
                  <c:v>-1.5576929114083003E-2</c:v>
                </c:pt>
                <c:pt idx="35">
                  <c:v>1.0564379497236683E-3</c:v>
                </c:pt>
                <c:pt idx="36">
                  <c:v>-5.672201132230565E-3</c:v>
                </c:pt>
                <c:pt idx="37">
                  <c:v>-2.9782379525495299E-4</c:v>
                </c:pt>
                <c:pt idx="38">
                  <c:v>2.928414621173128E-3</c:v>
                </c:pt>
                <c:pt idx="39">
                  <c:v>-7.8717009599419043E-3</c:v>
                </c:pt>
                <c:pt idx="40">
                  <c:v>-9.0931932081863009E-3</c:v>
                </c:pt>
                <c:pt idx="41">
                  <c:v>6.2047569803516027E-4</c:v>
                </c:pt>
                <c:pt idx="42">
                  <c:v>-1.5820728802161102E-3</c:v>
                </c:pt>
                <c:pt idx="43">
                  <c:v>-2.5181697814304388E-3</c:v>
                </c:pt>
                <c:pt idx="44">
                  <c:v>-3.6823347080484322E-3</c:v>
                </c:pt>
                <c:pt idx="45">
                  <c:v>-3.5918476386677823E-3</c:v>
                </c:pt>
                <c:pt idx="46">
                  <c:v>-2.3936147013070089E-4</c:v>
                </c:pt>
                <c:pt idx="47">
                  <c:v>-5.9094126274011598E-3</c:v>
                </c:pt>
                <c:pt idx="48">
                  <c:v>-9.7693340433968635E-3</c:v>
                </c:pt>
                <c:pt idx="49">
                  <c:v>-8.6683905188783689E-3</c:v>
                </c:pt>
                <c:pt idx="50">
                  <c:v>-1.7059898212372214E-2</c:v>
                </c:pt>
                <c:pt idx="51">
                  <c:v>-6.764122322432271E-3</c:v>
                </c:pt>
                <c:pt idx="52">
                  <c:v>5.4202106959817115E-3</c:v>
                </c:pt>
                <c:pt idx="53">
                  <c:v>8.7694322167210341E-3</c:v>
                </c:pt>
                <c:pt idx="54">
                  <c:v>7.8147538200636687E-3</c:v>
                </c:pt>
                <c:pt idx="55">
                  <c:v>1.0737290686135003E-2</c:v>
                </c:pt>
                <c:pt idx="56">
                  <c:v>2.172173896685167E-3</c:v>
                </c:pt>
                <c:pt idx="57">
                  <c:v>-6.934967661733981E-4</c:v>
                </c:pt>
                <c:pt idx="58">
                  <c:v>1.1694712312823169E-3</c:v>
                </c:pt>
                <c:pt idx="59">
                  <c:v>2.4489457172265097E-2</c:v>
                </c:pt>
                <c:pt idx="60">
                  <c:v>2.125303075323054E-2</c:v>
                </c:pt>
                <c:pt idx="61">
                  <c:v>1.7420199949245981E-2</c:v>
                </c:pt>
                <c:pt idx="62">
                  <c:v>9.8460481049534466E-3</c:v>
                </c:pt>
                <c:pt idx="63">
                  <c:v>9.57100037209495E-3</c:v>
                </c:pt>
                <c:pt idx="64">
                  <c:v>4.0010785731137847E-3</c:v>
                </c:pt>
                <c:pt idx="65">
                  <c:v>1.0739830480203988E-4</c:v>
                </c:pt>
                <c:pt idx="66">
                  <c:v>9.7584720233206447E-4</c:v>
                </c:pt>
                <c:pt idx="67">
                  <c:v>-3.1459531360714145E-3</c:v>
                </c:pt>
                <c:pt idx="68">
                  <c:v>4.5850891020710369E-4</c:v>
                </c:pt>
                <c:pt idx="69">
                  <c:v>1.3411410947946885E-3</c:v>
                </c:pt>
                <c:pt idx="70">
                  <c:v>4.6280093113107027E-3</c:v>
                </c:pt>
                <c:pt idx="71">
                  <c:v>3.3867483493739033E-3</c:v>
                </c:pt>
                <c:pt idx="72">
                  <c:v>-4.2326933168938992E-3</c:v>
                </c:pt>
                <c:pt idx="73">
                  <c:v>5.8179072123569541E-4</c:v>
                </c:pt>
                <c:pt idx="74">
                  <c:v>-1.8425546876266917E-4</c:v>
                </c:pt>
              </c:numCache>
            </c:numRef>
          </c:val>
          <c:smooth val="0"/>
          <c:extLst>
            <c:ext xmlns:c16="http://schemas.microsoft.com/office/drawing/2014/chart" uri="{C3380CC4-5D6E-409C-BE32-E72D297353CC}">
              <c16:uniqueId val="{00000000-346F-554F-BF66-E1BDA8354298}"/>
            </c:ext>
          </c:extLst>
        </c:ser>
        <c:dLbls>
          <c:showLegendKey val="0"/>
          <c:showVal val="0"/>
          <c:showCatName val="0"/>
          <c:showSerName val="0"/>
          <c:showPercent val="0"/>
          <c:showBubbleSize val="0"/>
        </c:dLbls>
        <c:smooth val="0"/>
        <c:axId val="1688724223"/>
        <c:axId val="1688726911"/>
      </c:lineChart>
      <c:catAx>
        <c:axId val="16887242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26911"/>
        <c:crosses val="autoZero"/>
        <c:auto val="1"/>
        <c:lblAlgn val="ctr"/>
        <c:lblOffset val="100"/>
        <c:noMultiLvlLbl val="0"/>
      </c:catAx>
      <c:valAx>
        <c:axId val="168872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2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'NIPA 1.14'!$C$70:$CT$70</c:f>
              <c:numCache>
                <c:formatCode>General</c:formatCode>
                <c:ptCount val="96"/>
                <c:pt idx="0">
                  <c:v>0.12783079193310379</c:v>
                </c:pt>
                <c:pt idx="1">
                  <c:v>0.13223889171214565</c:v>
                </c:pt>
                <c:pt idx="2">
                  <c:v>0.11715729163726681</c:v>
                </c:pt>
                <c:pt idx="3">
                  <c:v>8.3433770071148092E-2</c:v>
                </c:pt>
                <c:pt idx="4">
                  <c:v>7.1068225496476622E-2</c:v>
                </c:pt>
                <c:pt idx="5">
                  <c:v>0.12469825943336298</c:v>
                </c:pt>
                <c:pt idx="6">
                  <c:v>0.13498038991153991</c:v>
                </c:pt>
                <c:pt idx="7">
                  <c:v>0.13099741190523592</c:v>
                </c:pt>
                <c:pt idx="8">
                  <c:v>0.11000852440383817</c:v>
                </c:pt>
                <c:pt idx="9">
                  <c:v>0.11353809452810497</c:v>
                </c:pt>
                <c:pt idx="10">
                  <c:v>0.11943388160115204</c:v>
                </c:pt>
                <c:pt idx="11">
                  <c:v>0.11883785582834097</c:v>
                </c:pt>
                <c:pt idx="12">
                  <c:v>9.09118176364727E-2</c:v>
                </c:pt>
                <c:pt idx="13">
                  <c:v>0.11246772101436341</c:v>
                </c:pt>
                <c:pt idx="14">
                  <c:v>0.11643258426966292</c:v>
                </c:pt>
                <c:pt idx="15">
                  <c:v>0.10886831196001705</c:v>
                </c:pt>
                <c:pt idx="16">
                  <c:v>7.1932985420808476E-2</c:v>
                </c:pt>
                <c:pt idx="17">
                  <c:v>2.362782943505572E-2</c:v>
                </c:pt>
                <c:pt idx="18">
                  <c:v>3.3352153243161417E-2</c:v>
                </c:pt>
                <c:pt idx="19">
                  <c:v>6.4231189437379058E-2</c:v>
                </c:pt>
                <c:pt idx="20">
                  <c:v>8.3490472591733866E-2</c:v>
                </c:pt>
                <c:pt idx="21">
                  <c:v>6.3435486162230575E-2</c:v>
                </c:pt>
                <c:pt idx="22">
                  <c:v>4.4178492819869061E-2</c:v>
                </c:pt>
                <c:pt idx="23">
                  <c:v>4.5082121549576887E-2</c:v>
                </c:pt>
                <c:pt idx="24">
                  <c:v>3.3666092251423058E-2</c:v>
                </c:pt>
                <c:pt idx="25">
                  <c:v>5.1722028506759651E-2</c:v>
                </c:pt>
                <c:pt idx="26">
                  <c:v>6.4505637467476146E-2</c:v>
                </c:pt>
                <c:pt idx="27">
                  <c:v>3.9475958235152785E-2</c:v>
                </c:pt>
                <c:pt idx="28">
                  <c:v>3.6612469294654344E-2</c:v>
                </c:pt>
                <c:pt idx="29">
                  <c:v>5.5901390310755916E-2</c:v>
                </c:pt>
                <c:pt idx="30">
                  <c:v>6.5034694741491969E-2</c:v>
                </c:pt>
                <c:pt idx="31">
                  <c:v>5.3171153056456297E-2</c:v>
                </c:pt>
                <c:pt idx="32">
                  <c:v>5.938234919410653E-2</c:v>
                </c:pt>
                <c:pt idx="33">
                  <c:v>6.9449003813035023E-2</c:v>
                </c:pt>
                <c:pt idx="34">
                  <c:v>7.5499735073069507E-2</c:v>
                </c:pt>
                <c:pt idx="35">
                  <c:v>7.5364243134178097E-2</c:v>
                </c:pt>
                <c:pt idx="36">
                  <c:v>7.115069334058656E-2</c:v>
                </c:pt>
                <c:pt idx="37">
                  <c:v>6.0829849118342119E-2</c:v>
                </c:pt>
                <c:pt idx="38">
                  <c:v>6.2771081476108131E-2</c:v>
                </c:pt>
                <c:pt idx="39">
                  <c:v>5.5798678524456691E-2</c:v>
                </c:pt>
                <c:pt idx="40">
                  <c:v>4.2221320712192922E-2</c:v>
                </c:pt>
                <c:pt idx="41">
                  <c:v>3.974584998865402E-2</c:v>
                </c:pt>
                <c:pt idx="42">
                  <c:v>5.6661009517923563E-2</c:v>
                </c:pt>
                <c:pt idx="43">
                  <c:v>5.519943902535028E-2</c:v>
                </c:pt>
                <c:pt idx="44">
                  <c:v>4.3939035271409584E-2</c:v>
                </c:pt>
                <c:pt idx="45">
                  <c:v>3.0546720639969157E-2</c:v>
                </c:pt>
                <c:pt idx="46">
                  <c:v>6.5835819566282233E-2</c:v>
                </c:pt>
                <c:pt idx="47">
                  <c:v>6.6569688941976971E-2</c:v>
                </c:pt>
                <c:pt idx="48">
                  <c:v>6.0094945010506357E-2</c:v>
                </c:pt>
                <c:pt idx="49">
                  <c:v>4.9284049539431149E-2</c:v>
                </c:pt>
                <c:pt idx="50">
                  <c:v>3.2440292734185278E-2</c:v>
                </c:pt>
                <c:pt idx="51">
                  <c:v>3.0354512815594779E-2</c:v>
                </c:pt>
                <c:pt idx="52">
                  <c:v>4.8502934769910799E-2</c:v>
                </c:pt>
                <c:pt idx="53">
                  <c:v>6.3604226947463982E-2</c:v>
                </c:pt>
                <c:pt idx="54">
                  <c:v>7.7532643905858248E-2</c:v>
                </c:pt>
                <c:pt idx="55">
                  <c:v>7.4082659478885898E-2</c:v>
                </c:pt>
                <c:pt idx="56">
                  <c:v>7.0904728037093231E-2</c:v>
                </c:pt>
                <c:pt idx="57">
                  <c:v>6.5677528604527469E-2</c:v>
                </c:pt>
                <c:pt idx="58">
                  <c:v>7.5019815269453602E-2</c:v>
                </c:pt>
                <c:pt idx="59">
                  <c:v>8.3461961899963397E-2</c:v>
                </c:pt>
                <c:pt idx="60">
                  <c:v>7.6668102547734221E-2</c:v>
                </c:pt>
                <c:pt idx="61">
                  <c:v>6.8415605798341314E-2</c:v>
                </c:pt>
                <c:pt idx="62">
                  <c:v>7.5755507875157405E-2</c:v>
                </c:pt>
                <c:pt idx="63">
                  <c:v>6.7485325768096349E-2</c:v>
                </c:pt>
                <c:pt idx="64">
                  <c:v>6.4701878619584624E-2</c:v>
                </c:pt>
                <c:pt idx="65">
                  <c:v>7.0646325566771251E-2</c:v>
                </c:pt>
                <c:pt idx="66">
                  <c:v>6.7089184522722584E-2</c:v>
                </c:pt>
                <c:pt idx="67">
                  <c:v>6.6502403432117829E-2</c:v>
                </c:pt>
                <c:pt idx="68">
                  <c:v>6.5551716260394896E-2</c:v>
                </c:pt>
                <c:pt idx="69">
                  <c:v>5.6228534108307061E-2</c:v>
                </c:pt>
                <c:pt idx="70">
                  <c:v>4.5338065787406422E-2</c:v>
                </c:pt>
                <c:pt idx="71">
                  <c:v>3.0090076063545915E-2</c:v>
                </c:pt>
                <c:pt idx="72">
                  <c:v>4.3223622283601729E-2</c:v>
                </c:pt>
                <c:pt idx="73">
                  <c:v>8.2585692816752293E-2</c:v>
                </c:pt>
                <c:pt idx="74">
                  <c:v>8.8399497501021579E-2</c:v>
                </c:pt>
                <c:pt idx="75">
                  <c:v>9.4770463416427531E-2</c:v>
                </c:pt>
                <c:pt idx="76">
                  <c:v>8.9064317106654078E-2</c:v>
                </c:pt>
                <c:pt idx="77">
                  <c:v>9.198353303220419E-2</c:v>
                </c:pt>
                <c:pt idx="78">
                  <c:v>8.4151869403876089E-2</c:v>
                </c:pt>
                <c:pt idx="79">
                  <c:v>8.972279580654402E-2</c:v>
                </c:pt>
                <c:pt idx="80">
                  <c:v>0.11531198784478931</c:v>
                </c:pt>
                <c:pt idx="81">
                  <c:v>0.1314141665031377</c:v>
                </c:pt>
                <c:pt idx="82">
                  <c:v>0.12254565717577312</c:v>
                </c:pt>
                <c:pt idx="83">
                  <c:v>0.11705863090658744</c:v>
                </c:pt>
                <c:pt idx="84">
                  <c:v>0.11838347076295686</c:v>
                </c:pt>
                <c:pt idx="85">
                  <c:v>0.10695585107446605</c:v>
                </c:pt>
                <c:pt idx="86">
                  <c:v>0.1087521266317731</c:v>
                </c:pt>
                <c:pt idx="87">
                  <c:v>0.10721905540203816</c:v>
                </c:pt>
                <c:pt idx="88">
                  <c:v>0.10669983540823884</c:v>
                </c:pt>
                <c:pt idx="89">
                  <c:v>0.10426798573468794</c:v>
                </c:pt>
                <c:pt idx="90">
                  <c:v>0.10842012805408094</c:v>
                </c:pt>
                <c:pt idx="91">
                  <c:v>0.12850361312708228</c:v>
                </c:pt>
                <c:pt idx="92">
                  <c:v>0.14236886389517395</c:v>
                </c:pt>
                <c:pt idx="93">
                  <c:v>0.12380528161691841</c:v>
                </c:pt>
                <c:pt idx="94">
                  <c:v>0.12036523256947734</c:v>
                </c:pt>
                <c:pt idx="95">
                  <c:v>0.11645619625088144</c:v>
                </c:pt>
              </c:numCache>
            </c:numRef>
          </c:val>
          <c:smooth val="0"/>
          <c:extLst>
            <c:ext xmlns:c16="http://schemas.microsoft.com/office/drawing/2014/chart" uri="{C3380CC4-5D6E-409C-BE32-E72D297353CC}">
              <c16:uniqueId val="{00000000-E853-2F4C-BF44-0D77B475E197}"/>
            </c:ext>
          </c:extLst>
        </c:ser>
        <c:dLbls>
          <c:showLegendKey val="0"/>
          <c:showVal val="0"/>
          <c:showCatName val="0"/>
          <c:showSerName val="0"/>
          <c:showPercent val="0"/>
          <c:showBubbleSize val="0"/>
        </c:dLbls>
        <c:smooth val="0"/>
        <c:axId val="1412117631"/>
        <c:axId val="1412119423"/>
      </c:lineChart>
      <c:catAx>
        <c:axId val="14121176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119423"/>
        <c:crosses val="autoZero"/>
        <c:auto val="1"/>
        <c:lblAlgn val="ctr"/>
        <c:lblOffset val="100"/>
        <c:noMultiLvlLbl val="0"/>
      </c:catAx>
      <c:valAx>
        <c:axId val="141211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11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Check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'estimating expected growth'!$B$10</c:f>
              <c:strCache>
                <c:ptCount val="1"/>
                <c:pt idx="0">
                  <c:v>g(rgva)</c:v>
                </c:pt>
              </c:strCache>
            </c:strRef>
          </c:tx>
          <c:spPr>
            <a:ln w="28575" cap="rnd">
              <a:solidFill>
                <a:schemeClr val="accent1"/>
              </a:solidFill>
              <a:round/>
            </a:ln>
            <a:effectLst/>
          </c:spPr>
          <c:marker>
            <c:symbol val="none"/>
          </c:marker>
          <c:cat>
            <c:numRef>
              <c:f>'estimating expected growth'!$C$9:$AS$9</c:f>
              <c:numCache>
                <c:formatCode>General</c:formatCode>
                <c:ptCount val="43"/>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numCache>
            </c:numRef>
          </c:cat>
          <c:val>
            <c:numRef>
              <c:f>'estimating expected growth'!$C$10:$AS$10</c:f>
              <c:numCache>
                <c:formatCode>General</c:formatCode>
                <c:ptCount val="43"/>
                <c:pt idx="0">
                  <c:v>6.965794942451442E-2</c:v>
                </c:pt>
                <c:pt idx="1">
                  <c:v>6.7692168231401784E-2</c:v>
                </c:pt>
                <c:pt idx="2">
                  <c:v>4.600890898461274E-2</c:v>
                </c:pt>
                <c:pt idx="3">
                  <c:v>-1.9039780330126321E-2</c:v>
                </c:pt>
                <c:pt idx="4">
                  <c:v>0.1236131260523512</c:v>
                </c:pt>
                <c:pt idx="5">
                  <c:v>5.6550454830072816E-2</c:v>
                </c:pt>
                <c:pt idx="6">
                  <c:v>4.1555019500295387E-2</c:v>
                </c:pt>
                <c:pt idx="7">
                  <c:v>-9.8567807981537303E-2</c:v>
                </c:pt>
                <c:pt idx="8">
                  <c:v>8.5520081498843492E-2</c:v>
                </c:pt>
                <c:pt idx="9">
                  <c:v>-8.4626455726226624E-3</c:v>
                </c:pt>
                <c:pt idx="10">
                  <c:v>2.7157074424749572E-2</c:v>
                </c:pt>
                <c:pt idx="11">
                  <c:v>5.8815307182589427E-2</c:v>
                </c:pt>
                <c:pt idx="12">
                  <c:v>2.8968096746242677E-2</c:v>
                </c:pt>
                <c:pt idx="13">
                  <c:v>-8.0441413053801369E-2</c:v>
                </c:pt>
                <c:pt idx="14">
                  <c:v>4.8501445864865822E-2</c:v>
                </c:pt>
                <c:pt idx="15">
                  <c:v>0.1733412479189016</c:v>
                </c:pt>
                <c:pt idx="16">
                  <c:v>2.3924541125438514E-2</c:v>
                </c:pt>
                <c:pt idx="17">
                  <c:v>7.3949406919186167E-2</c:v>
                </c:pt>
                <c:pt idx="18">
                  <c:v>-0.10359148767356641</c:v>
                </c:pt>
                <c:pt idx="19">
                  <c:v>-2.4215614853359435E-2</c:v>
                </c:pt>
                <c:pt idx="20">
                  <c:v>-7.2165681744220445E-2</c:v>
                </c:pt>
                <c:pt idx="21">
                  <c:v>6.1077664883360194E-2</c:v>
                </c:pt>
                <c:pt idx="22">
                  <c:v>0.13345614097516245</c:v>
                </c:pt>
                <c:pt idx="23">
                  <c:v>1.779111882693063E-2</c:v>
                </c:pt>
                <c:pt idx="24">
                  <c:v>1.7756987795029211E-2</c:v>
                </c:pt>
                <c:pt idx="25">
                  <c:v>5.6648121738227308E-2</c:v>
                </c:pt>
                <c:pt idx="26">
                  <c:v>2.4917277861531417E-3</c:v>
                </c:pt>
                <c:pt idx="27">
                  <c:v>3.6276018615964079E-2</c:v>
                </c:pt>
                <c:pt idx="28">
                  <c:v>6.1647922477696016E-2</c:v>
                </c:pt>
                <c:pt idx="29">
                  <c:v>-0.10252687200366428</c:v>
                </c:pt>
                <c:pt idx="30">
                  <c:v>-8.0542410612123305E-2</c:v>
                </c:pt>
                <c:pt idx="31">
                  <c:v>-0.15862490763599313</c:v>
                </c:pt>
                <c:pt idx="32">
                  <c:v>1.1849862304348147E-2</c:v>
                </c:pt>
                <c:pt idx="33">
                  <c:v>0.12564835200463098</c:v>
                </c:pt>
                <c:pt idx="34">
                  <c:v>8.3472351795000677E-2</c:v>
                </c:pt>
                <c:pt idx="35">
                  <c:v>0.11883968830226221</c:v>
                </c:pt>
                <c:pt idx="36">
                  <c:v>5.6643130432539657E-2</c:v>
                </c:pt>
                <c:pt idx="37">
                  <c:v>-4.1632408787894093E-2</c:v>
                </c:pt>
                <c:pt idx="38">
                  <c:v>8.1627436935830744E-2</c:v>
                </c:pt>
                <c:pt idx="39">
                  <c:v>8.929202274106629E-2</c:v>
                </c:pt>
                <c:pt idx="40">
                  <c:v>0.17966680013467196</c:v>
                </c:pt>
                <c:pt idx="41">
                  <c:v>0.14617608696427054</c:v>
                </c:pt>
                <c:pt idx="42">
                  <c:v>0.14237970294926372</c:v>
                </c:pt>
              </c:numCache>
            </c:numRef>
          </c:val>
          <c:smooth val="0"/>
          <c:extLst>
            <c:ext xmlns:c16="http://schemas.microsoft.com/office/drawing/2014/chart" uri="{C3380CC4-5D6E-409C-BE32-E72D297353CC}">
              <c16:uniqueId val="{00000000-465C-40C6-9C20-20936E5C815D}"/>
            </c:ext>
          </c:extLst>
        </c:ser>
        <c:ser>
          <c:idx val="1"/>
          <c:order val="1"/>
          <c:tx>
            <c:strRef>
              <c:f>'estimating expected growth'!$B$11</c:f>
              <c:strCache>
                <c:ptCount val="1"/>
                <c:pt idx="0">
                  <c:v>g(r_gdp)</c:v>
                </c:pt>
              </c:strCache>
            </c:strRef>
          </c:tx>
          <c:spPr>
            <a:ln w="28575" cap="rnd">
              <a:solidFill>
                <a:schemeClr val="accent2"/>
              </a:solidFill>
              <a:round/>
            </a:ln>
            <a:effectLst/>
          </c:spPr>
          <c:marker>
            <c:symbol val="none"/>
          </c:marker>
          <c:cat>
            <c:numRef>
              <c:f>'estimating expected growth'!$C$9:$AS$9</c:f>
              <c:numCache>
                <c:formatCode>General</c:formatCode>
                <c:ptCount val="43"/>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numCache>
            </c:numRef>
          </c:cat>
          <c:val>
            <c:numRef>
              <c:f>'estimating expected growth'!$C$11:$AS$11</c:f>
              <c:numCache>
                <c:formatCode>General</c:formatCode>
                <c:ptCount val="43"/>
                <c:pt idx="29">
                  <c:v>-8.5639662815934159E-2</c:v>
                </c:pt>
                <c:pt idx="30">
                  <c:v>-0.12812931085185397</c:v>
                </c:pt>
                <c:pt idx="31">
                  <c:v>-0.18068169847419036</c:v>
                </c:pt>
                <c:pt idx="32">
                  <c:v>2.672960338667707E-4</c:v>
                </c:pt>
                <c:pt idx="33">
                  <c:v>0.17593481749792161</c:v>
                </c:pt>
                <c:pt idx="34">
                  <c:v>7.8940712206126307E-2</c:v>
                </c:pt>
                <c:pt idx="35">
                  <c:v>0.13071743962698434</c:v>
                </c:pt>
                <c:pt idx="36">
                  <c:v>8.7792793566196181E-2</c:v>
                </c:pt>
                <c:pt idx="37">
                  <c:v>-9.4010077357184585E-2</c:v>
                </c:pt>
                <c:pt idx="38">
                  <c:v>0.10556230266588251</c:v>
                </c:pt>
                <c:pt idx="39">
                  <c:v>0.12545127815611679</c:v>
                </c:pt>
                <c:pt idx="40">
                  <c:v>0.19653667929803653</c:v>
                </c:pt>
                <c:pt idx="41">
                  <c:v>0.10621625026023906</c:v>
                </c:pt>
                <c:pt idx="42">
                  <c:v>7.9991136096614568E-2</c:v>
                </c:pt>
              </c:numCache>
            </c:numRef>
          </c:val>
          <c:smooth val="0"/>
          <c:extLst>
            <c:ext xmlns:c16="http://schemas.microsoft.com/office/drawing/2014/chart" uri="{C3380CC4-5D6E-409C-BE32-E72D297353CC}">
              <c16:uniqueId val="{00000001-465C-40C6-9C20-20936E5C815D}"/>
            </c:ext>
          </c:extLst>
        </c:ser>
        <c:dLbls>
          <c:showLegendKey val="0"/>
          <c:showVal val="0"/>
          <c:showCatName val="0"/>
          <c:showSerName val="0"/>
          <c:showPercent val="0"/>
          <c:showBubbleSize val="0"/>
        </c:dLbls>
        <c:smooth val="0"/>
        <c:axId val="842323664"/>
        <c:axId val="842314512"/>
      </c:lineChart>
      <c:catAx>
        <c:axId val="84232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314512"/>
        <c:crosses val="autoZero"/>
        <c:auto val="1"/>
        <c:lblAlgn val="ctr"/>
        <c:lblOffset val="100"/>
        <c:noMultiLvlLbl val="0"/>
      </c:catAx>
      <c:valAx>
        <c:axId val="84231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32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Expected Real GVA growth, 10 years 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'estimating expected growth'!$K$17</c:f>
              <c:strCache>
                <c:ptCount val="1"/>
                <c:pt idx="0">
                  <c:v>eg from JST</c:v>
                </c:pt>
              </c:strCache>
            </c:strRef>
          </c:tx>
          <c:spPr>
            <a:ln w="28575" cap="rnd">
              <a:solidFill>
                <a:schemeClr val="accent1"/>
              </a:solidFill>
              <a:round/>
            </a:ln>
            <a:effectLst/>
          </c:spPr>
          <c:marker>
            <c:symbol val="none"/>
          </c:marker>
          <c:cat>
            <c:numRef>
              <c:f>'estimating expected growth'!$L$16:$DW$16</c:f>
              <c:numCache>
                <c:formatCode>General</c:formatCode>
                <c:ptCount val="116"/>
                <c:pt idx="0">
                  <c:v>1910</c:v>
                </c:pt>
                <c:pt idx="1">
                  <c:v>1911</c:v>
                </c:pt>
                <c:pt idx="2">
                  <c:v>1912</c:v>
                </c:pt>
                <c:pt idx="3">
                  <c:v>1913</c:v>
                </c:pt>
                <c:pt idx="4">
                  <c:v>1914</c:v>
                </c:pt>
                <c:pt idx="5">
                  <c:v>1915</c:v>
                </c:pt>
                <c:pt idx="6">
                  <c:v>1916</c:v>
                </c:pt>
                <c:pt idx="7">
                  <c:v>1917</c:v>
                </c:pt>
                <c:pt idx="8">
                  <c:v>1918</c:v>
                </c:pt>
                <c:pt idx="9">
                  <c:v>1919</c:v>
                </c:pt>
                <c:pt idx="10">
                  <c:v>1920</c:v>
                </c:pt>
                <c:pt idx="11">
                  <c:v>1921</c:v>
                </c:pt>
                <c:pt idx="12">
                  <c:v>1922</c:v>
                </c:pt>
                <c:pt idx="13">
                  <c:v>1923</c:v>
                </c:pt>
                <c:pt idx="14">
                  <c:v>1924</c:v>
                </c:pt>
                <c:pt idx="15">
                  <c:v>1925</c:v>
                </c:pt>
                <c:pt idx="16">
                  <c:v>1926</c:v>
                </c:pt>
                <c:pt idx="17">
                  <c:v>1927</c:v>
                </c:pt>
                <c:pt idx="18">
                  <c:v>1928</c:v>
                </c:pt>
                <c:pt idx="19">
                  <c:v>1929</c:v>
                </c:pt>
                <c:pt idx="20">
                  <c:v>1930</c:v>
                </c:pt>
                <c:pt idx="21">
                  <c:v>1931</c:v>
                </c:pt>
                <c:pt idx="22">
                  <c:v>1932</c:v>
                </c:pt>
                <c:pt idx="23">
                  <c:v>1933</c:v>
                </c:pt>
                <c:pt idx="24">
                  <c:v>1934</c:v>
                </c:pt>
                <c:pt idx="25">
                  <c:v>1935</c:v>
                </c:pt>
                <c:pt idx="26">
                  <c:v>1936</c:v>
                </c:pt>
                <c:pt idx="27">
                  <c:v>1937</c:v>
                </c:pt>
                <c:pt idx="28">
                  <c:v>1938</c:v>
                </c:pt>
                <c:pt idx="29">
                  <c:v>1939</c:v>
                </c:pt>
                <c:pt idx="30">
                  <c:v>1940</c:v>
                </c:pt>
                <c:pt idx="31">
                  <c:v>1941</c:v>
                </c:pt>
                <c:pt idx="32">
                  <c:v>1942</c:v>
                </c:pt>
                <c:pt idx="33">
                  <c:v>1943</c:v>
                </c:pt>
                <c:pt idx="34">
                  <c:v>1944</c:v>
                </c:pt>
                <c:pt idx="35">
                  <c:v>1945</c:v>
                </c:pt>
                <c:pt idx="36">
                  <c:v>1946</c:v>
                </c:pt>
                <c:pt idx="37">
                  <c:v>1947</c:v>
                </c:pt>
                <c:pt idx="38">
                  <c:v>1948</c:v>
                </c:pt>
                <c:pt idx="39">
                  <c:v>1949</c:v>
                </c:pt>
                <c:pt idx="40">
                  <c:v>1950</c:v>
                </c:pt>
                <c:pt idx="41">
                  <c:v>1951</c:v>
                </c:pt>
                <c:pt idx="42">
                  <c:v>1952</c:v>
                </c:pt>
                <c:pt idx="43">
                  <c:v>1953</c:v>
                </c:pt>
                <c:pt idx="44">
                  <c:v>1954</c:v>
                </c:pt>
                <c:pt idx="45">
                  <c:v>1955</c:v>
                </c:pt>
                <c:pt idx="46">
                  <c:v>1956</c:v>
                </c:pt>
                <c:pt idx="47">
                  <c:v>1957</c:v>
                </c:pt>
                <c:pt idx="48">
                  <c:v>1958</c:v>
                </c:pt>
                <c:pt idx="49">
                  <c:v>1959</c:v>
                </c:pt>
                <c:pt idx="50">
                  <c:v>1960</c:v>
                </c:pt>
                <c:pt idx="51">
                  <c:v>1961</c:v>
                </c:pt>
                <c:pt idx="52">
                  <c:v>1962</c:v>
                </c:pt>
                <c:pt idx="53">
                  <c:v>1963</c:v>
                </c:pt>
                <c:pt idx="54">
                  <c:v>1964</c:v>
                </c:pt>
                <c:pt idx="55">
                  <c:v>1965</c:v>
                </c:pt>
                <c:pt idx="56">
                  <c:v>1966</c:v>
                </c:pt>
                <c:pt idx="57">
                  <c:v>1967</c:v>
                </c:pt>
                <c:pt idx="58">
                  <c:v>1968</c:v>
                </c:pt>
                <c:pt idx="59">
                  <c:v>1969</c:v>
                </c:pt>
                <c:pt idx="60">
                  <c:v>1970</c:v>
                </c:pt>
                <c:pt idx="61">
                  <c:v>1971</c:v>
                </c:pt>
                <c:pt idx="62">
                  <c:v>1972</c:v>
                </c:pt>
                <c:pt idx="63">
                  <c:v>1973</c:v>
                </c:pt>
                <c:pt idx="64">
                  <c:v>1974</c:v>
                </c:pt>
                <c:pt idx="65">
                  <c:v>1975</c:v>
                </c:pt>
                <c:pt idx="66">
                  <c:v>1976</c:v>
                </c:pt>
                <c:pt idx="67">
                  <c:v>1977</c:v>
                </c:pt>
                <c:pt idx="68">
                  <c:v>1978</c:v>
                </c:pt>
                <c:pt idx="69">
                  <c:v>1979</c:v>
                </c:pt>
                <c:pt idx="70">
                  <c:v>1980</c:v>
                </c:pt>
                <c:pt idx="71">
                  <c:v>1981</c:v>
                </c:pt>
                <c:pt idx="72">
                  <c:v>1982</c:v>
                </c:pt>
                <c:pt idx="73">
                  <c:v>1983</c:v>
                </c:pt>
                <c:pt idx="74">
                  <c:v>1984</c:v>
                </c:pt>
                <c:pt idx="75">
                  <c:v>1985</c:v>
                </c:pt>
                <c:pt idx="76">
                  <c:v>1986</c:v>
                </c:pt>
                <c:pt idx="77">
                  <c:v>1987</c:v>
                </c:pt>
                <c:pt idx="78">
                  <c:v>1988</c:v>
                </c:pt>
                <c:pt idx="79">
                  <c:v>1989</c:v>
                </c:pt>
                <c:pt idx="80">
                  <c:v>1990</c:v>
                </c:pt>
                <c:pt idx="81">
                  <c:v>1991</c:v>
                </c:pt>
                <c:pt idx="82">
                  <c:v>1992</c:v>
                </c:pt>
                <c:pt idx="83">
                  <c:v>1993</c:v>
                </c:pt>
                <c:pt idx="84">
                  <c:v>1994</c:v>
                </c:pt>
                <c:pt idx="85">
                  <c:v>1995</c:v>
                </c:pt>
                <c:pt idx="86">
                  <c:v>1996</c:v>
                </c:pt>
                <c:pt idx="87">
                  <c:v>1997</c:v>
                </c:pt>
                <c:pt idx="88">
                  <c:v>1998</c:v>
                </c:pt>
                <c:pt idx="89">
                  <c:v>1999</c:v>
                </c:pt>
                <c:pt idx="90">
                  <c:v>2000</c:v>
                </c:pt>
                <c:pt idx="91">
                  <c:v>2001</c:v>
                </c:pt>
                <c:pt idx="92">
                  <c:v>2002</c:v>
                </c:pt>
                <c:pt idx="93">
                  <c:v>2003</c:v>
                </c:pt>
                <c:pt idx="94">
                  <c:v>2004</c:v>
                </c:pt>
                <c:pt idx="95">
                  <c:v>2005</c:v>
                </c:pt>
                <c:pt idx="96">
                  <c:v>2006</c:v>
                </c:pt>
                <c:pt idx="97">
                  <c:v>2007</c:v>
                </c:pt>
                <c:pt idx="98">
                  <c:v>2008</c:v>
                </c:pt>
                <c:pt idx="99">
                  <c:v>2009</c:v>
                </c:pt>
                <c:pt idx="100">
                  <c:v>2010</c:v>
                </c:pt>
                <c:pt idx="101">
                  <c:v>2011</c:v>
                </c:pt>
                <c:pt idx="102">
                  <c:v>2012</c:v>
                </c:pt>
                <c:pt idx="103">
                  <c:v>2013</c:v>
                </c:pt>
                <c:pt idx="104">
                  <c:v>2014</c:v>
                </c:pt>
                <c:pt idx="105">
                  <c:v>2015</c:v>
                </c:pt>
                <c:pt idx="106">
                  <c:v>2016</c:v>
                </c:pt>
                <c:pt idx="107">
                  <c:v>2017</c:v>
                </c:pt>
                <c:pt idx="108">
                  <c:v>2018</c:v>
                </c:pt>
                <c:pt idx="109">
                  <c:v>2019</c:v>
                </c:pt>
                <c:pt idx="110">
                  <c:v>2020</c:v>
                </c:pt>
                <c:pt idx="111">
                  <c:v>2021</c:v>
                </c:pt>
                <c:pt idx="112">
                  <c:v>2022</c:v>
                </c:pt>
                <c:pt idx="113">
                  <c:v>2023</c:v>
                </c:pt>
                <c:pt idx="114">
                  <c:v>2024</c:v>
                </c:pt>
                <c:pt idx="115">
                  <c:v>2025</c:v>
                </c:pt>
              </c:numCache>
            </c:numRef>
          </c:cat>
          <c:val>
            <c:numRef>
              <c:f>'estimating expected growth'!$L$17:$DW$17</c:f>
              <c:numCache>
                <c:formatCode>General</c:formatCode>
                <c:ptCount val="116"/>
                <c:pt idx="0">
                  <c:v>3.6452747463780556E-2</c:v>
                </c:pt>
                <c:pt idx="1">
                  <c:v>3.2202659963804073E-2</c:v>
                </c:pt>
                <c:pt idx="2">
                  <c:v>3.1314973858922832E-2</c:v>
                </c:pt>
                <c:pt idx="3">
                  <c:v>2.9610892635085827E-2</c:v>
                </c:pt>
                <c:pt idx="4">
                  <c:v>2.3470729362718323E-2</c:v>
                </c:pt>
                <c:pt idx="5">
                  <c:v>1.5959561343969787E-2</c:v>
                </c:pt>
                <c:pt idx="6">
                  <c:v>2.7638640652852663E-2</c:v>
                </c:pt>
                <c:pt idx="7">
                  <c:v>2.5875592815366978E-2</c:v>
                </c:pt>
                <c:pt idx="8">
                  <c:v>4.3127314305439327E-2</c:v>
                </c:pt>
                <c:pt idx="9">
                  <c:v>2.4216157388198333E-2</c:v>
                </c:pt>
                <c:pt idx="10">
                  <c:v>2.2640860460124656E-2</c:v>
                </c:pt>
                <c:pt idx="11">
                  <c:v>1.2708584843227655E-2</c:v>
                </c:pt>
                <c:pt idx="12">
                  <c:v>1.2934820613304731E-2</c:v>
                </c:pt>
                <c:pt idx="13">
                  <c:v>2.338362503619671E-2</c:v>
                </c:pt>
                <c:pt idx="14">
                  <c:v>3.320687822426991E-2</c:v>
                </c:pt>
                <c:pt idx="15">
                  <c:v>3.0132432417286248E-2</c:v>
                </c:pt>
                <c:pt idx="16">
                  <c:v>1.846311979921882E-2</c:v>
                </c:pt>
                <c:pt idx="17">
                  <c:v>1.6319838465290282E-2</c:v>
                </c:pt>
                <c:pt idx="18">
                  <c:v>1.2552499634968073E-2</c:v>
                </c:pt>
                <c:pt idx="19">
                  <c:v>2.9076440650094314E-2</c:v>
                </c:pt>
                <c:pt idx="20">
                  <c:v>2.124531493506383E-2</c:v>
                </c:pt>
                <c:pt idx="21">
                  <c:v>2.0407642048273545E-2</c:v>
                </c:pt>
                <c:pt idx="22">
                  <c:v>-1.562615203661788E-3</c:v>
                </c:pt>
                <c:pt idx="23">
                  <c:v>-1.3723243070743218E-2</c:v>
                </c:pt>
                <c:pt idx="24">
                  <c:v>-2.9375197529731834E-3</c:v>
                </c:pt>
                <c:pt idx="25">
                  <c:v>3.6340166470239634E-3</c:v>
                </c:pt>
                <c:pt idx="26">
                  <c:v>9.8531733034274531E-3</c:v>
                </c:pt>
                <c:pt idx="27">
                  <c:v>1.5268313568066105E-2</c:v>
                </c:pt>
                <c:pt idx="28">
                  <c:v>7.477470827680288E-3</c:v>
                </c:pt>
                <c:pt idx="29">
                  <c:v>9.4754222734937613E-3</c:v>
                </c:pt>
                <c:pt idx="30">
                  <c:v>2.8657311747966818E-2</c:v>
                </c:pt>
                <c:pt idx="31">
                  <c:v>5.4678232822646347E-2</c:v>
                </c:pt>
                <c:pt idx="32">
                  <c:v>8.5158332282672708E-2</c:v>
                </c:pt>
                <c:pt idx="33">
                  <c:v>9.8211316347164263E-2</c:v>
                </c:pt>
                <c:pt idx="34">
                  <c:v>9.3929232350298264E-2</c:v>
                </c:pt>
                <c:pt idx="35">
                  <c:v>8.4908384696063793E-2</c:v>
                </c:pt>
                <c:pt idx="36">
                  <c:v>6.481291934590469E-2</c:v>
                </c:pt>
                <c:pt idx="37">
                  <c:v>5.4993351442328378E-2</c:v>
                </c:pt>
                <c:pt idx="38">
                  <c:v>6.125554911112574E-2</c:v>
                </c:pt>
                <c:pt idx="39">
                  <c:v>5.3349665653202295E-2</c:v>
                </c:pt>
                <c:pt idx="40">
                  <c:v>5.2927945720720793E-2</c:v>
                </c:pt>
                <c:pt idx="41">
                  <c:v>4.1906816741408594E-2</c:v>
                </c:pt>
                <c:pt idx="42">
                  <c:v>3.0751881534517311E-2</c:v>
                </c:pt>
                <c:pt idx="43">
                  <c:v>2.1542583866461618E-2</c:v>
                </c:pt>
                <c:pt idx="44">
                  <c:v>1.3240744289830086E-2</c:v>
                </c:pt>
                <c:pt idx="45">
                  <c:v>2.2738129027109012E-2</c:v>
                </c:pt>
                <c:pt idx="46">
                  <c:v>3.4945827915920227E-2</c:v>
                </c:pt>
                <c:pt idx="47">
                  <c:v>4.1112760120866419E-2</c:v>
                </c:pt>
                <c:pt idx="48">
                  <c:v>3.7825747581310722E-2</c:v>
                </c:pt>
                <c:pt idx="49">
                  <c:v>4.4707341387558275E-2</c:v>
                </c:pt>
                <c:pt idx="50">
                  <c:v>3.8615204450079862E-2</c:v>
                </c:pt>
                <c:pt idx="51">
                  <c:v>3.4195468542841168E-2</c:v>
                </c:pt>
                <c:pt idx="52">
                  <c:v>3.6720374859265714E-2</c:v>
                </c:pt>
                <c:pt idx="53">
                  <c:v>3.5846866952888592E-2</c:v>
                </c:pt>
                <c:pt idx="54">
                  <c:v>4.166780891098245E-2</c:v>
                </c:pt>
                <c:pt idx="55">
                  <c:v>3.9388520275169772E-2</c:v>
                </c:pt>
                <c:pt idx="56">
                  <c:v>4.1596909083253572E-2</c:v>
                </c:pt>
                <c:pt idx="57">
                  <c:v>4.2403079698416633E-2</c:v>
                </c:pt>
                <c:pt idx="58">
                  <c:v>4.8402921460271434E-2</c:v>
                </c:pt>
                <c:pt idx="59">
                  <c:v>4.3834479367420263E-2</c:v>
                </c:pt>
                <c:pt idx="60">
                  <c:v>4.102994609045809E-2</c:v>
                </c:pt>
                <c:pt idx="61">
                  <c:v>4.2549601018991766E-2</c:v>
                </c:pt>
                <c:pt idx="62">
                  <c:v>4.2698709743468524E-2</c:v>
                </c:pt>
                <c:pt idx="63">
                  <c:v>4.3299987286646413E-2</c:v>
                </c:pt>
                <c:pt idx="64">
                  <c:v>3.5126716184923447E-2</c:v>
                </c:pt>
                <c:pt idx="65">
                  <c:v>2.8487378186145485E-2</c:v>
                </c:pt>
                <c:pt idx="66">
                  <c:v>2.7273769900675982E-2</c:v>
                </c:pt>
                <c:pt idx="67">
                  <c:v>2.8735435530527285E-2</c:v>
                </c:pt>
                <c:pt idx="68">
                  <c:v>2.8755818291141998E-2</c:v>
                </c:pt>
                <c:pt idx="69">
                  <c:v>2.8213528961252399E-2</c:v>
                </c:pt>
                <c:pt idx="70">
                  <c:v>2.6378948994714956E-2</c:v>
                </c:pt>
                <c:pt idx="71">
                  <c:v>2.4858531278716355E-2</c:v>
                </c:pt>
                <c:pt idx="72">
                  <c:v>1.7033892880088653E-2</c:v>
                </c:pt>
                <c:pt idx="73">
                  <c:v>1.6418945644316542E-2</c:v>
                </c:pt>
                <c:pt idx="74">
                  <c:v>2.5244290310408823E-2</c:v>
                </c:pt>
                <c:pt idx="75">
                  <c:v>2.9162094823272033E-2</c:v>
                </c:pt>
                <c:pt idx="76">
                  <c:v>2.7834035839765247E-2</c:v>
                </c:pt>
                <c:pt idx="77">
                  <c:v>2.6015771440521095E-2</c:v>
                </c:pt>
                <c:pt idx="78">
                  <c:v>2.5193745173839634E-2</c:v>
                </c:pt>
                <c:pt idx="79">
                  <c:v>2.6339272487557252E-2</c:v>
                </c:pt>
                <c:pt idx="80">
                  <c:v>2.9293061150611744E-2</c:v>
                </c:pt>
                <c:pt idx="81">
                  <c:v>2.6411941451682262E-2</c:v>
                </c:pt>
                <c:pt idx="82">
                  <c:v>3.1358865024661717E-2</c:v>
                </c:pt>
                <c:pt idx="83">
                  <c:v>2.97845082174935E-2</c:v>
                </c:pt>
                <c:pt idx="84">
                  <c:v>2.7326613711399349E-2</c:v>
                </c:pt>
                <c:pt idx="85">
                  <c:v>2.584717592502641E-2</c:v>
                </c:pt>
                <c:pt idx="86">
                  <c:v>2.5073532153636835E-2</c:v>
                </c:pt>
                <c:pt idx="87">
                  <c:v>2.653445003807766E-2</c:v>
                </c:pt>
                <c:pt idx="88">
                  <c:v>2.6682328343506347E-2</c:v>
                </c:pt>
                <c:pt idx="89">
                  <c:v>2.748478074634244E-2</c:v>
                </c:pt>
                <c:pt idx="90">
                  <c:v>2.9654510196614581E-2</c:v>
                </c:pt>
                <c:pt idx="91">
                  <c:v>3.0380348940881419E-2</c:v>
                </c:pt>
                <c:pt idx="92">
                  <c:v>2.8785749492011979E-2</c:v>
                </c:pt>
                <c:pt idx="93">
                  <c:v>2.8685837717154428E-2</c:v>
                </c:pt>
                <c:pt idx="94">
                  <c:v>2.8452708347956081E-2</c:v>
                </c:pt>
                <c:pt idx="95">
                  <c:v>2.928945801385625E-2</c:v>
                </c:pt>
                <c:pt idx="96">
                  <c:v>2.8993878348841661E-2</c:v>
                </c:pt>
                <c:pt idx="97">
                  <c:v>2.6932193985603002E-2</c:v>
                </c:pt>
                <c:pt idx="98">
                  <c:v>2.1027361369965546E-2</c:v>
                </c:pt>
                <c:pt idx="99">
                  <c:v>1.5404619950912312E-2</c:v>
                </c:pt>
                <c:pt idx="100">
                  <c:v>1.4736022048503283E-2</c:v>
                </c:pt>
                <c:pt idx="101">
                  <c:v>1.4856620203637405E-2</c:v>
                </c:pt>
                <c:pt idx="102">
                  <c:v>1.520509574860034E-2</c:v>
                </c:pt>
                <c:pt idx="103">
                  <c:v>1.4828052782148226E-2</c:v>
                </c:pt>
                <c:pt idx="104">
                  <c:v>1.3500579605185515E-2</c:v>
                </c:pt>
                <c:pt idx="105">
                  <c:v>1.3813937995440196E-2</c:v>
                </c:pt>
                <c:pt idx="106">
                  <c:v>1.25897410901195E-2</c:v>
                </c:pt>
                <c:pt idx="107">
                  <c:v>1.2712149202203626E-2</c:v>
                </c:pt>
                <c:pt idx="108">
                  <c:v>1.7288832127145957E-2</c:v>
                </c:pt>
                <c:pt idx="109">
                  <c:v>2.1176187568244131E-2</c:v>
                </c:pt>
                <c:pt idx="110">
                  <c:v>1.5438217773285867E-2</c:v>
                </c:pt>
              </c:numCache>
            </c:numRef>
          </c:val>
          <c:smooth val="0"/>
          <c:extLst>
            <c:ext xmlns:c16="http://schemas.microsoft.com/office/drawing/2014/chart" uri="{C3380CC4-5D6E-409C-BE32-E72D297353CC}">
              <c16:uniqueId val="{00000000-B479-49F5-B96F-740073BF3153}"/>
            </c:ext>
          </c:extLst>
        </c:ser>
        <c:ser>
          <c:idx val="1"/>
          <c:order val="1"/>
          <c:tx>
            <c:strRef>
              <c:f>'estimating expected growth'!$K$18</c:f>
              <c:strCache>
                <c:ptCount val="1"/>
                <c:pt idx="0">
                  <c:v>eg from IMA</c:v>
                </c:pt>
              </c:strCache>
            </c:strRef>
          </c:tx>
          <c:spPr>
            <a:ln w="28575" cap="rnd">
              <a:solidFill>
                <a:schemeClr val="accent2"/>
              </a:solidFill>
              <a:round/>
            </a:ln>
            <a:effectLst/>
          </c:spPr>
          <c:marker>
            <c:symbol val="none"/>
          </c:marker>
          <c:cat>
            <c:numRef>
              <c:f>'estimating expected growth'!$L$16:$DW$16</c:f>
              <c:numCache>
                <c:formatCode>General</c:formatCode>
                <c:ptCount val="116"/>
                <c:pt idx="0">
                  <c:v>1910</c:v>
                </c:pt>
                <c:pt idx="1">
                  <c:v>1911</c:v>
                </c:pt>
                <c:pt idx="2">
                  <c:v>1912</c:v>
                </c:pt>
                <c:pt idx="3">
                  <c:v>1913</c:v>
                </c:pt>
                <c:pt idx="4">
                  <c:v>1914</c:v>
                </c:pt>
                <c:pt idx="5">
                  <c:v>1915</c:v>
                </c:pt>
                <c:pt idx="6">
                  <c:v>1916</c:v>
                </c:pt>
                <c:pt idx="7">
                  <c:v>1917</c:v>
                </c:pt>
                <c:pt idx="8">
                  <c:v>1918</c:v>
                </c:pt>
                <c:pt idx="9">
                  <c:v>1919</c:v>
                </c:pt>
                <c:pt idx="10">
                  <c:v>1920</c:v>
                </c:pt>
                <c:pt idx="11">
                  <c:v>1921</c:v>
                </c:pt>
                <c:pt idx="12">
                  <c:v>1922</c:v>
                </c:pt>
                <c:pt idx="13">
                  <c:v>1923</c:v>
                </c:pt>
                <c:pt idx="14">
                  <c:v>1924</c:v>
                </c:pt>
                <c:pt idx="15">
                  <c:v>1925</c:v>
                </c:pt>
                <c:pt idx="16">
                  <c:v>1926</c:v>
                </c:pt>
                <c:pt idx="17">
                  <c:v>1927</c:v>
                </c:pt>
                <c:pt idx="18">
                  <c:v>1928</c:v>
                </c:pt>
                <c:pt idx="19">
                  <c:v>1929</c:v>
                </c:pt>
                <c:pt idx="20">
                  <c:v>1930</c:v>
                </c:pt>
                <c:pt idx="21">
                  <c:v>1931</c:v>
                </c:pt>
                <c:pt idx="22">
                  <c:v>1932</c:v>
                </c:pt>
                <c:pt idx="23">
                  <c:v>1933</c:v>
                </c:pt>
                <c:pt idx="24">
                  <c:v>1934</c:v>
                </c:pt>
                <c:pt idx="25">
                  <c:v>1935</c:v>
                </c:pt>
                <c:pt idx="26">
                  <c:v>1936</c:v>
                </c:pt>
                <c:pt idx="27">
                  <c:v>1937</c:v>
                </c:pt>
                <c:pt idx="28">
                  <c:v>1938</c:v>
                </c:pt>
                <c:pt idx="29">
                  <c:v>1939</c:v>
                </c:pt>
                <c:pt idx="30">
                  <c:v>1940</c:v>
                </c:pt>
                <c:pt idx="31">
                  <c:v>1941</c:v>
                </c:pt>
                <c:pt idx="32">
                  <c:v>1942</c:v>
                </c:pt>
                <c:pt idx="33">
                  <c:v>1943</c:v>
                </c:pt>
                <c:pt idx="34">
                  <c:v>1944</c:v>
                </c:pt>
                <c:pt idx="35">
                  <c:v>1945</c:v>
                </c:pt>
                <c:pt idx="36">
                  <c:v>1946</c:v>
                </c:pt>
                <c:pt idx="37">
                  <c:v>1947</c:v>
                </c:pt>
                <c:pt idx="38">
                  <c:v>1948</c:v>
                </c:pt>
                <c:pt idx="39">
                  <c:v>1949</c:v>
                </c:pt>
                <c:pt idx="40">
                  <c:v>1950</c:v>
                </c:pt>
                <c:pt idx="41">
                  <c:v>1951</c:v>
                </c:pt>
                <c:pt idx="42">
                  <c:v>1952</c:v>
                </c:pt>
                <c:pt idx="43">
                  <c:v>1953</c:v>
                </c:pt>
                <c:pt idx="44">
                  <c:v>1954</c:v>
                </c:pt>
                <c:pt idx="45">
                  <c:v>1955</c:v>
                </c:pt>
                <c:pt idx="46">
                  <c:v>1956</c:v>
                </c:pt>
                <c:pt idx="47">
                  <c:v>1957</c:v>
                </c:pt>
                <c:pt idx="48">
                  <c:v>1958</c:v>
                </c:pt>
                <c:pt idx="49">
                  <c:v>1959</c:v>
                </c:pt>
                <c:pt idx="50">
                  <c:v>1960</c:v>
                </c:pt>
                <c:pt idx="51">
                  <c:v>1961</c:v>
                </c:pt>
                <c:pt idx="52">
                  <c:v>1962</c:v>
                </c:pt>
                <c:pt idx="53">
                  <c:v>1963</c:v>
                </c:pt>
                <c:pt idx="54">
                  <c:v>1964</c:v>
                </c:pt>
                <c:pt idx="55">
                  <c:v>1965</c:v>
                </c:pt>
                <c:pt idx="56">
                  <c:v>1966</c:v>
                </c:pt>
                <c:pt idx="57">
                  <c:v>1967</c:v>
                </c:pt>
                <c:pt idx="58">
                  <c:v>1968</c:v>
                </c:pt>
                <c:pt idx="59">
                  <c:v>1969</c:v>
                </c:pt>
                <c:pt idx="60">
                  <c:v>1970</c:v>
                </c:pt>
                <c:pt idx="61">
                  <c:v>1971</c:v>
                </c:pt>
                <c:pt idx="62">
                  <c:v>1972</c:v>
                </c:pt>
                <c:pt idx="63">
                  <c:v>1973</c:v>
                </c:pt>
                <c:pt idx="64">
                  <c:v>1974</c:v>
                </c:pt>
                <c:pt idx="65">
                  <c:v>1975</c:v>
                </c:pt>
                <c:pt idx="66">
                  <c:v>1976</c:v>
                </c:pt>
                <c:pt idx="67">
                  <c:v>1977</c:v>
                </c:pt>
                <c:pt idx="68">
                  <c:v>1978</c:v>
                </c:pt>
                <c:pt idx="69">
                  <c:v>1979</c:v>
                </c:pt>
                <c:pt idx="70">
                  <c:v>1980</c:v>
                </c:pt>
                <c:pt idx="71">
                  <c:v>1981</c:v>
                </c:pt>
                <c:pt idx="72">
                  <c:v>1982</c:v>
                </c:pt>
                <c:pt idx="73">
                  <c:v>1983</c:v>
                </c:pt>
                <c:pt idx="74">
                  <c:v>1984</c:v>
                </c:pt>
                <c:pt idx="75">
                  <c:v>1985</c:v>
                </c:pt>
                <c:pt idx="76">
                  <c:v>1986</c:v>
                </c:pt>
                <c:pt idx="77">
                  <c:v>1987</c:v>
                </c:pt>
                <c:pt idx="78">
                  <c:v>1988</c:v>
                </c:pt>
                <c:pt idx="79">
                  <c:v>1989</c:v>
                </c:pt>
                <c:pt idx="80">
                  <c:v>1990</c:v>
                </c:pt>
                <c:pt idx="81">
                  <c:v>1991</c:v>
                </c:pt>
                <c:pt idx="82">
                  <c:v>1992</c:v>
                </c:pt>
                <c:pt idx="83">
                  <c:v>1993</c:v>
                </c:pt>
                <c:pt idx="84">
                  <c:v>1994</c:v>
                </c:pt>
                <c:pt idx="85">
                  <c:v>1995</c:v>
                </c:pt>
                <c:pt idx="86">
                  <c:v>1996</c:v>
                </c:pt>
                <c:pt idx="87">
                  <c:v>1997</c:v>
                </c:pt>
                <c:pt idx="88">
                  <c:v>1998</c:v>
                </c:pt>
                <c:pt idx="89">
                  <c:v>1999</c:v>
                </c:pt>
                <c:pt idx="90">
                  <c:v>2000</c:v>
                </c:pt>
                <c:pt idx="91">
                  <c:v>2001</c:v>
                </c:pt>
                <c:pt idx="92">
                  <c:v>2002</c:v>
                </c:pt>
                <c:pt idx="93">
                  <c:v>2003</c:v>
                </c:pt>
                <c:pt idx="94">
                  <c:v>2004</c:v>
                </c:pt>
                <c:pt idx="95">
                  <c:v>2005</c:v>
                </c:pt>
                <c:pt idx="96">
                  <c:v>2006</c:v>
                </c:pt>
                <c:pt idx="97">
                  <c:v>2007</c:v>
                </c:pt>
                <c:pt idx="98">
                  <c:v>2008</c:v>
                </c:pt>
                <c:pt idx="99">
                  <c:v>2009</c:v>
                </c:pt>
                <c:pt idx="100">
                  <c:v>2010</c:v>
                </c:pt>
                <c:pt idx="101">
                  <c:v>2011</c:v>
                </c:pt>
                <c:pt idx="102">
                  <c:v>2012</c:v>
                </c:pt>
                <c:pt idx="103">
                  <c:v>2013</c:v>
                </c:pt>
                <c:pt idx="104">
                  <c:v>2014</c:v>
                </c:pt>
                <c:pt idx="105">
                  <c:v>2015</c:v>
                </c:pt>
                <c:pt idx="106">
                  <c:v>2016</c:v>
                </c:pt>
                <c:pt idx="107">
                  <c:v>2017</c:v>
                </c:pt>
                <c:pt idx="108">
                  <c:v>2018</c:v>
                </c:pt>
                <c:pt idx="109">
                  <c:v>2019</c:v>
                </c:pt>
                <c:pt idx="110">
                  <c:v>2020</c:v>
                </c:pt>
                <c:pt idx="111">
                  <c:v>2021</c:v>
                </c:pt>
                <c:pt idx="112">
                  <c:v>2022</c:v>
                </c:pt>
                <c:pt idx="113">
                  <c:v>2023</c:v>
                </c:pt>
                <c:pt idx="114">
                  <c:v>2024</c:v>
                </c:pt>
                <c:pt idx="115">
                  <c:v>2025</c:v>
                </c:pt>
              </c:numCache>
            </c:numRef>
          </c:cat>
          <c:val>
            <c:numRef>
              <c:f>'estimating expected growth'!$L$18:$DW$18</c:f>
              <c:numCache>
                <c:formatCode>General</c:formatCode>
                <c:ptCount val="116"/>
                <c:pt idx="21">
                  <c:v>-0.10688448683389407</c:v>
                </c:pt>
                <c:pt idx="22">
                  <c:v>-0.1314835573806595</c:v>
                </c:pt>
                <c:pt idx="23">
                  <c:v>-9.8545844027027929E-2</c:v>
                </c:pt>
                <c:pt idx="24">
                  <c:v>-4.364971172203802E-2</c:v>
                </c:pt>
                <c:pt idx="25">
                  <c:v>-2.3217974400677299E-2</c:v>
                </c:pt>
                <c:pt idx="26">
                  <c:v>-1.2272009681542073E-3</c:v>
                </c:pt>
                <c:pt idx="27">
                  <c:v>9.9002983486395912E-3</c:v>
                </c:pt>
                <c:pt idx="28">
                  <c:v>-1.6452989520075395E-3</c:v>
                </c:pt>
                <c:pt idx="29">
                  <c:v>9.0754612097814664E-3</c:v>
                </c:pt>
                <c:pt idx="30">
                  <c:v>3.018455530698656E-2</c:v>
                </c:pt>
                <c:pt idx="31">
                  <c:v>6.2651154321975613E-2</c:v>
                </c:pt>
                <c:pt idx="32">
                  <c:v>9.1340949195418547E-2</c:v>
                </c:pt>
                <c:pt idx="33">
                  <c:v>9.9313333201693332E-2</c:v>
                </c:pt>
                <c:pt idx="34">
                  <c:v>7.9732035072464139E-2</c:v>
                </c:pt>
                <c:pt idx="35">
                  <c:v>6.1714597558465201E-2</c:v>
                </c:pt>
                <c:pt idx="36">
                  <c:v>4.6738306068030332E-2</c:v>
                </c:pt>
                <c:pt idx="37">
                  <c:v>4.6954923382730128E-2</c:v>
                </c:pt>
                <c:pt idx="38">
                  <c:v>6.4443245612665651E-2</c:v>
                </c:pt>
                <c:pt idx="39">
                  <c:v>5.2571604343528831E-2</c:v>
                </c:pt>
                <c:pt idx="40">
                  <c:v>5.1368126583887633E-2</c:v>
                </c:pt>
                <c:pt idx="41">
                  <c:v>3.8759244127468583E-2</c:v>
                </c:pt>
                <c:pt idx="42">
                  <c:v>3.0962035121112841E-2</c:v>
                </c:pt>
                <c:pt idx="43">
                  <c:v>2.8660864084523396E-2</c:v>
                </c:pt>
                <c:pt idx="44">
                  <c:v>2.8698878571471374E-2</c:v>
                </c:pt>
                <c:pt idx="45">
                  <c:v>5.0347845534370703E-2</c:v>
                </c:pt>
                <c:pt idx="46">
                  <c:v>5.732138912601261E-2</c:v>
                </c:pt>
                <c:pt idx="47">
                  <c:v>4.9870059721015103E-2</c:v>
                </c:pt>
                <c:pt idx="48">
                  <c:v>3.7582664558109616E-2</c:v>
                </c:pt>
                <c:pt idx="49">
                  <c:v>4.8683902053697638E-2</c:v>
                </c:pt>
                <c:pt idx="50">
                  <c:v>3.9948389043794739E-2</c:v>
                </c:pt>
                <c:pt idx="51">
                  <c:v>3.4781444533406078E-2</c:v>
                </c:pt>
                <c:pt idx="52">
                  <c:v>3.9241862963401354E-2</c:v>
                </c:pt>
                <c:pt idx="53">
                  <c:v>3.8527467719272221E-2</c:v>
                </c:pt>
                <c:pt idx="54">
                  <c:v>4.6748673525135051E-2</c:v>
                </c:pt>
                <c:pt idx="55">
                  <c:v>4.3134097013080464E-2</c:v>
                </c:pt>
                <c:pt idx="56">
                  <c:v>4.487225216456512E-2</c:v>
                </c:pt>
                <c:pt idx="57">
                  <c:v>4.6297801122648433E-2</c:v>
                </c:pt>
                <c:pt idx="58">
                  <c:v>5.6529528315231482E-2</c:v>
                </c:pt>
                <c:pt idx="59">
                  <c:v>5.0913066156432762E-2</c:v>
                </c:pt>
                <c:pt idx="60">
                  <c:v>4.7307912034104047E-2</c:v>
                </c:pt>
                <c:pt idx="61">
                  <c:v>4.8942628841369643E-2</c:v>
                </c:pt>
                <c:pt idx="62">
                  <c:v>4.8640528560335919E-2</c:v>
                </c:pt>
                <c:pt idx="63">
                  <c:v>4.9668506564464823E-2</c:v>
                </c:pt>
                <c:pt idx="64">
                  <c:v>4.1611332826007971E-2</c:v>
                </c:pt>
                <c:pt idx="65">
                  <c:v>3.3887064250953183E-2</c:v>
                </c:pt>
                <c:pt idx="66">
                  <c:v>3.3617760529761932E-2</c:v>
                </c:pt>
                <c:pt idx="67">
                  <c:v>3.6881186561755361E-2</c:v>
                </c:pt>
                <c:pt idx="68">
                  <c:v>3.7353993875606048E-2</c:v>
                </c:pt>
                <c:pt idx="69">
                  <c:v>3.528367674041899E-2</c:v>
                </c:pt>
                <c:pt idx="70">
                  <c:v>3.4509286495992518E-2</c:v>
                </c:pt>
                <c:pt idx="71">
                  <c:v>3.5232564833772705E-2</c:v>
                </c:pt>
                <c:pt idx="72">
                  <c:v>2.7065212675683979E-2</c:v>
                </c:pt>
                <c:pt idx="73">
                  <c:v>2.4233790911927677E-2</c:v>
                </c:pt>
                <c:pt idx="74">
                  <c:v>3.3711821399957917E-2</c:v>
                </c:pt>
                <c:pt idx="75">
                  <c:v>3.6720653809906703E-2</c:v>
                </c:pt>
                <c:pt idx="76">
                  <c:v>3.199685104248573E-2</c:v>
                </c:pt>
                <c:pt idx="77">
                  <c:v>2.9446884627870418E-2</c:v>
                </c:pt>
                <c:pt idx="78">
                  <c:v>2.7309713847163054E-2</c:v>
                </c:pt>
                <c:pt idx="79">
                  <c:v>2.6434114878643378E-2</c:v>
                </c:pt>
                <c:pt idx="80">
                  <c:v>2.8248470066760588E-2</c:v>
                </c:pt>
                <c:pt idx="81">
                  <c:v>2.3211482916194015E-2</c:v>
                </c:pt>
                <c:pt idx="82">
                  <c:v>2.6911224087325891E-2</c:v>
                </c:pt>
                <c:pt idx="83">
                  <c:v>2.5878700058695615E-2</c:v>
                </c:pt>
                <c:pt idx="84">
                  <c:v>2.3289875442829101E-2</c:v>
                </c:pt>
                <c:pt idx="85">
                  <c:v>2.4094544149984819E-2</c:v>
                </c:pt>
                <c:pt idx="86">
                  <c:v>2.6569884258367614E-2</c:v>
                </c:pt>
                <c:pt idx="87">
                  <c:v>2.8689183745294854E-2</c:v>
                </c:pt>
                <c:pt idx="88">
                  <c:v>2.9772129007159975E-2</c:v>
                </c:pt>
                <c:pt idx="89">
                  <c:v>3.2914389611068094E-2</c:v>
                </c:pt>
                <c:pt idx="90">
                  <c:v>3.7270161470012123E-2</c:v>
                </c:pt>
                <c:pt idx="91">
                  <c:v>3.5867347195755704E-2</c:v>
                </c:pt>
                <c:pt idx="92">
                  <c:v>3.3582438920787362E-2</c:v>
                </c:pt>
                <c:pt idx="93">
                  <c:v>3.2887007144323556E-2</c:v>
                </c:pt>
                <c:pt idx="94">
                  <c:v>3.1787017939238639E-2</c:v>
                </c:pt>
                <c:pt idx="95">
                  <c:v>3.2224081732203126E-2</c:v>
                </c:pt>
                <c:pt idx="96">
                  <c:v>3.2171305414673945E-2</c:v>
                </c:pt>
                <c:pt idx="97">
                  <c:v>2.5928919874258403E-2</c:v>
                </c:pt>
                <c:pt idx="98">
                  <c:v>1.6452764857600322E-2</c:v>
                </c:pt>
                <c:pt idx="99">
                  <c:v>8.7062432928819433E-3</c:v>
                </c:pt>
                <c:pt idx="100">
                  <c:v>7.7630305141806136E-3</c:v>
                </c:pt>
                <c:pt idx="101">
                  <c:v>1.2048535736152921E-2</c:v>
                </c:pt>
                <c:pt idx="102">
                  <c:v>1.6165029938694175E-2</c:v>
                </c:pt>
                <c:pt idx="103">
                  <c:v>1.6440027153936398E-2</c:v>
                </c:pt>
                <c:pt idx="104">
                  <c:v>1.7094905511245706E-2</c:v>
                </c:pt>
                <c:pt idx="105">
                  <c:v>1.678953442488389E-2</c:v>
                </c:pt>
                <c:pt idx="106">
                  <c:v>1.3386386855365728E-2</c:v>
                </c:pt>
                <c:pt idx="107">
                  <c:v>1.6205378829661932E-2</c:v>
                </c:pt>
                <c:pt idx="108">
                  <c:v>2.3995283366327235E-2</c:v>
                </c:pt>
                <c:pt idx="109">
                  <c:v>3.0398840513587367E-2</c:v>
                </c:pt>
                <c:pt idx="110">
                  <c:v>2.3891151235836183E-2</c:v>
                </c:pt>
                <c:pt idx="111">
                  <c:v>2.4232901478494599E-2</c:v>
                </c:pt>
                <c:pt idx="112">
                  <c:v>2.182862777674921E-2</c:v>
                </c:pt>
                <c:pt idx="113">
                  <c:v>2.2479653202765348E-2</c:v>
                </c:pt>
                <c:pt idx="114">
                  <c:v>1.8462386737717829E-2</c:v>
                </c:pt>
                <c:pt idx="115">
                  <c:v>1.3890965273039768E-2</c:v>
                </c:pt>
              </c:numCache>
            </c:numRef>
          </c:val>
          <c:smooth val="0"/>
          <c:extLst>
            <c:ext xmlns:c16="http://schemas.microsoft.com/office/drawing/2014/chart" uri="{C3380CC4-5D6E-409C-BE32-E72D297353CC}">
              <c16:uniqueId val="{00000001-B479-49F5-B96F-740073BF3153}"/>
            </c:ext>
          </c:extLst>
        </c:ser>
        <c:ser>
          <c:idx val="2"/>
          <c:order val="2"/>
          <c:tx>
            <c:strRef>
              <c:f>'estimating expected growth'!$K$19</c:f>
              <c:strCache>
                <c:ptCount val="1"/>
                <c:pt idx="0">
                  <c:v>eg IMA corrected</c:v>
                </c:pt>
              </c:strCache>
            </c:strRef>
          </c:tx>
          <c:spPr>
            <a:ln w="28575" cap="rnd">
              <a:solidFill>
                <a:schemeClr val="accent3"/>
              </a:solidFill>
              <a:round/>
            </a:ln>
            <a:effectLst/>
          </c:spPr>
          <c:marker>
            <c:symbol val="none"/>
          </c:marker>
          <c:cat>
            <c:numRef>
              <c:f>'estimating expected growth'!$L$16:$DW$16</c:f>
              <c:numCache>
                <c:formatCode>General</c:formatCode>
                <c:ptCount val="116"/>
                <c:pt idx="0">
                  <c:v>1910</c:v>
                </c:pt>
                <c:pt idx="1">
                  <c:v>1911</c:v>
                </c:pt>
                <c:pt idx="2">
                  <c:v>1912</c:v>
                </c:pt>
                <c:pt idx="3">
                  <c:v>1913</c:v>
                </c:pt>
                <c:pt idx="4">
                  <c:v>1914</c:v>
                </c:pt>
                <c:pt idx="5">
                  <c:v>1915</c:v>
                </c:pt>
                <c:pt idx="6">
                  <c:v>1916</c:v>
                </c:pt>
                <c:pt idx="7">
                  <c:v>1917</c:v>
                </c:pt>
                <c:pt idx="8">
                  <c:v>1918</c:v>
                </c:pt>
                <c:pt idx="9">
                  <c:v>1919</c:v>
                </c:pt>
                <c:pt idx="10">
                  <c:v>1920</c:v>
                </c:pt>
                <c:pt idx="11">
                  <c:v>1921</c:v>
                </c:pt>
                <c:pt idx="12">
                  <c:v>1922</c:v>
                </c:pt>
                <c:pt idx="13">
                  <c:v>1923</c:v>
                </c:pt>
                <c:pt idx="14">
                  <c:v>1924</c:v>
                </c:pt>
                <c:pt idx="15">
                  <c:v>1925</c:v>
                </c:pt>
                <c:pt idx="16">
                  <c:v>1926</c:v>
                </c:pt>
                <c:pt idx="17">
                  <c:v>1927</c:v>
                </c:pt>
                <c:pt idx="18">
                  <c:v>1928</c:v>
                </c:pt>
                <c:pt idx="19">
                  <c:v>1929</c:v>
                </c:pt>
                <c:pt idx="20">
                  <c:v>1930</c:v>
                </c:pt>
                <c:pt idx="21">
                  <c:v>1931</c:v>
                </c:pt>
                <c:pt idx="22">
                  <c:v>1932</c:v>
                </c:pt>
                <c:pt idx="23">
                  <c:v>1933</c:v>
                </c:pt>
                <c:pt idx="24">
                  <c:v>1934</c:v>
                </c:pt>
                <c:pt idx="25">
                  <c:v>1935</c:v>
                </c:pt>
                <c:pt idx="26">
                  <c:v>1936</c:v>
                </c:pt>
                <c:pt idx="27">
                  <c:v>1937</c:v>
                </c:pt>
                <c:pt idx="28">
                  <c:v>1938</c:v>
                </c:pt>
                <c:pt idx="29">
                  <c:v>1939</c:v>
                </c:pt>
                <c:pt idx="30">
                  <c:v>1940</c:v>
                </c:pt>
                <c:pt idx="31">
                  <c:v>1941</c:v>
                </c:pt>
                <c:pt idx="32">
                  <c:v>1942</c:v>
                </c:pt>
                <c:pt idx="33">
                  <c:v>1943</c:v>
                </c:pt>
                <c:pt idx="34">
                  <c:v>1944</c:v>
                </c:pt>
                <c:pt idx="35">
                  <c:v>1945</c:v>
                </c:pt>
                <c:pt idx="36">
                  <c:v>1946</c:v>
                </c:pt>
                <c:pt idx="37">
                  <c:v>1947</c:v>
                </c:pt>
                <c:pt idx="38">
                  <c:v>1948</c:v>
                </c:pt>
                <c:pt idx="39">
                  <c:v>1949</c:v>
                </c:pt>
                <c:pt idx="40">
                  <c:v>1950</c:v>
                </c:pt>
                <c:pt idx="41">
                  <c:v>1951</c:v>
                </c:pt>
                <c:pt idx="42">
                  <c:v>1952</c:v>
                </c:pt>
                <c:pt idx="43">
                  <c:v>1953</c:v>
                </c:pt>
                <c:pt idx="44">
                  <c:v>1954</c:v>
                </c:pt>
                <c:pt idx="45">
                  <c:v>1955</c:v>
                </c:pt>
                <c:pt idx="46">
                  <c:v>1956</c:v>
                </c:pt>
                <c:pt idx="47">
                  <c:v>1957</c:v>
                </c:pt>
                <c:pt idx="48">
                  <c:v>1958</c:v>
                </c:pt>
                <c:pt idx="49">
                  <c:v>1959</c:v>
                </c:pt>
                <c:pt idx="50">
                  <c:v>1960</c:v>
                </c:pt>
                <c:pt idx="51">
                  <c:v>1961</c:v>
                </c:pt>
                <c:pt idx="52">
                  <c:v>1962</c:v>
                </c:pt>
                <c:pt idx="53">
                  <c:v>1963</c:v>
                </c:pt>
                <c:pt idx="54">
                  <c:v>1964</c:v>
                </c:pt>
                <c:pt idx="55">
                  <c:v>1965</c:v>
                </c:pt>
                <c:pt idx="56">
                  <c:v>1966</c:v>
                </c:pt>
                <c:pt idx="57">
                  <c:v>1967</c:v>
                </c:pt>
                <c:pt idx="58">
                  <c:v>1968</c:v>
                </c:pt>
                <c:pt idx="59">
                  <c:v>1969</c:v>
                </c:pt>
                <c:pt idx="60">
                  <c:v>1970</c:v>
                </c:pt>
                <c:pt idx="61">
                  <c:v>1971</c:v>
                </c:pt>
                <c:pt idx="62">
                  <c:v>1972</c:v>
                </c:pt>
                <c:pt idx="63">
                  <c:v>1973</c:v>
                </c:pt>
                <c:pt idx="64">
                  <c:v>1974</c:v>
                </c:pt>
                <c:pt idx="65">
                  <c:v>1975</c:v>
                </c:pt>
                <c:pt idx="66">
                  <c:v>1976</c:v>
                </c:pt>
                <c:pt idx="67">
                  <c:v>1977</c:v>
                </c:pt>
                <c:pt idx="68">
                  <c:v>1978</c:v>
                </c:pt>
                <c:pt idx="69">
                  <c:v>1979</c:v>
                </c:pt>
                <c:pt idx="70">
                  <c:v>1980</c:v>
                </c:pt>
                <c:pt idx="71">
                  <c:v>1981</c:v>
                </c:pt>
                <c:pt idx="72">
                  <c:v>1982</c:v>
                </c:pt>
                <c:pt idx="73">
                  <c:v>1983</c:v>
                </c:pt>
                <c:pt idx="74">
                  <c:v>1984</c:v>
                </c:pt>
                <c:pt idx="75">
                  <c:v>1985</c:v>
                </c:pt>
                <c:pt idx="76">
                  <c:v>1986</c:v>
                </c:pt>
                <c:pt idx="77">
                  <c:v>1987</c:v>
                </c:pt>
                <c:pt idx="78">
                  <c:v>1988</c:v>
                </c:pt>
                <c:pt idx="79">
                  <c:v>1989</c:v>
                </c:pt>
                <c:pt idx="80">
                  <c:v>1990</c:v>
                </c:pt>
                <c:pt idx="81">
                  <c:v>1991</c:v>
                </c:pt>
                <c:pt idx="82">
                  <c:v>1992</c:v>
                </c:pt>
                <c:pt idx="83">
                  <c:v>1993</c:v>
                </c:pt>
                <c:pt idx="84">
                  <c:v>1994</c:v>
                </c:pt>
                <c:pt idx="85">
                  <c:v>1995</c:v>
                </c:pt>
                <c:pt idx="86">
                  <c:v>1996</c:v>
                </c:pt>
                <c:pt idx="87">
                  <c:v>1997</c:v>
                </c:pt>
                <c:pt idx="88">
                  <c:v>1998</c:v>
                </c:pt>
                <c:pt idx="89">
                  <c:v>1999</c:v>
                </c:pt>
                <c:pt idx="90">
                  <c:v>2000</c:v>
                </c:pt>
                <c:pt idx="91">
                  <c:v>2001</c:v>
                </c:pt>
                <c:pt idx="92">
                  <c:v>2002</c:v>
                </c:pt>
                <c:pt idx="93">
                  <c:v>2003</c:v>
                </c:pt>
                <c:pt idx="94">
                  <c:v>2004</c:v>
                </c:pt>
                <c:pt idx="95">
                  <c:v>2005</c:v>
                </c:pt>
                <c:pt idx="96">
                  <c:v>2006</c:v>
                </c:pt>
                <c:pt idx="97">
                  <c:v>2007</c:v>
                </c:pt>
                <c:pt idx="98">
                  <c:v>2008</c:v>
                </c:pt>
                <c:pt idx="99">
                  <c:v>2009</c:v>
                </c:pt>
                <c:pt idx="100">
                  <c:v>2010</c:v>
                </c:pt>
                <c:pt idx="101">
                  <c:v>2011</c:v>
                </c:pt>
                <c:pt idx="102">
                  <c:v>2012</c:v>
                </c:pt>
                <c:pt idx="103">
                  <c:v>2013</c:v>
                </c:pt>
                <c:pt idx="104">
                  <c:v>2014</c:v>
                </c:pt>
                <c:pt idx="105">
                  <c:v>2015</c:v>
                </c:pt>
                <c:pt idx="106">
                  <c:v>2016</c:v>
                </c:pt>
                <c:pt idx="107">
                  <c:v>2017</c:v>
                </c:pt>
                <c:pt idx="108">
                  <c:v>2018</c:v>
                </c:pt>
                <c:pt idx="109">
                  <c:v>2019</c:v>
                </c:pt>
                <c:pt idx="110">
                  <c:v>2020</c:v>
                </c:pt>
                <c:pt idx="111">
                  <c:v>2021</c:v>
                </c:pt>
                <c:pt idx="112">
                  <c:v>2022</c:v>
                </c:pt>
                <c:pt idx="113">
                  <c:v>2023</c:v>
                </c:pt>
                <c:pt idx="114">
                  <c:v>2024</c:v>
                </c:pt>
                <c:pt idx="115">
                  <c:v>2025</c:v>
                </c:pt>
              </c:numCache>
            </c:numRef>
          </c:cat>
          <c:val>
            <c:numRef>
              <c:f>'estimating expected growth'!$L$19:$DW$19</c:f>
              <c:numCache>
                <c:formatCode>General</c:formatCode>
                <c:ptCount val="116"/>
                <c:pt idx="0">
                  <c:v>3.6452747463780556E-2</c:v>
                </c:pt>
                <c:pt idx="1">
                  <c:v>3.2202659963804073E-2</c:v>
                </c:pt>
                <c:pt idx="2">
                  <c:v>3.1314973858922832E-2</c:v>
                </c:pt>
                <c:pt idx="3">
                  <c:v>2.9610892635085827E-2</c:v>
                </c:pt>
                <c:pt idx="4">
                  <c:v>2.3470729362718323E-2</c:v>
                </c:pt>
                <c:pt idx="5">
                  <c:v>1.5959561343969787E-2</c:v>
                </c:pt>
                <c:pt idx="6">
                  <c:v>2.7638640652852663E-2</c:v>
                </c:pt>
                <c:pt idx="7">
                  <c:v>2.5875592815366978E-2</c:v>
                </c:pt>
                <c:pt idx="8">
                  <c:v>4.3127314305439327E-2</c:v>
                </c:pt>
                <c:pt idx="9">
                  <c:v>2.4216157388198333E-2</c:v>
                </c:pt>
                <c:pt idx="10">
                  <c:v>2.2640860460124656E-2</c:v>
                </c:pt>
                <c:pt idx="11">
                  <c:v>1.2708584843227655E-2</c:v>
                </c:pt>
                <c:pt idx="12">
                  <c:v>1.2934820613304731E-2</c:v>
                </c:pt>
                <c:pt idx="13">
                  <c:v>2.338362503619671E-2</c:v>
                </c:pt>
                <c:pt idx="14">
                  <c:v>3.320687822426991E-2</c:v>
                </c:pt>
                <c:pt idx="15">
                  <c:v>3.0132432417286248E-2</c:v>
                </c:pt>
                <c:pt idx="16">
                  <c:v>1.846311979921882E-2</c:v>
                </c:pt>
                <c:pt idx="17">
                  <c:v>1.6319838465290282E-2</c:v>
                </c:pt>
                <c:pt idx="18">
                  <c:v>1.2552499634968073E-2</c:v>
                </c:pt>
                <c:pt idx="19">
                  <c:v>2.9076440650094314E-2</c:v>
                </c:pt>
                <c:pt idx="20">
                  <c:v>2.124531493506383E-2</c:v>
                </c:pt>
                <c:pt idx="21">
                  <c:v>2.0407642048273545E-2</c:v>
                </c:pt>
                <c:pt idx="22">
                  <c:v>-1.562615203661788E-3</c:v>
                </c:pt>
                <c:pt idx="23">
                  <c:v>-1.3723243070743218E-2</c:v>
                </c:pt>
                <c:pt idx="24">
                  <c:v>-2.9375197529731834E-3</c:v>
                </c:pt>
                <c:pt idx="25">
                  <c:v>3.6340166470239634E-3</c:v>
                </c:pt>
                <c:pt idx="26">
                  <c:v>9.8531733034274531E-3</c:v>
                </c:pt>
                <c:pt idx="27">
                  <c:v>1.5268313568066105E-2</c:v>
                </c:pt>
                <c:pt idx="28">
                  <c:v>7.477470827680288E-3</c:v>
                </c:pt>
                <c:pt idx="29">
                  <c:v>9.4754222734937613E-3</c:v>
                </c:pt>
                <c:pt idx="30">
                  <c:v>2.8657311747966818E-2</c:v>
                </c:pt>
                <c:pt idx="31">
                  <c:v>5.4678232822646347E-2</c:v>
                </c:pt>
                <c:pt idx="32">
                  <c:v>8.5158332282672708E-2</c:v>
                </c:pt>
                <c:pt idx="33">
                  <c:v>9.9313333201693332E-2</c:v>
                </c:pt>
                <c:pt idx="34">
                  <c:v>7.9732035072464139E-2</c:v>
                </c:pt>
                <c:pt idx="35">
                  <c:v>6.1714597558465201E-2</c:v>
                </c:pt>
                <c:pt idx="36">
                  <c:v>4.6738306068030332E-2</c:v>
                </c:pt>
                <c:pt idx="37">
                  <c:v>4.6954923382730128E-2</c:v>
                </c:pt>
                <c:pt idx="38">
                  <c:v>6.4443245612665651E-2</c:v>
                </c:pt>
                <c:pt idx="39">
                  <c:v>5.2571604343528831E-2</c:v>
                </c:pt>
                <c:pt idx="40">
                  <c:v>5.1368126583887633E-2</c:v>
                </c:pt>
                <c:pt idx="41">
                  <c:v>3.8759244127468583E-2</c:v>
                </c:pt>
                <c:pt idx="42">
                  <c:v>3.0962035121112841E-2</c:v>
                </c:pt>
                <c:pt idx="43">
                  <c:v>2.8660864084523396E-2</c:v>
                </c:pt>
                <c:pt idx="44">
                  <c:v>2.8698878571471374E-2</c:v>
                </c:pt>
                <c:pt idx="45">
                  <c:v>5.0347845534370703E-2</c:v>
                </c:pt>
                <c:pt idx="46">
                  <c:v>5.732138912601261E-2</c:v>
                </c:pt>
                <c:pt idx="47">
                  <c:v>4.9870059721015103E-2</c:v>
                </c:pt>
                <c:pt idx="48">
                  <c:v>3.7582664558109616E-2</c:v>
                </c:pt>
                <c:pt idx="49">
                  <c:v>4.8683902053697638E-2</c:v>
                </c:pt>
                <c:pt idx="50">
                  <c:v>3.9948389043794739E-2</c:v>
                </c:pt>
                <c:pt idx="51">
                  <c:v>3.4781444533406078E-2</c:v>
                </c:pt>
                <c:pt idx="52">
                  <c:v>3.9241862963401354E-2</c:v>
                </c:pt>
                <c:pt idx="53">
                  <c:v>3.8527467719272221E-2</c:v>
                </c:pt>
                <c:pt idx="54">
                  <c:v>4.6748673525135051E-2</c:v>
                </c:pt>
                <c:pt idx="55">
                  <c:v>4.3134097013080464E-2</c:v>
                </c:pt>
                <c:pt idx="56">
                  <c:v>4.487225216456512E-2</c:v>
                </c:pt>
                <c:pt idx="57">
                  <c:v>4.6297801122648433E-2</c:v>
                </c:pt>
                <c:pt idx="58">
                  <c:v>5.6529528315231482E-2</c:v>
                </c:pt>
                <c:pt idx="59">
                  <c:v>5.0913066156432762E-2</c:v>
                </c:pt>
                <c:pt idx="60">
                  <c:v>4.7307912034104047E-2</c:v>
                </c:pt>
                <c:pt idx="61">
                  <c:v>4.8942628841369643E-2</c:v>
                </c:pt>
                <c:pt idx="62">
                  <c:v>4.8640528560335919E-2</c:v>
                </c:pt>
                <c:pt idx="63">
                  <c:v>4.9668506564464823E-2</c:v>
                </c:pt>
                <c:pt idx="64">
                  <c:v>4.1611332826007971E-2</c:v>
                </c:pt>
                <c:pt idx="65">
                  <c:v>3.3887064250953183E-2</c:v>
                </c:pt>
                <c:pt idx="66">
                  <c:v>3.3617760529761932E-2</c:v>
                </c:pt>
                <c:pt idx="67">
                  <c:v>3.6881186561755361E-2</c:v>
                </c:pt>
                <c:pt idx="68">
                  <c:v>3.7353993875606048E-2</c:v>
                </c:pt>
                <c:pt idx="69">
                  <c:v>3.528367674041899E-2</c:v>
                </c:pt>
                <c:pt idx="70">
                  <c:v>3.4509286495992518E-2</c:v>
                </c:pt>
                <c:pt idx="71">
                  <c:v>3.5232564833772705E-2</c:v>
                </c:pt>
                <c:pt idx="72">
                  <c:v>2.7065212675683979E-2</c:v>
                </c:pt>
                <c:pt idx="73">
                  <c:v>2.4233790911927677E-2</c:v>
                </c:pt>
                <c:pt idx="74">
                  <c:v>3.3711821399957917E-2</c:v>
                </c:pt>
                <c:pt idx="75">
                  <c:v>3.6720653809906703E-2</c:v>
                </c:pt>
                <c:pt idx="76">
                  <c:v>3.199685104248573E-2</c:v>
                </c:pt>
                <c:pt idx="77">
                  <c:v>2.9446884627870418E-2</c:v>
                </c:pt>
                <c:pt idx="78">
                  <c:v>2.7309713847163054E-2</c:v>
                </c:pt>
                <c:pt idx="79">
                  <c:v>2.6434114878643378E-2</c:v>
                </c:pt>
                <c:pt idx="80">
                  <c:v>2.8248470066760588E-2</c:v>
                </c:pt>
                <c:pt idx="81">
                  <c:v>2.3211482916194015E-2</c:v>
                </c:pt>
                <c:pt idx="82">
                  <c:v>2.6911224087325891E-2</c:v>
                </c:pt>
                <c:pt idx="83">
                  <c:v>2.5878700058695615E-2</c:v>
                </c:pt>
                <c:pt idx="84">
                  <c:v>2.3289875442829101E-2</c:v>
                </c:pt>
                <c:pt idx="85">
                  <c:v>2.4094544149984819E-2</c:v>
                </c:pt>
                <c:pt idx="86">
                  <c:v>2.6569884258367614E-2</c:v>
                </c:pt>
                <c:pt idx="87">
                  <c:v>2.8689183745294854E-2</c:v>
                </c:pt>
                <c:pt idx="88">
                  <c:v>2.9772129007159975E-2</c:v>
                </c:pt>
                <c:pt idx="89">
                  <c:v>3.2914389611068094E-2</c:v>
                </c:pt>
                <c:pt idx="90">
                  <c:v>3.7270161470012123E-2</c:v>
                </c:pt>
                <c:pt idx="91">
                  <c:v>3.5867347195755704E-2</c:v>
                </c:pt>
                <c:pt idx="92">
                  <c:v>3.3582438920787362E-2</c:v>
                </c:pt>
                <c:pt idx="93">
                  <c:v>3.2887007144323556E-2</c:v>
                </c:pt>
                <c:pt idx="94">
                  <c:v>3.1787017939238639E-2</c:v>
                </c:pt>
                <c:pt idx="95">
                  <c:v>3.2224081732203126E-2</c:v>
                </c:pt>
                <c:pt idx="96">
                  <c:v>3.2171305414673945E-2</c:v>
                </c:pt>
                <c:pt idx="97">
                  <c:v>2.5928919874258403E-2</c:v>
                </c:pt>
                <c:pt idx="98">
                  <c:v>1.6452764857600322E-2</c:v>
                </c:pt>
                <c:pt idx="99">
                  <c:v>8.7062432928819433E-3</c:v>
                </c:pt>
                <c:pt idx="100">
                  <c:v>7.7630305141806136E-3</c:v>
                </c:pt>
                <c:pt idx="101">
                  <c:v>1.2048535736152921E-2</c:v>
                </c:pt>
                <c:pt idx="102">
                  <c:v>1.6165029938694175E-2</c:v>
                </c:pt>
                <c:pt idx="103">
                  <c:v>1.6440027153936398E-2</c:v>
                </c:pt>
                <c:pt idx="104">
                  <c:v>1.7094905511245706E-2</c:v>
                </c:pt>
                <c:pt idx="105">
                  <c:v>1.678953442488389E-2</c:v>
                </c:pt>
                <c:pt idx="106">
                  <c:v>1.3386386855365728E-2</c:v>
                </c:pt>
                <c:pt idx="107">
                  <c:v>1.6205378829661932E-2</c:v>
                </c:pt>
                <c:pt idx="108">
                  <c:v>2.3995283366327235E-2</c:v>
                </c:pt>
                <c:pt idx="109">
                  <c:v>3.0398840513587367E-2</c:v>
                </c:pt>
                <c:pt idx="110">
                  <c:v>2.3891151235836183E-2</c:v>
                </c:pt>
                <c:pt idx="111">
                  <c:v>2.4232901478494599E-2</c:v>
                </c:pt>
                <c:pt idx="112">
                  <c:v>2.182862777674921E-2</c:v>
                </c:pt>
                <c:pt idx="113">
                  <c:v>2.2479653202765348E-2</c:v>
                </c:pt>
                <c:pt idx="114">
                  <c:v>1.8462386737717829E-2</c:v>
                </c:pt>
                <c:pt idx="115">
                  <c:v>1.3890965273039768E-2</c:v>
                </c:pt>
              </c:numCache>
            </c:numRef>
          </c:val>
          <c:smooth val="0"/>
          <c:extLst>
            <c:ext xmlns:c16="http://schemas.microsoft.com/office/drawing/2014/chart" uri="{C3380CC4-5D6E-409C-BE32-E72D297353CC}">
              <c16:uniqueId val="{00000002-B479-49F5-B96F-740073BF3153}"/>
            </c:ext>
          </c:extLst>
        </c:ser>
        <c:dLbls>
          <c:showLegendKey val="0"/>
          <c:showVal val="0"/>
          <c:showCatName val="0"/>
          <c:showSerName val="0"/>
          <c:showPercent val="0"/>
          <c:showBubbleSize val="0"/>
        </c:dLbls>
        <c:smooth val="0"/>
        <c:axId val="842239216"/>
        <c:axId val="842248784"/>
      </c:lineChart>
      <c:catAx>
        <c:axId val="84223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248784"/>
        <c:crosses val="autoZero"/>
        <c:auto val="1"/>
        <c:lblAlgn val="ctr"/>
        <c:lblOffset val="100"/>
        <c:noMultiLvlLbl val="0"/>
      </c:catAx>
      <c:valAx>
        <c:axId val="84224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239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CRSP</a:t>
            </a:r>
            <a:r>
              <a:rPr lang="en-US" baseline="0"/>
              <a:t> total value and EV  over GVA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'CRSP-EV'!$F$9</c:f>
              <c:strCache>
                <c:ptCount val="1"/>
                <c:pt idx="0">
                  <c:v>CRSP</c:v>
                </c:pt>
              </c:strCache>
            </c:strRef>
          </c:tx>
          <c:spPr>
            <a:ln w="28575" cap="rnd">
              <a:solidFill>
                <a:schemeClr val="accent1"/>
              </a:solidFill>
              <a:round/>
            </a:ln>
            <a:effectLst/>
          </c:spPr>
          <c:marker>
            <c:symbol val="none"/>
          </c:marker>
          <c:cat>
            <c:numRef>
              <c:f>'CRSP-EV'!$G$8:$CX$8</c:f>
              <c:numCache>
                <c:formatCode>General</c:formatCode>
                <c:ptCount val="96"/>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pt idx="88">
                  <c:v>2017</c:v>
                </c:pt>
                <c:pt idx="89">
                  <c:v>2018</c:v>
                </c:pt>
                <c:pt idx="90">
                  <c:v>2019</c:v>
                </c:pt>
                <c:pt idx="91">
                  <c:v>2020</c:v>
                </c:pt>
                <c:pt idx="92">
                  <c:v>2021</c:v>
                </c:pt>
                <c:pt idx="93">
                  <c:v>2022</c:v>
                </c:pt>
                <c:pt idx="94">
                  <c:v>2023</c:v>
                </c:pt>
                <c:pt idx="95">
                  <c:v>2024</c:v>
                </c:pt>
              </c:numCache>
            </c:numRef>
          </c:cat>
          <c:val>
            <c:numRef>
              <c:f>'CRSP-EV'!$G$9:$CX$9</c:f>
              <c:numCache>
                <c:formatCode>General</c:formatCode>
                <c:ptCount val="96"/>
                <c:pt idx="0">
                  <c:v>1.0300955497573259</c:v>
                </c:pt>
                <c:pt idx="1">
                  <c:v>0.86433332433890986</c:v>
                </c:pt>
                <c:pt idx="2">
                  <c:v>0.56926248744913599</c:v>
                </c:pt>
                <c:pt idx="3">
                  <c:v>0.65824278381967616</c:v>
                </c:pt>
                <c:pt idx="4">
                  <c:v>1.0334779059383836</c:v>
                </c:pt>
                <c:pt idx="5">
                  <c:v>0.83920088358208966</c:v>
                </c:pt>
                <c:pt idx="6">
                  <c:v>1.0655690688346302</c:v>
                </c:pt>
                <c:pt idx="7">
                  <c:v>1.2079889687295198</c:v>
                </c:pt>
                <c:pt idx="8">
                  <c:v>0.67516285607894244</c:v>
                </c:pt>
                <c:pt idx="9">
                  <c:v>0.94195228837209299</c:v>
                </c:pt>
                <c:pt idx="10">
                  <c:v>0.8331382245419775</c:v>
                </c:pt>
                <c:pt idx="11">
                  <c:v>0.6436211015617781</c:v>
                </c:pt>
                <c:pt idx="12">
                  <c:v>0.42160405260524625</c:v>
                </c:pt>
                <c:pt idx="13">
                  <c:v>0.36843900866503576</c:v>
                </c:pt>
                <c:pt idx="14">
                  <c:v>0.38430945768346181</c:v>
                </c:pt>
                <c:pt idx="15">
                  <c:v>0.43682349859228459</c:v>
                </c:pt>
                <c:pt idx="16">
                  <c:v>0.63806768530365698</c:v>
                </c:pt>
                <c:pt idx="17">
                  <c:v>0.56408728723052348</c:v>
                </c:pt>
                <c:pt idx="18">
                  <c:v>0.46967805228112286</c:v>
                </c:pt>
                <c:pt idx="19">
                  <c:v>0.39915144971690303</c:v>
                </c:pt>
                <c:pt idx="20">
                  <c:v>0.47086744277104231</c:v>
                </c:pt>
                <c:pt idx="21">
                  <c:v>0.52329825863281398</c:v>
                </c:pt>
                <c:pt idx="22">
                  <c:v>0.54214224585690374</c:v>
                </c:pt>
                <c:pt idx="23">
                  <c:v>0.57011521481641003</c:v>
                </c:pt>
                <c:pt idx="24">
                  <c:v>0.5176600217989904</c:v>
                </c:pt>
                <c:pt idx="25">
                  <c:v>0.77158724288787373</c:v>
                </c:pt>
                <c:pt idx="26">
                  <c:v>0.84622669716070731</c:v>
                </c:pt>
                <c:pt idx="27">
                  <c:v>0.84532179577929478</c:v>
                </c:pt>
                <c:pt idx="28">
                  <c:v>0.71754595449837766</c:v>
                </c:pt>
                <c:pt idx="29">
                  <c:v>1.0427280896776479</c:v>
                </c:pt>
                <c:pt idx="30">
                  <c:v>1.0402701516110853</c:v>
                </c:pt>
                <c:pt idx="31">
                  <c:v>0.99848227118271038</c:v>
                </c:pt>
                <c:pt idx="32">
                  <c:v>1.2245847458450616</c:v>
                </c:pt>
                <c:pt idx="33">
                  <c:v>1.0718641762166989</c:v>
                </c:pt>
                <c:pt idx="34">
                  <c:v>1.188198076460284</c:v>
                </c:pt>
                <c:pt idx="35">
                  <c:v>1.2698347332259017</c:v>
                </c:pt>
                <c:pt idx="36">
                  <c:v>1.3042382621048334</c:v>
                </c:pt>
                <c:pt idx="37">
                  <c:v>1.0656172396740415</c:v>
                </c:pt>
                <c:pt idx="38">
                  <c:v>1.2798636669028365</c:v>
                </c:pt>
                <c:pt idx="39">
                  <c:v>1.3250535074920082</c:v>
                </c:pt>
                <c:pt idx="40">
                  <c:v>1.0853536001679498</c:v>
                </c:pt>
                <c:pt idx="41">
                  <c:v>1.0454915907973346</c:v>
                </c:pt>
                <c:pt idx="42">
                  <c:v>1.1311480810140986</c:v>
                </c:pt>
                <c:pt idx="43">
                  <c:v>1.3803812924511052</c:v>
                </c:pt>
                <c:pt idx="44">
                  <c:v>0.97365260031601741</c:v>
                </c:pt>
                <c:pt idx="45">
                  <c:v>0.62152840051305169</c:v>
                </c:pt>
                <c:pt idx="46">
                  <c:v>0.7703655106701397</c:v>
                </c:pt>
                <c:pt idx="47">
                  <c:v>0.84773139993451718</c:v>
                </c:pt>
                <c:pt idx="48">
                  <c:v>0.70257084474965503</c:v>
                </c:pt>
                <c:pt idx="49">
                  <c:v>0.63880600615542082</c:v>
                </c:pt>
                <c:pt idx="50">
                  <c:v>0.68285825148383839</c:v>
                </c:pt>
                <c:pt idx="51">
                  <c:v>0.81375628017464952</c:v>
                </c:pt>
                <c:pt idx="52">
                  <c:v>0.66573637946804609</c:v>
                </c:pt>
                <c:pt idx="53">
                  <c:v>0.73088648619192342</c:v>
                </c:pt>
                <c:pt idx="54">
                  <c:v>0.84200350847474792</c:v>
                </c:pt>
                <c:pt idx="55">
                  <c:v>0.72448563461869397</c:v>
                </c:pt>
                <c:pt idx="56">
                  <c:v>0.84733834378950856</c:v>
                </c:pt>
                <c:pt idx="57">
                  <c:v>0.91556070847489179</c:v>
                </c:pt>
                <c:pt idx="58">
                  <c:v>0.85731653433538291</c:v>
                </c:pt>
                <c:pt idx="59">
                  <c:v>0.86462962886355832</c:v>
                </c:pt>
                <c:pt idx="60">
                  <c:v>0.99566073429881263</c:v>
                </c:pt>
                <c:pt idx="61">
                  <c:v>0.85936138850154364</c:v>
                </c:pt>
                <c:pt idx="62">
                  <c:v>1.1248496510391743</c:v>
                </c:pt>
                <c:pt idx="63">
                  <c:v>1.1752119635578038</c:v>
                </c:pt>
                <c:pt idx="64">
                  <c:v>1.2906089802067591</c:v>
                </c:pt>
                <c:pt idx="65">
                  <c:v>1.1883549073237238</c:v>
                </c:pt>
                <c:pt idx="66">
                  <c:v>1.5170347894342537</c:v>
                </c:pt>
                <c:pt idx="67">
                  <c:v>1.7417103939977423</c:v>
                </c:pt>
                <c:pt idx="68">
                  <c:v>2.0992954906658445</c:v>
                </c:pt>
                <c:pt idx="69">
                  <c:v>2.4294695755515718</c:v>
                </c:pt>
                <c:pt idx="70">
                  <c:v>2.9336127283046491</c:v>
                </c:pt>
                <c:pt idx="71">
                  <c:v>2.5139192978335605</c:v>
                </c:pt>
                <c:pt idx="72">
                  <c:v>2.2326146500342681</c:v>
                </c:pt>
                <c:pt idx="73">
                  <c:v>1.7511994843249388</c:v>
                </c:pt>
                <c:pt idx="74">
                  <c:v>2.2348063969838847</c:v>
                </c:pt>
                <c:pt idx="75">
                  <c:v>2.364221420435149</c:v>
                </c:pt>
                <c:pt idx="76">
                  <c:v>2.321308600317443</c:v>
                </c:pt>
                <c:pt idx="77">
                  <c:v>2.4356993796233701</c:v>
                </c:pt>
                <c:pt idx="78">
                  <c:v>2.4237559057173224</c:v>
                </c:pt>
                <c:pt idx="79">
                  <c:v>1.4452221466389306</c:v>
                </c:pt>
                <c:pt idx="80">
                  <c:v>1.9278943711905985</c:v>
                </c:pt>
                <c:pt idx="81">
                  <c:v>2.1316033814285604</c:v>
                </c:pt>
                <c:pt idx="82">
                  <c:v>1.9602172045444846</c:v>
                </c:pt>
                <c:pt idx="83">
                  <c:v>2.0824081637725076</c:v>
                </c:pt>
                <c:pt idx="84">
                  <c:v>2.6155392108293793</c:v>
                </c:pt>
                <c:pt idx="85">
                  <c:v>2.7015346221653842</c:v>
                </c:pt>
                <c:pt idx="86">
                  <c:v>2.4514005129312948</c:v>
                </c:pt>
                <c:pt idx="87">
                  <c:v>2.606701518777311</c:v>
                </c:pt>
                <c:pt idx="88">
                  <c:v>2.9585806789240672</c:v>
                </c:pt>
                <c:pt idx="89">
                  <c:v>2.5348520970344297</c:v>
                </c:pt>
                <c:pt idx="90">
                  <c:v>3.0617335125013825</c:v>
                </c:pt>
                <c:pt idx="91">
                  <c:v>3.7803129233309316</c:v>
                </c:pt>
                <c:pt idx="92">
                  <c:v>4.1783524005336483</c:v>
                </c:pt>
                <c:pt idx="93">
                  <c:v>2.925221949959139</c:v>
                </c:pt>
                <c:pt idx="94">
                  <c:v>3.3863477500333623</c:v>
                </c:pt>
                <c:pt idx="95">
                  <c:v>3.9072985863694165</c:v>
                </c:pt>
              </c:numCache>
            </c:numRef>
          </c:val>
          <c:smooth val="0"/>
          <c:extLst>
            <c:ext xmlns:c16="http://schemas.microsoft.com/office/drawing/2014/chart" uri="{C3380CC4-5D6E-409C-BE32-E72D297353CC}">
              <c16:uniqueId val="{00000000-B1E7-49F4-987E-3E697ACF5397}"/>
            </c:ext>
          </c:extLst>
        </c:ser>
        <c:dLbls>
          <c:showLegendKey val="0"/>
          <c:showVal val="0"/>
          <c:showCatName val="0"/>
          <c:showSerName val="0"/>
          <c:showPercent val="0"/>
          <c:showBubbleSize val="0"/>
        </c:dLbls>
        <c:marker val="1"/>
        <c:smooth val="0"/>
        <c:axId val="842221328"/>
        <c:axId val="842210928"/>
      </c:lineChart>
      <c:lineChart>
        <c:grouping val="standard"/>
        <c:varyColors val="0"/>
        <c:ser>
          <c:idx val="1"/>
          <c:order val="1"/>
          <c:tx>
            <c:strRef>
              <c:f>'CRSP-EV'!$F$10</c:f>
              <c:strCache>
                <c:ptCount val="1"/>
                <c:pt idx="0">
                  <c:v>EV</c:v>
                </c:pt>
              </c:strCache>
            </c:strRef>
          </c:tx>
          <c:spPr>
            <a:ln w="28575" cap="rnd">
              <a:solidFill>
                <a:schemeClr val="accent2"/>
              </a:solidFill>
              <a:round/>
            </a:ln>
            <a:effectLst/>
          </c:spPr>
          <c:marker>
            <c:symbol val="none"/>
          </c:marker>
          <c:cat>
            <c:numRef>
              <c:f>'CRSP-EV'!$G$8:$CX$8</c:f>
              <c:numCache>
                <c:formatCode>General</c:formatCode>
                <c:ptCount val="96"/>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pt idx="88">
                  <c:v>2017</c:v>
                </c:pt>
                <c:pt idx="89">
                  <c:v>2018</c:v>
                </c:pt>
                <c:pt idx="90">
                  <c:v>2019</c:v>
                </c:pt>
                <c:pt idx="91">
                  <c:v>2020</c:v>
                </c:pt>
                <c:pt idx="92">
                  <c:v>2021</c:v>
                </c:pt>
                <c:pt idx="93">
                  <c:v>2022</c:v>
                </c:pt>
                <c:pt idx="94">
                  <c:v>2023</c:v>
                </c:pt>
                <c:pt idx="95">
                  <c:v>2024</c:v>
                </c:pt>
              </c:numCache>
            </c:numRef>
          </c:cat>
          <c:val>
            <c:numRef>
              <c:f>'CRSP-EV'!$G$10:$CX$10</c:f>
              <c:numCache>
                <c:formatCode>General</c:formatCode>
                <c:ptCount val="96"/>
                <c:pt idx="0">
                  <c:v>2.9967436136917391</c:v>
                </c:pt>
                <c:pt idx="1">
                  <c:v>2.7452333521157479</c:v>
                </c:pt>
                <c:pt idx="2">
                  <c:v>2.2560803859458463</c:v>
                </c:pt>
                <c:pt idx="3">
                  <c:v>2.6361700529876204</c:v>
                </c:pt>
                <c:pt idx="4">
                  <c:v>3.5890578329744569</c:v>
                </c:pt>
                <c:pt idx="5">
                  <c:v>2.5124607676065547</c:v>
                </c:pt>
                <c:pt idx="6">
                  <c:v>2.9939798746246704</c:v>
                </c:pt>
                <c:pt idx="7">
                  <c:v>3.3160020936731969</c:v>
                </c:pt>
                <c:pt idx="8">
                  <c:v>2.0697393215650197</c:v>
                </c:pt>
                <c:pt idx="9">
                  <c:v>2.7942515193035482</c:v>
                </c:pt>
                <c:pt idx="10">
                  <c:v>2.5325057759292009</c:v>
                </c:pt>
                <c:pt idx="11">
                  <c:v>2.0359141607945399</c:v>
                </c:pt>
                <c:pt idx="12">
                  <c:v>1.4118555358726854</c:v>
                </c:pt>
                <c:pt idx="13">
                  <c:v>1.2574873970451583</c:v>
                </c:pt>
                <c:pt idx="14">
                  <c:v>1.2287893042594231</c:v>
                </c:pt>
                <c:pt idx="15">
                  <c:v>1.3143889760783836</c:v>
                </c:pt>
                <c:pt idx="16">
                  <c:v>1.5108757104174726</c:v>
                </c:pt>
                <c:pt idx="17">
                  <c:v>1.5011388660485601</c:v>
                </c:pt>
                <c:pt idx="18">
                  <c:v>1.2699387465392971</c:v>
                </c:pt>
                <c:pt idx="19">
                  <c:v>1.1311283487262345</c:v>
                </c:pt>
                <c:pt idx="20">
                  <c:v>1.1952496818671254</c:v>
                </c:pt>
                <c:pt idx="21">
                  <c:v>1.2294989945347101</c:v>
                </c:pt>
                <c:pt idx="22">
                  <c:v>1.326323664763094</c:v>
                </c:pt>
                <c:pt idx="23">
                  <c:v>1.2320550487881166</c:v>
                </c:pt>
                <c:pt idx="24">
                  <c:v>1.1298808704298609</c:v>
                </c:pt>
                <c:pt idx="25">
                  <c:v>1.6008943030478815</c:v>
                </c:pt>
                <c:pt idx="26">
                  <c:v>1.8435707205718921</c:v>
                </c:pt>
                <c:pt idx="27">
                  <c:v>1.9292669953969759</c:v>
                </c:pt>
                <c:pt idx="28">
                  <c:v>1.6947806513007289</c:v>
                </c:pt>
                <c:pt idx="29">
                  <c:v>2.3082416063481435</c:v>
                </c:pt>
                <c:pt idx="30">
                  <c:v>2.319026878091885</c:v>
                </c:pt>
                <c:pt idx="31">
                  <c:v>2.25743049696711</c:v>
                </c:pt>
                <c:pt idx="32">
                  <c:v>2.6931451208017387</c:v>
                </c:pt>
                <c:pt idx="33">
                  <c:v>2.429260306593243</c:v>
                </c:pt>
                <c:pt idx="34">
                  <c:v>2.4253725913779305</c:v>
                </c:pt>
                <c:pt idx="35">
                  <c:v>2.4720945536320347</c:v>
                </c:pt>
                <c:pt idx="36">
                  <c:v>2.4506285145253281</c:v>
                </c:pt>
                <c:pt idx="37">
                  <c:v>2.1338515126104625</c:v>
                </c:pt>
                <c:pt idx="38">
                  <c:v>2.3606944206917331</c:v>
                </c:pt>
                <c:pt idx="39">
                  <c:v>2.4630084982595815</c:v>
                </c:pt>
                <c:pt idx="40">
                  <c:v>2.0547800485225673</c:v>
                </c:pt>
                <c:pt idx="41">
                  <c:v>2.007251763114517</c:v>
                </c:pt>
                <c:pt idx="42">
                  <c:v>2.0519395632162345</c:v>
                </c:pt>
                <c:pt idx="43">
                  <c:v>2.0984374445696696</c:v>
                </c:pt>
                <c:pt idx="44">
                  <c:v>1.5910208142324873</c:v>
                </c:pt>
                <c:pt idx="45">
                  <c:v>1.1170295162093529</c:v>
                </c:pt>
                <c:pt idx="46">
                  <c:v>1.3775132179235561</c:v>
                </c:pt>
                <c:pt idx="47">
                  <c:v>1.3583363683519296</c:v>
                </c:pt>
                <c:pt idx="48">
                  <c:v>1.1351654619523106</c:v>
                </c:pt>
                <c:pt idx="49">
                  <c:v>1.0359047260269105</c:v>
                </c:pt>
                <c:pt idx="50">
                  <c:v>1.0597134282180196</c:v>
                </c:pt>
                <c:pt idx="51">
                  <c:v>1.203065588725438</c:v>
                </c:pt>
                <c:pt idx="52">
                  <c:v>1.0783585598900332</c:v>
                </c:pt>
                <c:pt idx="53">
                  <c:v>1.0952790720140297</c:v>
                </c:pt>
                <c:pt idx="54">
                  <c:v>1.1351632761844439</c:v>
                </c:pt>
                <c:pt idx="55">
                  <c:v>1.0352693491026077</c:v>
                </c:pt>
                <c:pt idx="56">
                  <c:v>1.1215382858996739</c:v>
                </c:pt>
                <c:pt idx="57">
                  <c:v>1.2140446258495359</c:v>
                </c:pt>
                <c:pt idx="58">
                  <c:v>1.1727350695114871</c:v>
                </c:pt>
                <c:pt idx="59">
                  <c:v>1.202306925900952</c:v>
                </c:pt>
                <c:pt idx="60">
                  <c:v>1.3474713619607805</c:v>
                </c:pt>
                <c:pt idx="61">
                  <c:v>1.3071592447802129</c:v>
                </c:pt>
                <c:pt idx="62">
                  <c:v>1.5943637390191063</c:v>
                </c:pt>
                <c:pt idx="63">
                  <c:v>1.7209743036822971</c:v>
                </c:pt>
                <c:pt idx="64">
                  <c:v>1.7151895843258618</c:v>
                </c:pt>
                <c:pt idx="65">
                  <c:v>1.5998118802827022</c:v>
                </c:pt>
                <c:pt idx="66">
                  <c:v>1.9128102878885136</c:v>
                </c:pt>
                <c:pt idx="67">
                  <c:v>2.0526459554673226</c:v>
                </c:pt>
                <c:pt idx="68">
                  <c:v>2.4185101204436035</c:v>
                </c:pt>
                <c:pt idx="69">
                  <c:v>2.7412275141630769</c:v>
                </c:pt>
                <c:pt idx="70">
                  <c:v>3.179745955790537</c:v>
                </c:pt>
                <c:pt idx="71">
                  <c:v>2.6898626007248811</c:v>
                </c:pt>
                <c:pt idx="72">
                  <c:v>2.5131241079335691</c:v>
                </c:pt>
                <c:pt idx="73">
                  <c:v>2.0048347712326984</c:v>
                </c:pt>
                <c:pt idx="74">
                  <c:v>2.3186936298362442</c:v>
                </c:pt>
                <c:pt idx="75">
                  <c:v>2.3601067699922185</c:v>
                </c:pt>
                <c:pt idx="76">
                  <c:v>2.2425198381977367</c:v>
                </c:pt>
                <c:pt idx="77">
                  <c:v>2.3308981736426864</c:v>
                </c:pt>
                <c:pt idx="78">
                  <c:v>2.2703883692890261</c:v>
                </c:pt>
                <c:pt idx="79">
                  <c:v>1.7821376018216286</c:v>
                </c:pt>
                <c:pt idx="80">
                  <c:v>1.9692775173949901</c:v>
                </c:pt>
                <c:pt idx="81">
                  <c:v>2.3510567935479361</c:v>
                </c:pt>
                <c:pt idx="82">
                  <c:v>2.2889356448503451</c:v>
                </c:pt>
                <c:pt idx="83">
                  <c:v>2.4118546404107088</c:v>
                </c:pt>
                <c:pt idx="84">
                  <c:v>3.0685072477453335</c:v>
                </c:pt>
                <c:pt idx="85">
                  <c:v>3.2231189292363358</c:v>
                </c:pt>
                <c:pt idx="86">
                  <c:v>3.079830676616667</c:v>
                </c:pt>
                <c:pt idx="87">
                  <c:v>3.2568879965377509</c:v>
                </c:pt>
                <c:pt idx="88">
                  <c:v>3.5009846216143554</c:v>
                </c:pt>
                <c:pt idx="89">
                  <c:v>3.2005070382370002</c:v>
                </c:pt>
                <c:pt idx="90">
                  <c:v>3.6552000250394161</c:v>
                </c:pt>
                <c:pt idx="91">
                  <c:v>4.3891266810772285</c:v>
                </c:pt>
                <c:pt idx="92">
                  <c:v>4.7951105750958618</c:v>
                </c:pt>
                <c:pt idx="93">
                  <c:v>3.6680024497151202</c:v>
                </c:pt>
                <c:pt idx="94">
                  <c:v>4.1316247970349362</c:v>
                </c:pt>
                <c:pt idx="95">
                  <c:v>4.7837431215313604</c:v>
                </c:pt>
              </c:numCache>
            </c:numRef>
          </c:val>
          <c:smooth val="0"/>
          <c:extLst>
            <c:ext xmlns:c16="http://schemas.microsoft.com/office/drawing/2014/chart" uri="{C3380CC4-5D6E-409C-BE32-E72D297353CC}">
              <c16:uniqueId val="{00000001-B1E7-49F4-987E-3E697ACF5397}"/>
            </c:ext>
          </c:extLst>
        </c:ser>
        <c:dLbls>
          <c:showLegendKey val="0"/>
          <c:showVal val="0"/>
          <c:showCatName val="0"/>
          <c:showSerName val="0"/>
          <c:showPercent val="0"/>
          <c:showBubbleSize val="0"/>
        </c:dLbls>
        <c:marker val="1"/>
        <c:smooth val="0"/>
        <c:axId val="843569552"/>
        <c:axId val="843575376"/>
      </c:lineChart>
      <c:catAx>
        <c:axId val="84222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210928"/>
        <c:crosses val="autoZero"/>
        <c:auto val="1"/>
        <c:lblAlgn val="ctr"/>
        <c:lblOffset val="100"/>
        <c:noMultiLvlLbl val="0"/>
      </c:catAx>
      <c:valAx>
        <c:axId val="842210928"/>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221328"/>
        <c:crosses val="autoZero"/>
        <c:crossBetween val="between"/>
      </c:valAx>
      <c:valAx>
        <c:axId val="843575376"/>
        <c:scaling>
          <c:orientation val="minMax"/>
          <c:max val="5"/>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69552"/>
        <c:crosses val="max"/>
        <c:crossBetween val="between"/>
      </c:valAx>
      <c:catAx>
        <c:axId val="843569552"/>
        <c:scaling>
          <c:orientation val="minMax"/>
        </c:scaling>
        <c:delete val="1"/>
        <c:axPos val="b"/>
        <c:numFmt formatCode="General" sourceLinked="1"/>
        <c:majorTickMark val="out"/>
        <c:minorTickMark val="none"/>
        <c:tickLblPos val="nextTo"/>
        <c:crossAx val="8435753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Normalized to be 1 in 1929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'CRSP-EV'!$F$14</c:f>
              <c:strCache>
                <c:ptCount val="1"/>
                <c:pt idx="0">
                  <c:v>CRSP</c:v>
                </c:pt>
              </c:strCache>
            </c:strRef>
          </c:tx>
          <c:spPr>
            <a:ln w="28575" cap="rnd">
              <a:solidFill>
                <a:schemeClr val="accent1"/>
              </a:solidFill>
              <a:round/>
            </a:ln>
            <a:effectLst/>
          </c:spPr>
          <c:marker>
            <c:symbol val="none"/>
          </c:marker>
          <c:cat>
            <c:numRef>
              <c:f>'CRSP-EV'!$G$13:$CX$13</c:f>
              <c:numCache>
                <c:formatCode>General</c:formatCode>
                <c:ptCount val="96"/>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pt idx="88">
                  <c:v>2017</c:v>
                </c:pt>
                <c:pt idx="89">
                  <c:v>2018</c:v>
                </c:pt>
                <c:pt idx="90">
                  <c:v>2019</c:v>
                </c:pt>
                <c:pt idx="91">
                  <c:v>2020</c:v>
                </c:pt>
                <c:pt idx="92">
                  <c:v>2021</c:v>
                </c:pt>
                <c:pt idx="93">
                  <c:v>2022</c:v>
                </c:pt>
                <c:pt idx="94">
                  <c:v>2023</c:v>
                </c:pt>
                <c:pt idx="95">
                  <c:v>2024</c:v>
                </c:pt>
              </c:numCache>
            </c:numRef>
          </c:cat>
          <c:val>
            <c:numRef>
              <c:f>'CRSP-EV'!$G$14:$CX$14</c:f>
              <c:numCache>
                <c:formatCode>General</c:formatCode>
                <c:ptCount val="96"/>
                <c:pt idx="0">
                  <c:v>1</c:v>
                </c:pt>
                <c:pt idx="1">
                  <c:v>0.8390807285232259</c:v>
                </c:pt>
                <c:pt idx="2">
                  <c:v>0.5526307608874198</c:v>
                </c:pt>
                <c:pt idx="3">
                  <c:v>0.63901138489021503</c:v>
                </c:pt>
                <c:pt idx="4">
                  <c:v>1.0032835363494723</c:v>
                </c:pt>
                <c:pt idx="5">
                  <c:v>0.81468256394253136</c:v>
                </c:pt>
                <c:pt idx="6">
                  <c:v>1.0344371151643761</c:v>
                </c:pt>
                <c:pt idx="7">
                  <c:v>1.1726960368036758</c:v>
                </c:pt>
                <c:pt idx="8">
                  <c:v>0.65543711574911678</c:v>
                </c:pt>
                <c:pt idx="9">
                  <c:v>0.91443195594234139</c:v>
                </c:pt>
                <c:pt idx="10">
                  <c:v>0.80879703318614626</c:v>
                </c:pt>
                <c:pt idx="11">
                  <c:v>0.62481689364972504</c:v>
                </c:pt>
                <c:pt idx="12">
                  <c:v>0.40928635475084757</c:v>
                </c:pt>
                <c:pt idx="13">
                  <c:v>0.35767459509152733</c:v>
                </c:pt>
                <c:pt idx="14">
                  <c:v>0.37308136878564224</c:v>
                </c:pt>
                <c:pt idx="15">
                  <c:v>0.42406114529394218</c:v>
                </c:pt>
                <c:pt idx="16">
                  <c:v>0.61942572750069214</c:v>
                </c:pt>
                <c:pt idx="17">
                  <c:v>0.5476067607159486</c:v>
                </c:pt>
                <c:pt idx="18">
                  <c:v>0.45595581146988895</c:v>
                </c:pt>
                <c:pt idx="19">
                  <c:v>0.38748973317177882</c:v>
                </c:pt>
                <c:pt idx="20">
                  <c:v>0.45711045240606196</c:v>
                </c:pt>
                <c:pt idx="21">
                  <c:v>0.50800943539276011</c:v>
                </c:pt>
                <c:pt idx="22">
                  <c:v>0.52630287159732303</c:v>
                </c:pt>
                <c:pt idx="23">
                  <c:v>0.55345857474165394</c:v>
                </c:pt>
                <c:pt idx="24">
                  <c:v>0.50253592680887016</c:v>
                </c:pt>
                <c:pt idx="25">
                  <c:v>0.74904434163379063</c:v>
                </c:pt>
                <c:pt idx="26">
                  <c:v>0.8215031094543267</c:v>
                </c:pt>
                <c:pt idx="27">
                  <c:v>0.82062464591604067</c:v>
                </c:pt>
                <c:pt idx="28">
                  <c:v>0.69658193811964342</c:v>
                </c:pt>
                <c:pt idx="29">
                  <c:v>1.0122634642226132</c:v>
                </c:pt>
                <c:pt idx="30">
                  <c:v>1.0098773379383654</c:v>
                </c:pt>
                <c:pt idx="31">
                  <c:v>0.96931034350933454</c:v>
                </c:pt>
                <c:pt idx="32">
                  <c:v>1.1888069472133476</c:v>
                </c:pt>
                <c:pt idx="33">
                  <c:v>1.0405483029891869</c:v>
                </c:pt>
                <c:pt idx="34">
                  <c:v>1.1534833605874761</c:v>
                </c:pt>
                <c:pt idx="35">
                  <c:v>1.2327348987431841</c:v>
                </c:pt>
                <c:pt idx="36">
                  <c:v>1.2661332848317723</c:v>
                </c:pt>
                <c:pt idx="37">
                  <c:v>1.0344838786315347</c:v>
                </c:pt>
                <c:pt idx="38">
                  <c:v>1.2424708243855165</c:v>
                </c:pt>
                <c:pt idx="39">
                  <c:v>1.2863403863885925</c:v>
                </c:pt>
                <c:pt idx="40">
                  <c:v>1.0536436162874812</c:v>
                </c:pt>
                <c:pt idx="41">
                  <c:v>1.0149462261473081</c:v>
                </c:pt>
                <c:pt idx="42">
                  <c:v>1.0981001532145043</c:v>
                </c:pt>
                <c:pt idx="43">
                  <c:v>1.3400516998411469</c:v>
                </c:pt>
                <c:pt idx="44">
                  <c:v>0.94520610301189489</c:v>
                </c:pt>
                <c:pt idx="45">
                  <c:v>0.60336965892093597</c:v>
                </c:pt>
                <c:pt idx="46">
                  <c:v>0.74785830387445662</c:v>
                </c:pt>
                <c:pt idx="47">
                  <c:v>0.82296385042555442</c:v>
                </c:pt>
                <c:pt idx="48">
                  <c:v>0.68204434522134338</c:v>
                </c:pt>
                <c:pt idx="49">
                  <c:v>0.62014247737106853</c:v>
                </c:pt>
                <c:pt idx="50">
                  <c:v>0.66290768040373438</c:v>
                </c:pt>
                <c:pt idx="51">
                  <c:v>0.78998135693951654</c:v>
                </c:pt>
                <c:pt idx="52">
                  <c:v>0.64628604562448888</c:v>
                </c:pt>
                <c:pt idx="53">
                  <c:v>0.7095327092366418</c:v>
                </c:pt>
                <c:pt idx="54">
                  <c:v>0.81740330658948146</c:v>
                </c:pt>
                <c:pt idx="55">
                  <c:v>0.70331886667151533</c:v>
                </c:pt>
                <c:pt idx="56">
                  <c:v>0.82258227791502259</c:v>
                </c:pt>
                <c:pt idx="57">
                  <c:v>0.88881143957041975</c:v>
                </c:pt>
                <c:pt idx="58">
                  <c:v>0.83226894295131459</c:v>
                </c:pt>
                <c:pt idx="59">
                  <c:v>0.8393683761348657</c:v>
                </c:pt>
                <c:pt idx="60">
                  <c:v>0.9665712414089882</c:v>
                </c:pt>
                <c:pt idx="61">
                  <c:v>0.83425405410594733</c:v>
                </c:pt>
                <c:pt idx="62">
                  <c:v>1.0919857398706081</c:v>
                </c:pt>
                <c:pt idx="63">
                  <c:v>1.1408766534664334</c:v>
                </c:pt>
                <c:pt idx="64">
                  <c:v>1.2529021997141974</c:v>
                </c:pt>
                <c:pt idx="65">
                  <c:v>1.1536356094380578</c:v>
                </c:pt>
                <c:pt idx="66">
                  <c:v>1.4727126913533828</c:v>
                </c:pt>
                <c:pt idx="67">
                  <c:v>1.6908241127806654</c:v>
                </c:pt>
                <c:pt idx="68">
                  <c:v>2.0379619066992429</c:v>
                </c:pt>
                <c:pt idx="69">
                  <c:v>2.3584895363579781</c:v>
                </c:pt>
                <c:pt idx="70">
                  <c:v>2.8479035066171887</c:v>
                </c:pt>
                <c:pt idx="71">
                  <c:v>2.440471952748267</c:v>
                </c:pt>
                <c:pt idx="72">
                  <c:v>2.1673859775049378</c:v>
                </c:pt>
                <c:pt idx="73">
                  <c:v>1.7000359672823493</c:v>
                </c:pt>
                <c:pt idx="74">
                  <c:v>2.169513689783797</c:v>
                </c:pt>
                <c:pt idx="75">
                  <c:v>2.295147688961594</c:v>
                </c:pt>
                <c:pt idx="76">
                  <c:v>2.2534886213849834</c:v>
                </c:pt>
                <c:pt idx="77">
                  <c:v>2.3645373287916662</c:v>
                </c:pt>
                <c:pt idx="78">
                  <c:v>2.3529427986445732</c:v>
                </c:pt>
                <c:pt idx="79">
                  <c:v>1.4029981461228542</c:v>
                </c:pt>
                <c:pt idx="80">
                  <c:v>1.8715684886171771</c:v>
                </c:pt>
                <c:pt idx="81">
                  <c:v>2.0693258814007423</c:v>
                </c:pt>
                <c:pt idx="82">
                  <c:v>1.9029469693430678</c:v>
                </c:pt>
                <c:pt idx="83">
                  <c:v>2.0215679645088165</c:v>
                </c:pt>
                <c:pt idx="84">
                  <c:v>2.5391229109237088</c:v>
                </c:pt>
                <c:pt idx="85">
                  <c:v>2.622605857099201</c:v>
                </c:pt>
                <c:pt idx="86">
                  <c:v>2.3797797335488013</c:v>
                </c:pt>
                <c:pt idx="87">
                  <c:v>2.5305434232692381</c:v>
                </c:pt>
                <c:pt idx="88">
                  <c:v>2.8721419868487557</c:v>
                </c:pt>
                <c:pt idx="89">
                  <c:v>2.4607931736348152</c:v>
                </c:pt>
                <c:pt idx="90">
                  <c:v>2.9722810793840222</c:v>
                </c:pt>
                <c:pt idx="91">
                  <c:v>3.6698662800955826</c:v>
                </c:pt>
                <c:pt idx="92">
                  <c:v>4.056276528442436</c:v>
                </c:pt>
                <c:pt idx="93">
                  <c:v>2.8397578755177371</c:v>
                </c:pt>
                <c:pt idx="94">
                  <c:v>3.2874112996907248</c:v>
                </c:pt>
                <c:pt idx="95">
                  <c:v>3.7931418957104648</c:v>
                </c:pt>
              </c:numCache>
            </c:numRef>
          </c:val>
          <c:smooth val="0"/>
          <c:extLst>
            <c:ext xmlns:c16="http://schemas.microsoft.com/office/drawing/2014/chart" uri="{C3380CC4-5D6E-409C-BE32-E72D297353CC}">
              <c16:uniqueId val="{00000000-9B68-4436-BB2C-FC87E5F67524}"/>
            </c:ext>
          </c:extLst>
        </c:ser>
        <c:ser>
          <c:idx val="1"/>
          <c:order val="1"/>
          <c:tx>
            <c:strRef>
              <c:f>'CRSP-EV'!$F$15</c:f>
              <c:strCache>
                <c:ptCount val="1"/>
                <c:pt idx="0">
                  <c:v>EV</c:v>
                </c:pt>
              </c:strCache>
            </c:strRef>
          </c:tx>
          <c:spPr>
            <a:ln w="28575" cap="rnd">
              <a:solidFill>
                <a:schemeClr val="accent2"/>
              </a:solidFill>
              <a:round/>
            </a:ln>
            <a:effectLst/>
          </c:spPr>
          <c:marker>
            <c:symbol val="none"/>
          </c:marker>
          <c:cat>
            <c:numRef>
              <c:f>'CRSP-EV'!$G$13:$CX$13</c:f>
              <c:numCache>
                <c:formatCode>General</c:formatCode>
                <c:ptCount val="96"/>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pt idx="88">
                  <c:v>2017</c:v>
                </c:pt>
                <c:pt idx="89">
                  <c:v>2018</c:v>
                </c:pt>
                <c:pt idx="90">
                  <c:v>2019</c:v>
                </c:pt>
                <c:pt idx="91">
                  <c:v>2020</c:v>
                </c:pt>
                <c:pt idx="92">
                  <c:v>2021</c:v>
                </c:pt>
                <c:pt idx="93">
                  <c:v>2022</c:v>
                </c:pt>
                <c:pt idx="94">
                  <c:v>2023</c:v>
                </c:pt>
                <c:pt idx="95">
                  <c:v>2024</c:v>
                </c:pt>
              </c:numCache>
            </c:numRef>
          </c:cat>
          <c:val>
            <c:numRef>
              <c:f>'CRSP-EV'!$G$15:$CX$15</c:f>
              <c:numCache>
                <c:formatCode>General</c:formatCode>
                <c:ptCount val="96"/>
                <c:pt idx="0">
                  <c:v>1</c:v>
                </c:pt>
                <c:pt idx="1">
                  <c:v>0.91607214563605877</c:v>
                </c:pt>
                <c:pt idx="2">
                  <c:v>0.75284397892369004</c:v>
                </c:pt>
                <c:pt idx="3">
                  <c:v>0.87967820835365962</c:v>
                </c:pt>
                <c:pt idx="4">
                  <c:v>1.1976526175200672</c:v>
                </c:pt>
                <c:pt idx="5">
                  <c:v>0.83839697067424857</c:v>
                </c:pt>
                <c:pt idx="6">
                  <c:v>0.99907775257968634</c:v>
                </c:pt>
                <c:pt idx="7">
                  <c:v>1.1065351331768278</c:v>
                </c:pt>
                <c:pt idx="8">
                  <c:v>0.69066279547861387</c:v>
                </c:pt>
                <c:pt idx="9">
                  <c:v>0.93242928975871331</c:v>
                </c:pt>
                <c:pt idx="10">
                  <c:v>0.84508590069517631</c:v>
                </c:pt>
                <c:pt idx="11">
                  <c:v>0.67937548994605612</c:v>
                </c:pt>
                <c:pt idx="12">
                  <c:v>0.47112990561558143</c:v>
                </c:pt>
                <c:pt idx="13">
                  <c:v>0.41961794505871602</c:v>
                </c:pt>
                <c:pt idx="14">
                  <c:v>0.41004151928287813</c:v>
                </c:pt>
                <c:pt idx="15">
                  <c:v>0.43860574861096158</c:v>
                </c:pt>
                <c:pt idx="16">
                  <c:v>0.50417249694450816</c:v>
                </c:pt>
                <c:pt idx="17">
                  <c:v>0.50092335533478682</c:v>
                </c:pt>
                <c:pt idx="18">
                  <c:v>0.42377290494158693</c:v>
                </c:pt>
                <c:pt idx="19">
                  <c:v>0.37745249328579644</c:v>
                </c:pt>
                <c:pt idx="20">
                  <c:v>0.39884949663567554</c:v>
                </c:pt>
                <c:pt idx="21">
                  <c:v>0.41027833976763517</c:v>
                </c:pt>
                <c:pt idx="22">
                  <c:v>0.44258830108231162</c:v>
                </c:pt>
                <c:pt idx="23">
                  <c:v>0.41113128369040791</c:v>
                </c:pt>
                <c:pt idx="24">
                  <c:v>0.37703621533306331</c:v>
                </c:pt>
                <c:pt idx="25">
                  <c:v>0.53421130047081766</c:v>
                </c:pt>
                <c:pt idx="26">
                  <c:v>0.61519134040992118</c:v>
                </c:pt>
                <c:pt idx="27">
                  <c:v>0.64378780573099448</c:v>
                </c:pt>
                <c:pt idx="28">
                  <c:v>0.5655407568260068</c:v>
                </c:pt>
                <c:pt idx="29">
                  <c:v>0.77024994590864637</c:v>
                </c:pt>
                <c:pt idx="30">
                  <c:v>0.77384894306491459</c:v>
                </c:pt>
                <c:pt idx="31">
                  <c:v>0.75329450495971628</c:v>
                </c:pt>
                <c:pt idx="32">
                  <c:v>0.89869053478485861</c:v>
                </c:pt>
                <c:pt idx="33">
                  <c:v>0.81063334730881298</c:v>
                </c:pt>
                <c:pt idx="34">
                  <c:v>0.8093360340526673</c:v>
                </c:pt>
                <c:pt idx="35">
                  <c:v>0.82492694481348028</c:v>
                </c:pt>
                <c:pt idx="36">
                  <c:v>0.8177638231474722</c:v>
                </c:pt>
                <c:pt idx="37">
                  <c:v>0.71205674815194975</c:v>
                </c:pt>
                <c:pt idx="38">
                  <c:v>0.78775321649340357</c:v>
                </c:pt>
                <c:pt idx="39">
                  <c:v>0.82189496859404654</c:v>
                </c:pt>
                <c:pt idx="40">
                  <c:v>0.68567095267494338</c:v>
                </c:pt>
                <c:pt idx="41">
                  <c:v>0.66981097546805135</c:v>
                </c:pt>
                <c:pt idx="42">
                  <c:v>0.6847230953763227</c:v>
                </c:pt>
                <c:pt idx="43">
                  <c:v>0.70023923133836896</c:v>
                </c:pt>
                <c:pt idx="44">
                  <c:v>0.53091656121775521</c:v>
                </c:pt>
                <c:pt idx="45">
                  <c:v>0.37274777565414258</c:v>
                </c:pt>
                <c:pt idx="46">
                  <c:v>0.45967002703530391</c:v>
                </c:pt>
                <c:pt idx="47">
                  <c:v>0.45327079772385737</c:v>
                </c:pt>
                <c:pt idx="48">
                  <c:v>0.37879965999289511</c:v>
                </c:pt>
                <c:pt idx="49">
                  <c:v>0.34567679440242871</c:v>
                </c:pt>
                <c:pt idx="50">
                  <c:v>0.35362165230830034</c:v>
                </c:pt>
                <c:pt idx="51">
                  <c:v>0.40145762995165313</c:v>
                </c:pt>
                <c:pt idx="52">
                  <c:v>0.35984344972427756</c:v>
                </c:pt>
                <c:pt idx="53">
                  <c:v>0.36548974927646111</c:v>
                </c:pt>
                <c:pt idx="54">
                  <c:v>0.37879893061189079</c:v>
                </c:pt>
                <c:pt idx="55">
                  <c:v>0.34546477195199288</c:v>
                </c:pt>
                <c:pt idx="56">
                  <c:v>0.3742523320231696</c:v>
                </c:pt>
                <c:pt idx="57">
                  <c:v>0.40512128575254852</c:v>
                </c:pt>
                <c:pt idx="58">
                  <c:v>0.39133647074558203</c:v>
                </c:pt>
                <c:pt idx="59">
                  <c:v>0.40120446754529321</c:v>
                </c:pt>
                <c:pt idx="60">
                  <c:v>0.4496451934707914</c:v>
                </c:pt>
                <c:pt idx="61">
                  <c:v>0.43619321946928297</c:v>
                </c:pt>
                <c:pt idx="62">
                  <c:v>0.53203208033368687</c:v>
                </c:pt>
                <c:pt idx="63">
                  <c:v>0.57428146199073726</c:v>
                </c:pt>
                <c:pt idx="64">
                  <c:v>0.57235112689967182</c:v>
                </c:pt>
                <c:pt idx="65">
                  <c:v>0.5338501008138854</c:v>
                </c:pt>
                <c:pt idx="66">
                  <c:v>0.63829627571378733</c:v>
                </c:pt>
                <c:pt idx="67">
                  <c:v>0.68495881532508995</c:v>
                </c:pt>
                <c:pt idx="68">
                  <c:v>0.80704605805906759</c:v>
                </c:pt>
                <c:pt idx="69">
                  <c:v>0.91473541534843295</c:v>
                </c:pt>
                <c:pt idx="70">
                  <c:v>1.0610670666862134</c:v>
                </c:pt>
                <c:pt idx="71">
                  <c:v>0.89759517245160458</c:v>
                </c:pt>
                <c:pt idx="72">
                  <c:v>0.83861832438765394</c:v>
                </c:pt>
                <c:pt idx="73">
                  <c:v>0.66900443603946103</c:v>
                </c:pt>
                <c:pt idx="74">
                  <c:v>0.77373773960589387</c:v>
                </c:pt>
                <c:pt idx="75">
                  <c:v>0.78755712007166445</c:v>
                </c:pt>
                <c:pt idx="76">
                  <c:v>0.74831888452250295</c:v>
                </c:pt>
                <c:pt idx="77">
                  <c:v>0.77781034152975581</c:v>
                </c:pt>
                <c:pt idx="78">
                  <c:v>0.75761848925477349</c:v>
                </c:pt>
                <c:pt idx="79">
                  <c:v>0.59469138223212337</c:v>
                </c:pt>
                <c:pt idx="80">
                  <c:v>0.65713913876302676</c:v>
                </c:pt>
                <c:pt idx="81">
                  <c:v>0.78453718322990917</c:v>
                </c:pt>
                <c:pt idx="82">
                  <c:v>0.76380763252234529</c:v>
                </c:pt>
                <c:pt idx="83">
                  <c:v>0.8048251540075877</c:v>
                </c:pt>
                <c:pt idx="84">
                  <c:v>1.0239472051348388</c:v>
                </c:pt>
                <c:pt idx="85">
                  <c:v>1.07554043479406</c:v>
                </c:pt>
                <c:pt idx="86">
                  <c:v>1.0277257829282804</c:v>
                </c:pt>
                <c:pt idx="87">
                  <c:v>1.0868090221857636</c:v>
                </c:pt>
                <c:pt idx="88">
                  <c:v>1.1682629790612729</c:v>
                </c:pt>
                <c:pt idx="89">
                  <c:v>1.0679949474537267</c:v>
                </c:pt>
                <c:pt idx="90">
                  <c:v>1.2197239724944349</c:v>
                </c:pt>
                <c:pt idx="91">
                  <c:v>1.4646320295883402</c:v>
                </c:pt>
                <c:pt idx="92">
                  <c:v>1.6001070472587691</c:v>
                </c:pt>
                <c:pt idx="93">
                  <c:v>1.2239960846021278</c:v>
                </c:pt>
                <c:pt idx="94">
                  <c:v>1.3787047974868687</c:v>
                </c:pt>
                <c:pt idx="95">
                  <c:v>1.5963137786212502</c:v>
                </c:pt>
              </c:numCache>
            </c:numRef>
          </c:val>
          <c:smooth val="0"/>
          <c:extLst>
            <c:ext xmlns:c16="http://schemas.microsoft.com/office/drawing/2014/chart" uri="{C3380CC4-5D6E-409C-BE32-E72D297353CC}">
              <c16:uniqueId val="{00000001-9B68-4436-BB2C-FC87E5F67524}"/>
            </c:ext>
          </c:extLst>
        </c:ser>
        <c:dLbls>
          <c:showLegendKey val="0"/>
          <c:showVal val="0"/>
          <c:showCatName val="0"/>
          <c:showSerName val="0"/>
          <c:showPercent val="0"/>
          <c:showBubbleSize val="0"/>
        </c:dLbls>
        <c:smooth val="0"/>
        <c:axId val="843599504"/>
        <c:axId val="843594096"/>
      </c:lineChart>
      <c:catAx>
        <c:axId val="84359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94096"/>
        <c:crosses val="autoZero"/>
        <c:auto val="1"/>
        <c:lblAlgn val="ctr"/>
        <c:lblOffset val="100"/>
        <c:noMultiLvlLbl val="0"/>
      </c:catAx>
      <c:valAx>
        <c:axId val="84359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99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15</xdr:col>
      <xdr:colOff>292100</xdr:colOff>
      <xdr:row>153</xdr:row>
      <xdr:rowOff>0</xdr:rowOff>
    </xdr:from>
    <xdr:to>
      <xdr:col>27</xdr:col>
      <xdr:colOff>736600</xdr:colOff>
      <xdr:row>185</xdr:row>
      <xdr:rowOff>152400</xdr:rowOff>
    </xdr:to>
    <xdr:graphicFrame macro="">
      <xdr:nvGraphicFramePr>
        <xdr:cNvPr id="2" name="Chart 1">
          <a:extLst>
            <a:ext uri="{FF2B5EF4-FFF2-40B4-BE49-F238E27FC236}">
              <a16:creationId xmlns:a16="http://schemas.microsoft.com/office/drawing/2014/main" id="{ADA1A2E8-CF6B-ADBD-E908-9410988DE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279400</xdr:colOff>
      <xdr:row>143</xdr:row>
      <xdr:rowOff>177800</xdr:rowOff>
    </xdr:from>
    <xdr:to>
      <xdr:col>3</xdr:col>
      <xdr:colOff>482600</xdr:colOff>
      <xdr:row>169</xdr:row>
      <xdr:rowOff>25400</xdr:rowOff>
    </xdr:to>
    <xdr:graphicFrame macro="">
      <xdr:nvGraphicFramePr>
        <xdr:cNvPr id="3" name="Chart 2">
          <a:extLst>
            <a:ext uri="{FF2B5EF4-FFF2-40B4-BE49-F238E27FC236}">
              <a16:creationId xmlns:a16="http://schemas.microsoft.com/office/drawing/2014/main" id="{D22A2CBA-365A-8098-5B23-22DC7618A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84</xdr:col>
      <xdr:colOff>25400</xdr:colOff>
      <xdr:row>46</xdr:row>
      <xdr:rowOff>63500</xdr:rowOff>
    </xdr:from>
    <xdr:to>
      <xdr:col>90</xdr:col>
      <xdr:colOff>457200</xdr:colOff>
      <xdr:row>59</xdr:row>
      <xdr:rowOff>152400</xdr:rowOff>
    </xdr:to>
    <xdr:graphicFrame macro="">
      <xdr:nvGraphicFramePr>
        <xdr:cNvPr id="2" name="Chart 1">
          <a:extLst>
            <a:ext uri="{FF2B5EF4-FFF2-40B4-BE49-F238E27FC236}">
              <a16:creationId xmlns:a16="http://schemas.microsoft.com/office/drawing/2014/main" id="{A2757EB3-D1BC-70A4-D670-75CA0273A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27</xdr:col>
      <xdr:colOff>695325</xdr:colOff>
      <xdr:row>23</xdr:row>
      <xdr:rowOff>0</xdr:rowOff>
    </xdr:from>
    <xdr:to>
      <xdr:col>36</xdr:col>
      <xdr:colOff>295275</xdr:colOff>
      <xdr:row>43</xdr:row>
      <xdr:rowOff>161925</xdr:rowOff>
    </xdr:to>
    <xdr:graphicFrame macro="">
      <xdr:nvGraphicFramePr>
        <xdr:cNvPr id="5" name="Chart 4">
          <a:extLst>
            <a:ext uri="{FF2B5EF4-FFF2-40B4-BE49-F238E27FC236}">
              <a16:creationId xmlns:a16="http://schemas.microsoft.com/office/drawing/2014/main" id="{509F80B1-5557-4EC7-A131-04CDAF21A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266700</xdr:colOff>
      <xdr:row>22</xdr:row>
      <xdr:rowOff>123825</xdr:rowOff>
    </xdr:from>
    <xdr:to>
      <xdr:col>20</xdr:col>
      <xdr:colOff>723900</xdr:colOff>
      <xdr:row>46</xdr:row>
      <xdr:rowOff>171450</xdr:rowOff>
    </xdr:to>
    <xdr:graphicFrame macro="">
      <xdr:nvGraphicFramePr>
        <xdr:cNvPr id="7" name="Chart 6">
          <a:extLst>
            <a:ext uri="{FF2B5EF4-FFF2-40B4-BE49-F238E27FC236}">
              <a16:creationId xmlns:a16="http://schemas.microsoft.com/office/drawing/2014/main" id="{6282ED93-88B1-4E8B-B0BA-01C8C677B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95249</xdr:colOff>
      <xdr:row>17</xdr:row>
      <xdr:rowOff>171450</xdr:rowOff>
    </xdr:from>
    <xdr:to>
      <xdr:col>26</xdr:col>
      <xdr:colOff>495300</xdr:colOff>
      <xdr:row>50</xdr:row>
      <xdr:rowOff>28575</xdr:rowOff>
    </xdr:to>
    <xdr:graphicFrame macro="">
      <xdr:nvGraphicFramePr>
        <xdr:cNvPr id="2" name="Chart 1">
          <a:extLst>
            <a:ext uri="{FF2B5EF4-FFF2-40B4-BE49-F238E27FC236}">
              <a16:creationId xmlns:a16="http://schemas.microsoft.com/office/drawing/2014/main" id="{B8E0F4D0-A914-45D7-8A1C-55CE20526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18</xdr:row>
      <xdr:rowOff>33336</xdr:rowOff>
    </xdr:from>
    <xdr:to>
      <xdr:col>15</xdr:col>
      <xdr:colOff>514350</xdr:colOff>
      <xdr:row>48</xdr:row>
      <xdr:rowOff>133349</xdr:rowOff>
    </xdr:to>
    <xdr:graphicFrame macro="">
      <xdr:nvGraphicFramePr>
        <xdr:cNvPr id="3" name="Chart 2">
          <a:extLst>
            <a:ext uri="{FF2B5EF4-FFF2-40B4-BE49-F238E27FC236}">
              <a16:creationId xmlns:a16="http://schemas.microsoft.com/office/drawing/2014/main" id="{29B8671B-2DF1-44A9-94CA-4A8F5B4CE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federalreserve.gov/datadownload/Download.aspx?rel=Z1&amp;series=8c25a79d88d51c2a8c85848a802ba22e&amp;filetype=spreadsheetml&amp;label=include&amp;layout=seriesrow&amp;from=01/01/1945&amp;to=12/31/202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federalreserve.gov/datadownload/Download.aspx?rel=Z1&amp;series=757ab95c0390f4abfffd4cfda8155eb2&amp;filetype=spreadsheetml&amp;label=include&amp;layout=seriesrow&amp;from=01/01/1945&amp;to=12/31/202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federalreserve.gov/datadownload/Download.aspx?rel=Z1&amp;series=55b8e662614f54d3e064df6bbe3d38b4&amp;filetype=spreadsheetml&amp;label=include&amp;layout=seriesrow&amp;from=01/01/1945&amp;to=12/31/2025"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federalreserve.gov/datadownload/Download.aspx?rel=Z1&amp;series=3409b6f59ab19c1c7996368401eaf5c8&amp;filetype=spreadsheetml&amp;label=include&amp;layout=seriesrow&amp;from=01/01/1945&amp;to=12/31/2025"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federalreserve.gov/datadownload/Download.aspx?rel=Z1&amp;series=599c35753cc2c58a82cc0c7b2615772a&amp;filetype=spreadsheetml&amp;label=include&amp;layout=seriesrow&amp;from=01/01/1945&amp;to=12/31/2025"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hyperlink" Target="https://taxfoundation.org/data/all/federal/historical-corporate-tax-rates-bracket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3E70-790C-A643-8D7D-9A6262000A81}">
  <dimension ref="A1:CU49"/>
  <sheetViews>
    <sheetView tabSelected="1" topLeftCell="A9" zoomScale="97" workbookViewId="0">
      <selection activeCell="S12" sqref="S12"/>
    </sheetView>
  </sheetViews>
  <sheetFormatPr baseColWidth="10" defaultColWidth="11.5" defaultRowHeight="16"/>
  <cols>
    <col min="1" max="1" width="35.1640625" customWidth="1"/>
  </cols>
  <sheetData>
    <row r="1" spans="1:99">
      <c r="A1" t="s">
        <v>1446</v>
      </c>
      <c r="B1">
        <v>1928</v>
      </c>
      <c r="C1">
        <v>1929</v>
      </c>
      <c r="D1">
        <v>1930</v>
      </c>
      <c r="E1">
        <v>1931</v>
      </c>
      <c r="F1">
        <v>1932</v>
      </c>
      <c r="G1">
        <v>1933</v>
      </c>
      <c r="H1">
        <v>1934</v>
      </c>
      <c r="I1">
        <v>1935</v>
      </c>
      <c r="J1">
        <v>1936</v>
      </c>
      <c r="K1">
        <v>1937</v>
      </c>
      <c r="L1">
        <v>1938</v>
      </c>
      <c r="M1">
        <v>1939</v>
      </c>
      <c r="N1">
        <v>1940</v>
      </c>
      <c r="O1">
        <v>1941</v>
      </c>
      <c r="P1">
        <v>1942</v>
      </c>
      <c r="Q1">
        <v>1943</v>
      </c>
      <c r="R1">
        <v>1944</v>
      </c>
      <c r="S1">
        <v>1945</v>
      </c>
      <c r="T1">
        <v>1946</v>
      </c>
      <c r="U1">
        <v>1947</v>
      </c>
      <c r="V1">
        <v>1948</v>
      </c>
      <c r="W1">
        <v>1949</v>
      </c>
      <c r="X1">
        <v>1950</v>
      </c>
      <c r="Y1">
        <v>1951</v>
      </c>
      <c r="Z1">
        <v>1952</v>
      </c>
      <c r="AA1">
        <v>1953</v>
      </c>
      <c r="AB1">
        <v>1954</v>
      </c>
      <c r="AC1">
        <v>1955</v>
      </c>
      <c r="AD1">
        <v>1956</v>
      </c>
      <c r="AE1">
        <v>1957</v>
      </c>
      <c r="AF1">
        <v>1958</v>
      </c>
      <c r="AG1">
        <v>1959</v>
      </c>
      <c r="AH1">
        <v>1960</v>
      </c>
      <c r="AI1">
        <v>1961</v>
      </c>
      <c r="AJ1">
        <v>1962</v>
      </c>
      <c r="AK1">
        <v>1963</v>
      </c>
      <c r="AL1">
        <v>1964</v>
      </c>
      <c r="AM1">
        <v>1965</v>
      </c>
      <c r="AN1">
        <v>1966</v>
      </c>
      <c r="AO1">
        <v>1967</v>
      </c>
      <c r="AP1">
        <v>1968</v>
      </c>
      <c r="AQ1">
        <v>1969</v>
      </c>
      <c r="AR1">
        <v>1970</v>
      </c>
      <c r="AS1">
        <v>1971</v>
      </c>
      <c r="AT1">
        <v>1972</v>
      </c>
      <c r="AU1">
        <v>1973</v>
      </c>
      <c r="AV1">
        <v>1974</v>
      </c>
      <c r="AW1">
        <v>1975</v>
      </c>
      <c r="AX1">
        <v>1976</v>
      </c>
      <c r="AY1">
        <v>1977</v>
      </c>
      <c r="AZ1">
        <v>1978</v>
      </c>
      <c r="BA1">
        <v>1979</v>
      </c>
      <c r="BB1">
        <v>1980</v>
      </c>
      <c r="BC1">
        <v>1981</v>
      </c>
      <c r="BD1">
        <v>1982</v>
      </c>
      <c r="BE1">
        <v>1983</v>
      </c>
      <c r="BF1">
        <v>1984</v>
      </c>
      <c r="BG1">
        <v>1985</v>
      </c>
      <c r="BH1">
        <v>1986</v>
      </c>
      <c r="BI1">
        <v>1987</v>
      </c>
      <c r="BJ1">
        <v>1988</v>
      </c>
      <c r="BK1">
        <v>1989</v>
      </c>
      <c r="BL1">
        <v>1990</v>
      </c>
      <c r="BM1">
        <v>1991</v>
      </c>
      <c r="BN1">
        <v>1992</v>
      </c>
      <c r="BO1">
        <v>1993</v>
      </c>
      <c r="BP1">
        <v>1994</v>
      </c>
      <c r="BQ1">
        <v>1995</v>
      </c>
      <c r="BR1">
        <v>1996</v>
      </c>
      <c r="BS1">
        <v>1997</v>
      </c>
      <c r="BT1">
        <v>1998</v>
      </c>
      <c r="BU1">
        <v>1999</v>
      </c>
      <c r="BV1">
        <v>2000</v>
      </c>
      <c r="BW1">
        <v>2001</v>
      </c>
      <c r="BX1">
        <v>2002</v>
      </c>
      <c r="BY1">
        <v>2003</v>
      </c>
      <c r="BZ1">
        <v>2004</v>
      </c>
      <c r="CA1">
        <v>2005</v>
      </c>
      <c r="CB1">
        <v>2006</v>
      </c>
      <c r="CC1">
        <v>2007</v>
      </c>
      <c r="CD1">
        <v>2008</v>
      </c>
      <c r="CE1">
        <v>2009</v>
      </c>
      <c r="CF1">
        <v>2010</v>
      </c>
      <c r="CG1">
        <v>2011</v>
      </c>
      <c r="CH1">
        <v>2012</v>
      </c>
      <c r="CI1">
        <v>2013</v>
      </c>
      <c r="CJ1">
        <v>2014</v>
      </c>
      <c r="CK1">
        <v>2015</v>
      </c>
      <c r="CL1">
        <v>2016</v>
      </c>
      <c r="CM1">
        <v>2017</v>
      </c>
      <c r="CN1">
        <v>2018</v>
      </c>
      <c r="CO1">
        <v>2019</v>
      </c>
      <c r="CP1">
        <v>2020</v>
      </c>
      <c r="CQ1">
        <v>2021</v>
      </c>
      <c r="CR1">
        <v>2022</v>
      </c>
      <c r="CS1">
        <v>2023</v>
      </c>
      <c r="CT1">
        <v>2024</v>
      </c>
      <c r="CU1">
        <v>2025</v>
      </c>
    </row>
    <row r="2" spans="1:99">
      <c r="A2" t="s">
        <v>1447</v>
      </c>
      <c r="B2" t="s">
        <v>1448</v>
      </c>
      <c r="C2">
        <f>'NIPA 1.14'!C8</f>
        <v>54806</v>
      </c>
      <c r="D2">
        <f>'NIPA 1.14'!D8</f>
        <v>48178</v>
      </c>
      <c r="E2">
        <f>'NIPA 1.14'!E8</f>
        <v>37846</v>
      </c>
      <c r="F2">
        <f>'NIPA 1.14'!F8</f>
        <v>27861</v>
      </c>
      <c r="G2">
        <f>'NIPA 1.14'!G8</f>
        <v>26876</v>
      </c>
      <c r="H2">
        <f>'NIPA 1.14'!H8</f>
        <v>33500</v>
      </c>
      <c r="I2">
        <f>'NIPA 1.14'!I8</f>
        <v>37147</v>
      </c>
      <c r="J2">
        <f>'NIPA 1.14'!J8</f>
        <v>42724</v>
      </c>
      <c r="K2">
        <f>'NIPA 1.14'!K8</f>
        <v>48339</v>
      </c>
      <c r="L2">
        <f>'NIPA 1.14'!L8</f>
        <v>43000</v>
      </c>
      <c r="M2">
        <f>'NIPA 1.14'!M8</f>
        <v>47323</v>
      </c>
      <c r="N2">
        <f>'NIPA 1.14'!N8</f>
        <v>54105</v>
      </c>
      <c r="O2">
        <f>'NIPA 1.14'!O8</f>
        <v>69955</v>
      </c>
      <c r="P2">
        <f>'NIPA 1.14'!P8</f>
        <v>87478</v>
      </c>
      <c r="Q2">
        <f>'NIPA 1.14'!Q8</f>
        <v>103482</v>
      </c>
      <c r="R2">
        <f>'NIPA 1.14'!R8</f>
        <v>107266</v>
      </c>
      <c r="S2">
        <f>'NIPA 1.14'!S8</f>
        <v>100821</v>
      </c>
      <c r="T2">
        <f>'NIPA 1.14'!T8</f>
        <v>105807</v>
      </c>
      <c r="U2">
        <f>'NIPA 1.14'!U8</f>
        <v>127503</v>
      </c>
      <c r="V2">
        <f>'NIPA 1.14'!V8</f>
        <v>146063</v>
      </c>
      <c r="W2">
        <f>'NIPA 1.14'!W8</f>
        <v>143022</v>
      </c>
      <c r="X2">
        <f>'NIPA 1.14'!X8</f>
        <v>162114</v>
      </c>
      <c r="Y2">
        <f>'NIPA 1.14'!Y8</f>
        <v>185791</v>
      </c>
      <c r="Z2">
        <f>'NIPA 1.14'!Z8</f>
        <v>195027</v>
      </c>
      <c r="AA2">
        <f>'NIPA 1.14'!AA8</f>
        <v>209184</v>
      </c>
      <c r="AB2">
        <f>'NIPA 1.14'!AB8</f>
        <v>206865</v>
      </c>
      <c r="AC2">
        <f>'NIPA 1.14'!AC8</f>
        <v>233051</v>
      </c>
      <c r="AD2">
        <f>'NIPA 1.14'!AD8</f>
        <v>250053</v>
      </c>
      <c r="AE2">
        <f>'NIPA 1.14'!AE8</f>
        <v>261661</v>
      </c>
      <c r="AF2">
        <f>'NIPA 1.14'!AF8</f>
        <v>256831</v>
      </c>
      <c r="AG2">
        <f>'NIPA 1.14'!AG8</f>
        <v>287446</v>
      </c>
      <c r="AH2">
        <f>'NIPA 1.14'!AH8</f>
        <v>299879</v>
      </c>
      <c r="AI2">
        <f>'NIPA 1.14'!AI8</f>
        <v>308729</v>
      </c>
      <c r="AJ2">
        <f>'NIPA 1.14'!AJ8</f>
        <v>335950</v>
      </c>
      <c r="AK2">
        <f>'NIPA 1.14'!AK8</f>
        <v>357362</v>
      </c>
      <c r="AL2">
        <f>'NIPA 1.14'!AL8</f>
        <v>385982</v>
      </c>
      <c r="AM2">
        <f>'NIPA 1.14'!AM8</f>
        <v>423777</v>
      </c>
      <c r="AN2">
        <f>'NIPA 1.14'!AN8</f>
        <v>465090</v>
      </c>
      <c r="AO2">
        <f>'NIPA 1.14'!AO8</f>
        <v>491172</v>
      </c>
      <c r="AP2">
        <f>'NIPA 1.14'!AP8</f>
        <v>542111</v>
      </c>
      <c r="AQ2">
        <f>'NIPA 1.14'!AQ8</f>
        <v>590653</v>
      </c>
      <c r="AR2">
        <f>'NIPA 1.14'!AR8</f>
        <v>612127</v>
      </c>
      <c r="AS2">
        <f>'NIPA 1.14'!AS8</f>
        <v>660922</v>
      </c>
      <c r="AT2">
        <f>'NIPA 1.14'!AT8</f>
        <v>732902</v>
      </c>
      <c r="AU2">
        <f>'NIPA 1.14'!AU8</f>
        <v>820208</v>
      </c>
      <c r="AV2">
        <f>'NIPA 1.14'!AV8</f>
        <v>889579</v>
      </c>
      <c r="AW2">
        <f>'NIPA 1.14'!AW8</f>
        <v>965545</v>
      </c>
      <c r="AX2">
        <f>'NIPA 1.14'!AX8</f>
        <v>1087308</v>
      </c>
      <c r="AY2">
        <f>'NIPA 1.14'!AY8</f>
        <v>1232519</v>
      </c>
      <c r="AZ2">
        <f>'NIPA 1.14'!AZ8</f>
        <v>1406890</v>
      </c>
      <c r="BA2">
        <f>'NIPA 1.14'!BA8</f>
        <v>1564355</v>
      </c>
      <c r="BB2">
        <f>'NIPA 1.14'!BB8</f>
        <v>1702381</v>
      </c>
      <c r="BC2">
        <f>'NIPA 1.14'!BC8</f>
        <v>1935130</v>
      </c>
      <c r="BD2">
        <f>'NIPA 1.14'!BD8</f>
        <v>2018565</v>
      </c>
      <c r="BE2">
        <f>'NIPA 1.14'!BE8</f>
        <v>2172454</v>
      </c>
      <c r="BF2">
        <f>'NIPA 1.14'!BF8</f>
        <v>2434777</v>
      </c>
      <c r="BG2">
        <f>'NIPA 1.14'!BG8</f>
        <v>2601493</v>
      </c>
      <c r="BH2">
        <f>'NIPA 1.14'!BH8</f>
        <v>2706772</v>
      </c>
      <c r="BI2">
        <f>'NIPA 1.14'!BI8</f>
        <v>2895133</v>
      </c>
      <c r="BJ2">
        <f>'NIPA 1.14'!BJ8</f>
        <v>3142537</v>
      </c>
      <c r="BK2">
        <f>'NIPA 1.14'!BK8</f>
        <v>3320147</v>
      </c>
      <c r="BL2">
        <f>'NIPA 1.14'!BL8</f>
        <v>3467335</v>
      </c>
      <c r="BM2">
        <f>'NIPA 1.14'!BM8</f>
        <v>3554697</v>
      </c>
      <c r="BN2">
        <f>'NIPA 1.14'!BN8</f>
        <v>3742365</v>
      </c>
      <c r="BO2">
        <f>'NIPA 1.14'!BO8</f>
        <v>3918863</v>
      </c>
      <c r="BP2">
        <f>'NIPA 1.14'!BP8</f>
        <v>4210085</v>
      </c>
      <c r="BQ2">
        <f>'NIPA 1.14'!BQ8</f>
        <v>4474232</v>
      </c>
      <c r="BR2">
        <f>'NIPA 1.14'!BR8</f>
        <v>4770205</v>
      </c>
      <c r="BS2">
        <f>'NIPA 1.14'!BS8</f>
        <v>5143154</v>
      </c>
      <c r="BT2">
        <f>'NIPA 1.14'!BT8</f>
        <v>5474446</v>
      </c>
      <c r="BU2">
        <f>'NIPA 1.14'!BU8</f>
        <v>5802061</v>
      </c>
      <c r="BV2">
        <f>'NIPA 1.14'!BV8</f>
        <v>6216190</v>
      </c>
      <c r="BW2">
        <f>'NIPA 1.14'!BW8</f>
        <v>6202593</v>
      </c>
      <c r="BX2">
        <f>'NIPA 1.14'!BX8</f>
        <v>6298540</v>
      </c>
      <c r="BY2">
        <f>'NIPA 1.14'!BY8</f>
        <v>6524950</v>
      </c>
      <c r="BZ2">
        <f>'NIPA 1.14'!BZ8</f>
        <v>6960008</v>
      </c>
      <c r="CA2">
        <f>'NIPA 1.14'!CA8</f>
        <v>7485433</v>
      </c>
      <c r="CB2">
        <f>'NIPA 1.14'!CB8</f>
        <v>8029316</v>
      </c>
      <c r="CC2">
        <f>'NIPA 1.14'!CC8</f>
        <v>8199258</v>
      </c>
      <c r="CD2">
        <f>'NIPA 1.14'!CD8</f>
        <v>8108788</v>
      </c>
      <c r="CE2">
        <f>'NIPA 1.14'!CE8</f>
        <v>7817337</v>
      </c>
      <c r="CF2">
        <f>'NIPA 1.14'!CF8</f>
        <v>8236992</v>
      </c>
      <c r="CG2">
        <f>'NIPA 1.14'!CG8</f>
        <v>8623024</v>
      </c>
      <c r="CH2">
        <f>'NIPA 1.14'!CH8</f>
        <v>9173994</v>
      </c>
      <c r="CI2">
        <f>'NIPA 1.14'!CI8</f>
        <v>9456941</v>
      </c>
      <c r="CJ2">
        <f>'NIPA 1.14'!CJ8</f>
        <v>10046512</v>
      </c>
      <c r="CK2">
        <f>'NIPA 1.14'!CK8</f>
        <v>10489514</v>
      </c>
      <c r="CL2">
        <f>'NIPA 1.14'!CL8</f>
        <v>10684384</v>
      </c>
      <c r="CM2">
        <f>'NIPA 1.14'!CM8</f>
        <v>11132703</v>
      </c>
      <c r="CN2">
        <f>'NIPA 1.14'!CN8</f>
        <v>11796349</v>
      </c>
      <c r="CO2">
        <f>'NIPA 1.14'!CO8</f>
        <v>12332556</v>
      </c>
      <c r="CP2">
        <f>'NIPA 1.14'!CP8</f>
        <v>12095295</v>
      </c>
      <c r="CQ2">
        <f>'NIPA 1.14'!CQ8</f>
        <v>13818844</v>
      </c>
      <c r="CR2">
        <f>'NIPA 1.14'!CR8</f>
        <v>15322598</v>
      </c>
      <c r="CS2">
        <f>'NIPA 1.14'!CS8</f>
        <v>16125928</v>
      </c>
      <c r="CT2">
        <f>'NIPA 1.14'!CT8</f>
        <v>16961079</v>
      </c>
    </row>
    <row r="3" spans="1:99">
      <c r="A3" t="s">
        <v>1449</v>
      </c>
      <c r="B3" t="s">
        <v>1448</v>
      </c>
      <c r="C3">
        <f>'NIPA 1.14'!C9</f>
        <v>5228</v>
      </c>
      <c r="D3">
        <f>'NIPA 1.14'!D9</f>
        <v>5080</v>
      </c>
      <c r="E3">
        <f>'NIPA 1.14'!E9</f>
        <v>4752</v>
      </c>
      <c r="F3">
        <f>'NIPA 1.14'!F9</f>
        <v>4240</v>
      </c>
      <c r="G3">
        <f>'NIPA 1.14'!G9</f>
        <v>4008</v>
      </c>
      <c r="H3">
        <f>'NIPA 1.14'!H9</f>
        <v>4104</v>
      </c>
      <c r="I3">
        <f>'NIPA 1.14'!I9</f>
        <v>4184</v>
      </c>
      <c r="J3">
        <f>'NIPA 1.14'!J9</f>
        <v>4248</v>
      </c>
      <c r="K3">
        <f>'NIPA 1.14'!K9</f>
        <v>4744</v>
      </c>
      <c r="L3">
        <f>'NIPA 1.14'!L9</f>
        <v>4820</v>
      </c>
      <c r="M3">
        <f>'NIPA 1.14'!M9</f>
        <v>4824</v>
      </c>
      <c r="N3">
        <f>'NIPA 1.14'!N9</f>
        <v>5040</v>
      </c>
      <c r="O3">
        <f>'NIPA 1.14'!O9</f>
        <v>5584</v>
      </c>
      <c r="P3">
        <f>'NIPA 1.14'!P9</f>
        <v>6388</v>
      </c>
      <c r="Q3">
        <f>'NIPA 1.14'!Q9</f>
        <v>6552</v>
      </c>
      <c r="R3">
        <f>'NIPA 1.14'!R9</f>
        <v>6748</v>
      </c>
      <c r="S3">
        <f>'NIPA 1.14'!S9</f>
        <v>6968</v>
      </c>
      <c r="T3">
        <f>'NIPA 1.14'!T9</f>
        <v>8000</v>
      </c>
      <c r="U3">
        <f>'NIPA 1.14'!U9</f>
        <v>9796</v>
      </c>
      <c r="V3">
        <f>'NIPA 1.14'!V9</f>
        <v>11488</v>
      </c>
      <c r="W3">
        <f>'NIPA 1.14'!W9</f>
        <v>12412</v>
      </c>
      <c r="X3">
        <f>'NIPA 1.14'!X9</f>
        <v>13288</v>
      </c>
      <c r="Y3">
        <f>'NIPA 1.14'!Y9</f>
        <v>15136</v>
      </c>
      <c r="Z3">
        <f>'NIPA 1.14'!Z9</f>
        <v>16116</v>
      </c>
      <c r="AA3">
        <f>'NIPA 1.14'!AA9</f>
        <v>17300</v>
      </c>
      <c r="AB3">
        <f>'NIPA 1.14'!AB9</f>
        <v>18340</v>
      </c>
      <c r="AC3">
        <f>'NIPA 1.14'!AC9</f>
        <v>19560</v>
      </c>
      <c r="AD3">
        <f>'NIPA 1.14'!AD9</f>
        <v>22088</v>
      </c>
      <c r="AE3">
        <f>'NIPA 1.14'!AE9</f>
        <v>24564</v>
      </c>
      <c r="AF3">
        <f>'NIPA 1.14'!AF9</f>
        <v>26396</v>
      </c>
      <c r="AG3">
        <f>'NIPA 1.14'!AG9</f>
        <v>27620</v>
      </c>
      <c r="AH3">
        <f>'NIPA 1.14'!AH9</f>
        <v>28488</v>
      </c>
      <c r="AI3">
        <f>'NIPA 1.14'!AI9</f>
        <v>29524</v>
      </c>
      <c r="AJ3">
        <f>'NIPA 1.14'!AJ9</f>
        <v>30836</v>
      </c>
      <c r="AK3">
        <f>'NIPA 1.14'!AK9</f>
        <v>32416</v>
      </c>
      <c r="AL3">
        <f>'NIPA 1.14'!AL9</f>
        <v>34412</v>
      </c>
      <c r="AM3">
        <f>'NIPA 1.14'!AM9</f>
        <v>37140</v>
      </c>
      <c r="AN3">
        <f>'NIPA 1.14'!AN9</f>
        <v>40860</v>
      </c>
      <c r="AO3">
        <f>'NIPA 1.14'!AO9</f>
        <v>45096</v>
      </c>
      <c r="AP3">
        <f>'NIPA 1.14'!AP9</f>
        <v>49992</v>
      </c>
      <c r="AQ3">
        <f>'NIPA 1.14'!AQ9</f>
        <v>55704</v>
      </c>
      <c r="AR3">
        <f>'NIPA 1.14'!AR9</f>
        <v>61804</v>
      </c>
      <c r="AS3">
        <f>'NIPA 1.14'!AS9</f>
        <v>67620</v>
      </c>
      <c r="AT3">
        <f>'NIPA 1.14'!AT9</f>
        <v>73440</v>
      </c>
      <c r="AU3">
        <f>'NIPA 1.14'!AU9</f>
        <v>81980</v>
      </c>
      <c r="AV3">
        <f>'NIPA 1.14'!AV9</f>
        <v>96040</v>
      </c>
      <c r="AW3">
        <f>'NIPA 1.14'!AW9</f>
        <v>113516</v>
      </c>
      <c r="AX3">
        <f>'NIPA 1.14'!AX9</f>
        <v>125028</v>
      </c>
      <c r="AY3">
        <f>'NIPA 1.14'!AY9</f>
        <v>140456</v>
      </c>
      <c r="AZ3">
        <f>'NIPA 1.14'!AZ9</f>
        <v>159276</v>
      </c>
      <c r="BA3">
        <f>'NIPA 1.14'!BA9</f>
        <v>183352</v>
      </c>
      <c r="BB3">
        <f>'NIPA 1.14'!BB9</f>
        <v>212088</v>
      </c>
      <c r="BC3">
        <f>'NIPA 1.14'!BC9</f>
        <v>244880</v>
      </c>
      <c r="BD3">
        <f>'NIPA 1.14'!BD9</f>
        <v>272520</v>
      </c>
      <c r="BE3">
        <f>'NIPA 1.14'!BE9</f>
        <v>285876</v>
      </c>
      <c r="BF3">
        <f>'NIPA 1.14'!BF9</f>
        <v>303168</v>
      </c>
      <c r="BG3">
        <f>'NIPA 1.14'!BG9</f>
        <v>326864</v>
      </c>
      <c r="BH3">
        <f>'NIPA 1.14'!BH9</f>
        <v>349868</v>
      </c>
      <c r="BI3">
        <f>'NIPA 1.14'!BI9</f>
        <v>371292</v>
      </c>
      <c r="BJ3">
        <f>'NIPA 1.14'!BJ9</f>
        <v>399856</v>
      </c>
      <c r="BK3">
        <f>'NIPA 1.14'!BK9</f>
        <v>427148</v>
      </c>
      <c r="BL3">
        <f>'NIPA 1.14'!BL9</f>
        <v>454688</v>
      </c>
      <c r="BM3">
        <f>'NIPA 1.14'!BM9</f>
        <v>479628</v>
      </c>
      <c r="BN3">
        <f>'NIPA 1.14'!BN9</f>
        <v>494348</v>
      </c>
      <c r="BO3">
        <f>'NIPA 1.14'!BO9</f>
        <v>517188</v>
      </c>
      <c r="BP3">
        <f>'NIPA 1.14'!BP9</f>
        <v>547584</v>
      </c>
      <c r="BQ3">
        <f>'NIPA 1.14'!BQ9</f>
        <v>590428</v>
      </c>
      <c r="BR3">
        <f>'NIPA 1.14'!BR9</f>
        <v>626332</v>
      </c>
      <c r="BS3">
        <f>'NIPA 1.14'!BS9</f>
        <v>670056</v>
      </c>
      <c r="BT3">
        <f>'NIPA 1.14'!BT9</f>
        <v>714988</v>
      </c>
      <c r="BU3">
        <f>'NIPA 1.14'!BU9</f>
        <v>769632</v>
      </c>
      <c r="BV3">
        <f>'NIPA 1.14'!BV9</f>
        <v>838608</v>
      </c>
      <c r="BW3">
        <f>'NIPA 1.14'!BW9</f>
        <v>888584</v>
      </c>
      <c r="BX3">
        <f>'NIPA 1.14'!BX9</f>
        <v>914587</v>
      </c>
      <c r="BY3">
        <f>'NIPA 1.14'!BY9</f>
        <v>932541</v>
      </c>
      <c r="BZ3">
        <f>'NIPA 1.14'!BZ9</f>
        <v>973014</v>
      </c>
      <c r="CA3">
        <f>'NIPA 1.14'!CA9</f>
        <v>1042069</v>
      </c>
      <c r="CB3">
        <f>'NIPA 1.14'!CB9</f>
        <v>1119303</v>
      </c>
      <c r="CC3">
        <f>'NIPA 1.14'!CC9</f>
        <v>1188944</v>
      </c>
      <c r="CD3">
        <f>'NIPA 1.14'!CD9</f>
        <v>1256741</v>
      </c>
      <c r="CE3">
        <f>'NIPA 1.14'!CE9</f>
        <v>1263659</v>
      </c>
      <c r="CF3">
        <f>'NIPA 1.14'!CF9</f>
        <v>1270714</v>
      </c>
      <c r="CG3">
        <f>'NIPA 1.14'!CG9</f>
        <v>1324537</v>
      </c>
      <c r="CH3">
        <f>'NIPA 1.14'!CH9</f>
        <v>1392029</v>
      </c>
      <c r="CI3">
        <f>'NIPA 1.14'!CI9</f>
        <v>1447694</v>
      </c>
      <c r="CJ3">
        <f>'NIPA 1.14'!CJ9</f>
        <v>1524311</v>
      </c>
      <c r="CK3">
        <f>'NIPA 1.14'!CK9</f>
        <v>1587221</v>
      </c>
      <c r="CL3">
        <f>'NIPA 1.14'!CL9</f>
        <v>1629907</v>
      </c>
      <c r="CM3">
        <f>'NIPA 1.14'!CM9</f>
        <v>1709313</v>
      </c>
      <c r="CN3">
        <f>'NIPA 1.14'!CN9</f>
        <v>1793566</v>
      </c>
      <c r="CO3">
        <f>'NIPA 1.14'!CO9</f>
        <v>1891831</v>
      </c>
      <c r="CP3">
        <f>'NIPA 1.14'!CP9</f>
        <v>1968202</v>
      </c>
      <c r="CQ3">
        <f>'NIPA 1.14'!CQ9</f>
        <v>2070269</v>
      </c>
      <c r="CR3">
        <f>'NIPA 1.14'!CR9</f>
        <v>2287902</v>
      </c>
      <c r="CS3">
        <f>'NIPA 1.14'!CS9</f>
        <v>2447353</v>
      </c>
      <c r="CT3">
        <f>'NIPA 1.14'!CT9</f>
        <v>2583318</v>
      </c>
    </row>
    <row r="4" spans="1:99">
      <c r="A4" t="s">
        <v>1450</v>
      </c>
      <c r="B4" t="s">
        <v>1448</v>
      </c>
      <c r="C4">
        <f>'NIPA 1.14'!C11</f>
        <v>34242</v>
      </c>
      <c r="D4">
        <f>'NIPA 1.14'!D11</f>
        <v>30808</v>
      </c>
      <c r="E4">
        <f>'NIPA 1.14'!E11</f>
        <v>25369</v>
      </c>
      <c r="F4">
        <f>'NIPA 1.14'!F11</f>
        <v>19013</v>
      </c>
      <c r="G4">
        <f>'NIPA 1.14'!G11</f>
        <v>18002</v>
      </c>
      <c r="H4">
        <f>'NIPA 1.14'!H11</f>
        <v>21045</v>
      </c>
      <c r="I4">
        <f>'NIPA 1.14'!I11</f>
        <v>23056</v>
      </c>
      <c r="J4">
        <f>'NIPA 1.14'!J11</f>
        <v>26274</v>
      </c>
      <c r="K4">
        <f>'NIPA 1.14'!K11</f>
        <v>30548</v>
      </c>
      <c r="L4">
        <f>'NIPA 1.14'!L11</f>
        <v>27266</v>
      </c>
      <c r="M4">
        <f>'NIPA 1.14'!M11</f>
        <v>29816</v>
      </c>
      <c r="N4">
        <f>'NIPA 1.14'!N11</f>
        <v>32856</v>
      </c>
      <c r="O4">
        <f>'NIPA 1.14'!O11</f>
        <v>41598</v>
      </c>
      <c r="P4">
        <f>'NIPA 1.14'!P11</f>
        <v>52849</v>
      </c>
      <c r="Q4">
        <f>'NIPA 1.14'!Q11</f>
        <v>64141</v>
      </c>
      <c r="R4">
        <f>'NIPA 1.14'!R11</f>
        <v>67074</v>
      </c>
      <c r="S4">
        <f>'NIPA 1.14'!S11</f>
        <v>64069</v>
      </c>
      <c r="T4">
        <f>'NIPA 1.14'!T11</f>
        <v>69854</v>
      </c>
      <c r="U4">
        <f>'NIPA 1.14'!U11</f>
        <v>82136</v>
      </c>
      <c r="V4">
        <f>'NIPA 1.14'!V11</f>
        <v>91111</v>
      </c>
      <c r="W4">
        <f>'NIPA 1.14'!W11</f>
        <v>88798</v>
      </c>
      <c r="X4">
        <f>'NIPA 1.14'!X11</f>
        <v>98654</v>
      </c>
      <c r="Y4">
        <f>'NIPA 1.14'!Y11</f>
        <v>114553</v>
      </c>
      <c r="Z4">
        <f>'NIPA 1.14'!Z11</f>
        <v>123015</v>
      </c>
      <c r="AA4">
        <f>'NIPA 1.14'!AA11</f>
        <v>133985</v>
      </c>
      <c r="AB4">
        <f>'NIPA 1.14'!AB11</f>
        <v>132212</v>
      </c>
      <c r="AC4">
        <f>'NIPA 1.14'!AC11</f>
        <v>144625</v>
      </c>
      <c r="AD4">
        <f>'NIPA 1.14'!AD11</f>
        <v>158175</v>
      </c>
      <c r="AE4">
        <f>'NIPA 1.14'!AE11</f>
        <v>166500</v>
      </c>
      <c r="AF4">
        <f>'NIPA 1.14'!AF11</f>
        <v>163977</v>
      </c>
      <c r="AG4">
        <f>'NIPA 1.14'!AG11</f>
        <v>180289</v>
      </c>
      <c r="AH4">
        <f>'NIPA 1.14'!AH11</f>
        <v>190689</v>
      </c>
      <c r="AI4">
        <f>'NIPA 1.14'!AI11</f>
        <v>195554</v>
      </c>
      <c r="AJ4">
        <f>'NIPA 1.14'!AJ11</f>
        <v>210997</v>
      </c>
      <c r="AK4">
        <f>'NIPA 1.14'!AK11</f>
        <v>222667</v>
      </c>
      <c r="AL4">
        <f>'NIPA 1.14'!AL11</f>
        <v>239180</v>
      </c>
      <c r="AM4">
        <f>'NIPA 1.14'!AM11</f>
        <v>259864</v>
      </c>
      <c r="AN4">
        <f>'NIPA 1.14'!AN11</f>
        <v>288528</v>
      </c>
      <c r="AO4">
        <f>'NIPA 1.14'!AO11</f>
        <v>308418</v>
      </c>
      <c r="AP4">
        <f>'NIPA 1.14'!AP11</f>
        <v>340182</v>
      </c>
      <c r="AQ4">
        <f>'NIPA 1.14'!AQ11</f>
        <v>377454</v>
      </c>
      <c r="AR4">
        <f>'NIPA 1.14'!AR11</f>
        <v>398010</v>
      </c>
      <c r="AS4">
        <f>'NIPA 1.14'!AS11</f>
        <v>421650</v>
      </c>
      <c r="AT4">
        <f>'NIPA 1.14'!AT11</f>
        <v>468170</v>
      </c>
      <c r="AU4">
        <f>'NIPA 1.14'!AU11</f>
        <v>526064</v>
      </c>
      <c r="AV4">
        <f>'NIPA 1.14'!AV11</f>
        <v>577322</v>
      </c>
      <c r="AW4">
        <f>'NIPA 1.14'!AW11</f>
        <v>607817</v>
      </c>
      <c r="AX4">
        <f>'NIPA 1.14'!AX11</f>
        <v>682786</v>
      </c>
      <c r="AY4">
        <f>'NIPA 1.14'!AY11</f>
        <v>771696</v>
      </c>
      <c r="AZ4">
        <f>'NIPA 1.14'!AZ11</f>
        <v>884698</v>
      </c>
      <c r="BA4">
        <f>'NIPA 1.14'!BA11</f>
        <v>1004441</v>
      </c>
      <c r="BB4">
        <f>'NIPA 1.14'!BB11</f>
        <v>1102003</v>
      </c>
      <c r="BC4">
        <f>'NIPA 1.14'!BC11</f>
        <v>1220566</v>
      </c>
      <c r="BD4">
        <f>'NIPA 1.14'!BD11</f>
        <v>1275114</v>
      </c>
      <c r="BE4">
        <f>'NIPA 1.14'!BE11</f>
        <v>1352980</v>
      </c>
      <c r="BF4">
        <f>'NIPA 1.14'!BF11</f>
        <v>1501072</v>
      </c>
      <c r="BG4">
        <f>'NIPA 1.14'!BG11</f>
        <v>1615931</v>
      </c>
      <c r="BH4">
        <f>'NIPA 1.14'!BH11</f>
        <v>1723353</v>
      </c>
      <c r="BI4">
        <f>'NIPA 1.14'!BI11</f>
        <v>1847640</v>
      </c>
      <c r="BJ4">
        <f>'NIPA 1.14'!BJ11</f>
        <v>2002309</v>
      </c>
      <c r="BK4">
        <f>'NIPA 1.14'!BK11</f>
        <v>2119332</v>
      </c>
      <c r="BL4">
        <f>'NIPA 1.14'!BL11</f>
        <v>2234926</v>
      </c>
      <c r="BM4">
        <f>'NIPA 1.14'!BM11</f>
        <v>2277820</v>
      </c>
      <c r="BN4">
        <f>'NIPA 1.14'!BN11</f>
        <v>2420482</v>
      </c>
      <c r="BO4">
        <f>'NIPA 1.14'!BO11</f>
        <v>2515738</v>
      </c>
      <c r="BP4">
        <f>'NIPA 1.14'!BP11</f>
        <v>2649014</v>
      </c>
      <c r="BQ4">
        <f>'NIPA 1.14'!BQ11</f>
        <v>2787890</v>
      </c>
      <c r="BR4">
        <f>'NIPA 1.14'!BR11</f>
        <v>2953697</v>
      </c>
      <c r="BS4">
        <f>'NIPA 1.14'!BS11</f>
        <v>3176578</v>
      </c>
      <c r="BT4">
        <f>'NIPA 1.14'!BT11</f>
        <v>3447481</v>
      </c>
      <c r="BU4">
        <f>'NIPA 1.14'!BU11</f>
        <v>3684312</v>
      </c>
      <c r="BV4">
        <f>'NIPA 1.14'!BV11</f>
        <v>4008927</v>
      </c>
      <c r="BW4">
        <f>'NIPA 1.14'!BW11</f>
        <v>4013811</v>
      </c>
      <c r="BX4">
        <f>'NIPA 1.14'!BX11</f>
        <v>3972742</v>
      </c>
      <c r="BY4">
        <f>'NIPA 1.14'!BY11</f>
        <v>4040875</v>
      </c>
      <c r="BZ4">
        <f>'NIPA 1.14'!BZ11</f>
        <v>4240204</v>
      </c>
      <c r="CA4">
        <f>'NIPA 1.14'!CA11</f>
        <v>4442988</v>
      </c>
      <c r="CB4">
        <f>'NIPA 1.14'!CB11</f>
        <v>4681230</v>
      </c>
      <c r="CC4">
        <f>'NIPA 1.14'!CC11</f>
        <v>4894238</v>
      </c>
      <c r="CD4">
        <f>'NIPA 1.14'!CD11</f>
        <v>4940328</v>
      </c>
      <c r="CE4">
        <f>'NIPA 1.14'!CE11</f>
        <v>4607471</v>
      </c>
      <c r="CF4">
        <f>'NIPA 1.14'!CF11</f>
        <v>4700760</v>
      </c>
      <c r="CG4">
        <f>'NIPA 1.14'!CG11</f>
        <v>4927979</v>
      </c>
      <c r="CH4">
        <f>'NIPA 1.14'!CH11</f>
        <v>5182659</v>
      </c>
      <c r="CI4">
        <f>'NIPA 1.14'!CI11</f>
        <v>5356731</v>
      </c>
      <c r="CJ4">
        <f>'NIPA 1.14'!CJ11</f>
        <v>5648214</v>
      </c>
      <c r="CK4">
        <f>'NIPA 1.14'!CK11</f>
        <v>5949841</v>
      </c>
      <c r="CL4">
        <f>'NIPA 1.14'!CL11</f>
        <v>6109709</v>
      </c>
      <c r="CM4">
        <f>'NIPA 1.14'!CM11</f>
        <v>6432103</v>
      </c>
      <c r="CN4">
        <f>'NIPA 1.14'!CN11</f>
        <v>6780648</v>
      </c>
      <c r="CO4">
        <f>'NIPA 1.14'!CO11</f>
        <v>7108215</v>
      </c>
      <c r="CP4">
        <f>'NIPA 1.14'!CP11</f>
        <v>7167961</v>
      </c>
      <c r="CQ4">
        <f>'NIPA 1.14'!CQ11</f>
        <v>7883565</v>
      </c>
      <c r="CR4">
        <f>'NIPA 1.14'!CR11</f>
        <v>8504055</v>
      </c>
      <c r="CS4">
        <f>'NIPA 1.14'!CS11</f>
        <v>8960619</v>
      </c>
      <c r="CT4">
        <f>'NIPA 1.14'!CT11</f>
        <v>9443321</v>
      </c>
    </row>
    <row r="5" spans="1:99">
      <c r="A5" t="s">
        <v>1451</v>
      </c>
      <c r="B5" t="s">
        <v>1448</v>
      </c>
      <c r="C5">
        <f>'NIPA 1.14'!C14</f>
        <v>2999</v>
      </c>
      <c r="D5">
        <f>'NIPA 1.14'!D14</f>
        <v>3037</v>
      </c>
      <c r="E5">
        <f>'NIPA 1.14'!E14</f>
        <v>2842</v>
      </c>
      <c r="F5">
        <f>'NIPA 1.14'!F14</f>
        <v>2942</v>
      </c>
      <c r="G5">
        <f>'NIPA 1.14'!G14</f>
        <v>3467</v>
      </c>
      <c r="H5">
        <f>'NIPA 1.14'!H14</f>
        <v>4090</v>
      </c>
      <c r="I5">
        <f>'NIPA 1.14'!I14</f>
        <v>4155</v>
      </c>
      <c r="J5">
        <f>'NIPA 1.14'!J14</f>
        <v>4364</v>
      </c>
      <c r="K5">
        <f>'NIPA 1.14'!K14</f>
        <v>4621</v>
      </c>
      <c r="L5">
        <f>'NIPA 1.14'!L14</f>
        <v>4575</v>
      </c>
      <c r="M5">
        <f>'NIPA 1.14'!M14</f>
        <v>4751</v>
      </c>
      <c r="N5">
        <f>'NIPA 1.14'!N14</f>
        <v>5136</v>
      </c>
      <c r="O5">
        <f>'NIPA 1.14'!O14</f>
        <v>6052</v>
      </c>
      <c r="P5">
        <f>'NIPA 1.14'!P14</f>
        <v>6421</v>
      </c>
      <c r="Q5">
        <f>'NIPA 1.14'!Q14</f>
        <v>6810</v>
      </c>
      <c r="R5">
        <f>'NIPA 1.14'!R14</f>
        <v>7531</v>
      </c>
      <c r="S5">
        <f>'NIPA 1.14'!S14</f>
        <v>8322</v>
      </c>
      <c r="T5">
        <f>'NIPA 1.14'!T14</f>
        <v>9774</v>
      </c>
      <c r="U5">
        <f>'NIPA 1.14'!U14</f>
        <v>11525</v>
      </c>
      <c r="V5">
        <f>'NIPA 1.14'!V14</f>
        <v>12749</v>
      </c>
      <c r="W5">
        <f>'NIPA 1.14'!W14</f>
        <v>13371</v>
      </c>
      <c r="X5">
        <f>'NIPA 1.14'!X14</f>
        <v>14821</v>
      </c>
      <c r="Y5">
        <f>'NIPA 1.14'!Y14</f>
        <v>15853</v>
      </c>
      <c r="Z5">
        <f>'NIPA 1.14'!Z14</f>
        <v>17331</v>
      </c>
      <c r="AA5">
        <f>'NIPA 1.14'!AA14</f>
        <v>18468</v>
      </c>
      <c r="AB5">
        <f>'NIPA 1.14'!AB14</f>
        <v>17937</v>
      </c>
      <c r="AC5">
        <f>'NIPA 1.14'!AC14</f>
        <v>19818</v>
      </c>
      <c r="AD5">
        <f>'NIPA 1.14'!AD14</f>
        <v>21518</v>
      </c>
      <c r="AE5">
        <f>'NIPA 1.14'!AE14</f>
        <v>22808</v>
      </c>
      <c r="AF5">
        <f>'NIPA 1.14'!AF14</f>
        <v>23137</v>
      </c>
      <c r="AG5">
        <f>'NIPA 1.14'!AG14</f>
        <v>25553</v>
      </c>
      <c r="AH5">
        <f>'NIPA 1.14'!AH14</f>
        <v>27844</v>
      </c>
      <c r="AI5">
        <f>'NIPA 1.14'!AI14</f>
        <v>28940</v>
      </c>
      <c r="AJ5">
        <f>'NIPA 1.14'!AJ14</f>
        <v>31234</v>
      </c>
      <c r="AK5">
        <f>'NIPA 1.14'!AK14</f>
        <v>33170</v>
      </c>
      <c r="AL5">
        <f>'NIPA 1.14'!AL14</f>
        <v>35588</v>
      </c>
      <c r="AM5">
        <f>'NIPA 1.14'!AM14</f>
        <v>37816</v>
      </c>
      <c r="AN5">
        <f>'NIPA 1.14'!AN14</f>
        <v>38913</v>
      </c>
      <c r="AO5">
        <f>'NIPA 1.14'!AO14</f>
        <v>41389</v>
      </c>
      <c r="AP5">
        <f>'NIPA 1.14'!AP14</f>
        <v>47847</v>
      </c>
      <c r="AQ5">
        <f>'NIPA 1.14'!AQ14</f>
        <v>52896</v>
      </c>
      <c r="AR5">
        <f>'NIPA 1.14'!AR14</f>
        <v>56965</v>
      </c>
      <c r="AS5">
        <f>'NIPA 1.14'!AS14</f>
        <v>62805</v>
      </c>
      <c r="AT5">
        <f>'NIPA 1.14'!AT14</f>
        <v>67290</v>
      </c>
      <c r="AU5">
        <f>'NIPA 1.14'!AU14</f>
        <v>74125</v>
      </c>
      <c r="AV5">
        <f>'NIPA 1.14'!AV14</f>
        <v>78624</v>
      </c>
      <c r="AW5">
        <f>'NIPA 1.14'!AW14</f>
        <v>84498</v>
      </c>
      <c r="AX5">
        <f>'NIPA 1.14'!AX14</f>
        <v>91413</v>
      </c>
      <c r="AY5">
        <f>'NIPA 1.14'!AY14</f>
        <v>100018</v>
      </c>
      <c r="AZ5">
        <f>'NIPA 1.14'!AZ14</f>
        <v>108702</v>
      </c>
      <c r="BA5">
        <f>'NIPA 1.14'!BA14</f>
        <v>115009</v>
      </c>
      <c r="BB5">
        <f>'NIPA 1.14'!BB14</f>
        <v>128574</v>
      </c>
      <c r="BC5">
        <f>'NIPA 1.14'!BC14</f>
        <v>154404</v>
      </c>
      <c r="BD5">
        <f>'NIPA 1.14'!BD14</f>
        <v>161301</v>
      </c>
      <c r="BE5">
        <f>'NIPA 1.14'!BE14</f>
        <v>177439</v>
      </c>
      <c r="BF5">
        <f>'NIPA 1.14'!BF14</f>
        <v>195621</v>
      </c>
      <c r="BG5">
        <f>'NIPA 1.14'!BG14</f>
        <v>209049</v>
      </c>
      <c r="BH5">
        <f>'NIPA 1.14'!BH14</f>
        <v>219623</v>
      </c>
      <c r="BI5">
        <f>'NIPA 1.14'!BI14</f>
        <v>233366</v>
      </c>
      <c r="BJ5">
        <f>'NIPA 1.14'!BJ14</f>
        <v>252014</v>
      </c>
      <c r="BK5">
        <f>'NIPA 1.14'!BK14</f>
        <v>267544</v>
      </c>
      <c r="BL5">
        <f>'NIPA 1.14'!BL14</f>
        <v>284469</v>
      </c>
      <c r="BM5">
        <f>'NIPA 1.14'!BM14</f>
        <v>307936</v>
      </c>
      <c r="BN5">
        <f>'NIPA 1.14'!BN14</f>
        <v>325895</v>
      </c>
      <c r="BO5">
        <f>'NIPA 1.14'!BO14</f>
        <v>343758</v>
      </c>
      <c r="BP5">
        <f>'NIPA 1.14'!BP14</f>
        <v>376108</v>
      </c>
      <c r="BQ5">
        <f>'NIPA 1.14'!BQ14</f>
        <v>384752</v>
      </c>
      <c r="BR5">
        <f>'NIPA 1.14'!BR14</f>
        <v>398416</v>
      </c>
      <c r="BS5">
        <f>'NIPA 1.14'!BS14</f>
        <v>416929</v>
      </c>
      <c r="BT5">
        <f>'NIPA 1.14'!BT14</f>
        <v>430775</v>
      </c>
      <c r="BU5">
        <f>'NIPA 1.14'!BU14</f>
        <v>453905</v>
      </c>
      <c r="BV5">
        <f>'NIPA 1.14'!BV14</f>
        <v>479695</v>
      </c>
      <c r="BW5">
        <f>'NIPA 1.14'!BW14</f>
        <v>469410</v>
      </c>
      <c r="BX5">
        <f>'NIPA 1.14'!BX14</f>
        <v>497529</v>
      </c>
      <c r="BY5">
        <f>'NIPA 1.14'!BY14</f>
        <v>524274</v>
      </c>
      <c r="BZ5">
        <f>'NIPA 1.14'!BZ14</f>
        <v>569371</v>
      </c>
      <c r="CA5">
        <f>'NIPA 1.14'!CA14</f>
        <v>616267</v>
      </c>
      <c r="CB5">
        <f>'NIPA 1.14'!CB14</f>
        <v>654523</v>
      </c>
      <c r="CC5">
        <f>'NIPA 1.14'!CC14</f>
        <v>676292</v>
      </c>
      <c r="CD5">
        <f>'NIPA 1.14'!CD14</f>
        <v>684959</v>
      </c>
      <c r="CE5">
        <f>'NIPA 1.14'!CE14</f>
        <v>655455</v>
      </c>
      <c r="CF5">
        <f>'NIPA 1.14'!CF14</f>
        <v>684947</v>
      </c>
      <c r="CG5">
        <f>'NIPA 1.14'!CG14</f>
        <v>718673</v>
      </c>
      <c r="CH5">
        <f>'NIPA 1.14'!CH14</f>
        <v>743190</v>
      </c>
      <c r="CI5">
        <f>'NIPA 1.14'!CI14</f>
        <v>776657</v>
      </c>
      <c r="CJ5">
        <f>'NIPA 1.14'!CJ14</f>
        <v>812932</v>
      </c>
      <c r="CK5">
        <f>'NIPA 1.14'!CK14</f>
        <v>834841</v>
      </c>
      <c r="CL5">
        <f>'NIPA 1.14'!CL14</f>
        <v>851727</v>
      </c>
      <c r="CM5">
        <f>'NIPA 1.14'!CM14</f>
        <v>884628</v>
      </c>
      <c r="CN5">
        <f>'NIPA 1.14'!CN14</f>
        <v>948175</v>
      </c>
      <c r="CO5">
        <f>'NIPA 1.14'!CO14</f>
        <v>993339</v>
      </c>
      <c r="CP5">
        <f>'NIPA 1.14'!CP14</f>
        <v>578408</v>
      </c>
      <c r="CQ5">
        <f>'NIPA 1.14'!CQ14</f>
        <v>764921</v>
      </c>
      <c r="CR5">
        <f>'NIPA 1.14'!CR14</f>
        <v>1179906</v>
      </c>
      <c r="CS5">
        <f>'NIPA 1.14'!CS14</f>
        <v>1194608</v>
      </c>
      <c r="CT5">
        <f>'NIPA 1.14'!CT14</f>
        <v>1250767</v>
      </c>
    </row>
    <row r="6" spans="1:99">
      <c r="A6" t="s">
        <v>1452</v>
      </c>
      <c r="B6" t="s">
        <v>1448</v>
      </c>
      <c r="C6">
        <f>'NIPA 1.14'!C15</f>
        <v>12337</v>
      </c>
      <c r="D6">
        <f>'NIPA 1.14'!D15</f>
        <v>9253</v>
      </c>
      <c r="E6">
        <f>'NIPA 1.14'!E15</f>
        <v>4883</v>
      </c>
      <c r="F6">
        <f>'NIPA 1.14'!F15</f>
        <v>1666</v>
      </c>
      <c r="G6">
        <f>'NIPA 1.14'!G15</f>
        <v>1399</v>
      </c>
      <c r="H6">
        <f>'NIPA 1.14'!H15</f>
        <v>4261</v>
      </c>
      <c r="I6">
        <f>'NIPA 1.14'!I15</f>
        <v>5752</v>
      </c>
      <c r="J6">
        <f>'NIPA 1.14'!J15</f>
        <v>7838</v>
      </c>
      <c r="K6">
        <f>'NIPA 1.14'!K15</f>
        <v>8426</v>
      </c>
      <c r="L6">
        <f>'NIPA 1.14'!L15</f>
        <v>6339</v>
      </c>
      <c r="M6">
        <f>'NIPA 1.14'!M15</f>
        <v>7932</v>
      </c>
      <c r="N6">
        <f>'NIPA 1.14'!N15</f>
        <v>11073</v>
      </c>
      <c r="O6">
        <f>'NIPA 1.14'!O15</f>
        <v>16721</v>
      </c>
      <c r="P6">
        <f>'NIPA 1.14'!P15</f>
        <v>21820</v>
      </c>
      <c r="Q6">
        <f>'NIPA 1.14'!Q15</f>
        <v>25979</v>
      </c>
      <c r="R6">
        <f>'NIPA 1.14'!R15</f>
        <v>25913</v>
      </c>
      <c r="S6">
        <f>'NIPA 1.14'!S15</f>
        <v>21462</v>
      </c>
      <c r="T6">
        <f>'NIPA 1.14'!T15</f>
        <v>18179</v>
      </c>
      <c r="U6">
        <f>'NIPA 1.14'!U15</f>
        <v>24046</v>
      </c>
      <c r="V6">
        <f>'NIPA 1.14'!V15</f>
        <v>30715</v>
      </c>
      <c r="W6">
        <f>'NIPA 1.14'!W15</f>
        <v>28441</v>
      </c>
      <c r="X6">
        <f>'NIPA 1.14'!X15</f>
        <v>35351</v>
      </c>
      <c r="Y6">
        <f>'NIPA 1.14'!Y15</f>
        <v>40249</v>
      </c>
      <c r="Z6">
        <f>'NIPA 1.14'!Z15</f>
        <v>38565</v>
      </c>
      <c r="AA6">
        <f>'NIPA 1.14'!AA15</f>
        <v>39431</v>
      </c>
      <c r="AB6">
        <f>'NIPA 1.14'!AB15</f>
        <v>38376</v>
      </c>
      <c r="AC6">
        <f>'NIPA 1.14'!AC15</f>
        <v>49048</v>
      </c>
      <c r="AD6">
        <f>'NIPA 1.14'!AD15</f>
        <v>48272</v>
      </c>
      <c r="AE6">
        <f>'NIPA 1.14'!AE15</f>
        <v>47789</v>
      </c>
      <c r="AF6">
        <f>'NIPA 1.14'!AF15</f>
        <v>43321</v>
      </c>
      <c r="AG6">
        <f>'NIPA 1.14'!AG15</f>
        <v>53984</v>
      </c>
      <c r="AH6">
        <f>'NIPA 1.14'!AH15</f>
        <v>52858</v>
      </c>
      <c r="AI6">
        <f>'NIPA 1.14'!AI15</f>
        <v>54711</v>
      </c>
      <c r="AJ6">
        <f>'NIPA 1.14'!AJ15</f>
        <v>62883</v>
      </c>
      <c r="AK6">
        <f>'NIPA 1.14'!AK15</f>
        <v>69109</v>
      </c>
      <c r="AL6">
        <f>'NIPA 1.14'!AL15</f>
        <v>76802</v>
      </c>
      <c r="AM6">
        <f>'NIPA 1.14'!AM15</f>
        <v>88957</v>
      </c>
      <c r="AN6">
        <f>'NIPA 1.14'!AN15</f>
        <v>96789</v>
      </c>
      <c r="AO6">
        <f>'NIPA 1.14'!AO15</f>
        <v>96269</v>
      </c>
      <c r="AP6">
        <f>'NIPA 1.14'!AP15</f>
        <v>104090</v>
      </c>
      <c r="AQ6">
        <f>'NIPA 1.14'!AQ15</f>
        <v>104599</v>
      </c>
      <c r="AR6">
        <f>'NIPA 1.14'!AR15</f>
        <v>95348</v>
      </c>
      <c r="AS6">
        <f>'NIPA 1.14'!AS15</f>
        <v>108847</v>
      </c>
      <c r="AT6">
        <f>'NIPA 1.14'!AT15</f>
        <v>124002</v>
      </c>
      <c r="AU6">
        <f>'NIPA 1.14'!AU15</f>
        <v>138039</v>
      </c>
      <c r="AV6">
        <f>'NIPA 1.14'!AV15</f>
        <v>137593</v>
      </c>
      <c r="AW6">
        <f>'NIPA 1.14'!AW15</f>
        <v>159714</v>
      </c>
      <c r="AX6">
        <f>'NIPA 1.14'!AX15</f>
        <v>188081</v>
      </c>
      <c r="AY6">
        <f>'NIPA 1.14'!AY15</f>
        <v>220349</v>
      </c>
      <c r="AZ6">
        <f>'NIPA 1.14'!AZ15</f>
        <v>254214</v>
      </c>
      <c r="BA6">
        <f>'NIPA 1.14'!BA15</f>
        <v>261553</v>
      </c>
      <c r="BB6">
        <f>'NIPA 1.14'!BB15</f>
        <v>259716</v>
      </c>
      <c r="BC6">
        <f>'NIPA 1.14'!BC15</f>
        <v>315280</v>
      </c>
      <c r="BD6">
        <f>'NIPA 1.14'!BD15</f>
        <v>309630</v>
      </c>
      <c r="BE6">
        <f>'NIPA 1.14'!BE15</f>
        <v>356159</v>
      </c>
      <c r="BF6">
        <f>'NIPA 1.14'!BF15</f>
        <v>434916</v>
      </c>
      <c r="BG6">
        <f>'NIPA 1.14'!BG15</f>
        <v>449649</v>
      </c>
      <c r="BH6">
        <f>'NIPA 1.14'!BH15</f>
        <v>413928</v>
      </c>
      <c r="BI6">
        <f>'NIPA 1.14'!BI15</f>
        <v>442835</v>
      </c>
      <c r="BJ6">
        <f>'NIPA 1.14'!BJ15</f>
        <v>488358</v>
      </c>
      <c r="BK6">
        <f>'NIPA 1.14'!BK15</f>
        <v>506123</v>
      </c>
      <c r="BL6">
        <f>'NIPA 1.14'!BL15</f>
        <v>493252</v>
      </c>
      <c r="BM6">
        <f>'NIPA 1.14'!BM15</f>
        <v>489313</v>
      </c>
      <c r="BN6">
        <f>'NIPA 1.14'!BN15</f>
        <v>501640</v>
      </c>
      <c r="BO6">
        <f>'NIPA 1.14'!BO15</f>
        <v>542179</v>
      </c>
      <c r="BP6">
        <f>'NIPA 1.14'!BP15</f>
        <v>637379</v>
      </c>
      <c r="BQ6">
        <f>'NIPA 1.14'!BQ15</f>
        <v>711162</v>
      </c>
      <c r="BR6">
        <f>'NIPA 1.14'!BR15</f>
        <v>791760</v>
      </c>
      <c r="BS6">
        <f>'NIPA 1.14'!BS15</f>
        <v>879591</v>
      </c>
      <c r="BT6">
        <f>'NIPA 1.14'!BT15</f>
        <v>881203</v>
      </c>
      <c r="BU6">
        <f>'NIPA 1.14'!BU15</f>
        <v>894212</v>
      </c>
      <c r="BV6">
        <f>'NIPA 1.14'!BV15</f>
        <v>888960</v>
      </c>
      <c r="BW6">
        <f>'NIPA 1.14'!BW15</f>
        <v>830788</v>
      </c>
      <c r="BX6">
        <f>'NIPA 1.14'!BX15</f>
        <v>913682</v>
      </c>
      <c r="BY6">
        <f>'NIPA 1.14'!BY15</f>
        <v>1027260</v>
      </c>
      <c r="BZ6">
        <f>'NIPA 1.14'!BZ15</f>
        <v>1177419</v>
      </c>
      <c r="CA6">
        <f>'NIPA 1.14'!CA15</f>
        <v>1384109</v>
      </c>
      <c r="CB6">
        <f>'NIPA 1.14'!CB15</f>
        <v>1574260</v>
      </c>
      <c r="CC6">
        <f>'NIPA 1.14'!CC15</f>
        <v>1439784</v>
      </c>
      <c r="CD6">
        <f>'NIPA 1.14'!CD15</f>
        <v>1226760</v>
      </c>
      <c r="CE6">
        <f>'NIPA 1.14'!CE15</f>
        <v>1290752</v>
      </c>
      <c r="CF6">
        <f>'NIPA 1.14'!CF15</f>
        <v>1580572</v>
      </c>
      <c r="CG6">
        <f>'NIPA 1.14'!CG15</f>
        <v>1651835</v>
      </c>
      <c r="CH6">
        <f>'NIPA 1.14'!CH15</f>
        <v>1856116</v>
      </c>
      <c r="CI6">
        <f>'NIPA 1.14'!CI15</f>
        <v>1875859</v>
      </c>
      <c r="CJ6">
        <f>'NIPA 1.14'!CJ15</f>
        <v>2061056</v>
      </c>
      <c r="CK6">
        <f>'NIPA 1.14'!CK15</f>
        <v>2117610</v>
      </c>
      <c r="CL6">
        <f>'NIPA 1.14'!CL15</f>
        <v>2093040</v>
      </c>
      <c r="CM6">
        <f>'NIPA 1.14'!CM15</f>
        <v>2106659</v>
      </c>
      <c r="CN6">
        <f>'NIPA 1.14'!CN15</f>
        <v>2273961</v>
      </c>
      <c r="CO6">
        <f>'NIPA 1.14'!CO15</f>
        <v>2339171</v>
      </c>
      <c r="CP6">
        <f>'NIPA 1.14'!CP15</f>
        <v>2380724</v>
      </c>
      <c r="CQ6">
        <f>'NIPA 1.14'!CQ15</f>
        <v>3100089</v>
      </c>
      <c r="CR6">
        <f>'NIPA 1.14'!CR15</f>
        <v>3350735</v>
      </c>
      <c r="CS6">
        <f>'NIPA 1.14'!CS15</f>
        <v>3523348</v>
      </c>
      <c r="CT6">
        <f>'NIPA 1.14'!CT15</f>
        <v>3683673</v>
      </c>
    </row>
    <row r="7" spans="1:99">
      <c r="A7" t="s">
        <v>1453</v>
      </c>
      <c r="B7" t="s">
        <v>1448</v>
      </c>
      <c r="C7">
        <f>'NIPA 1.14'!C17</f>
        <v>355</v>
      </c>
      <c r="D7">
        <f>'NIPA 1.14'!D17</f>
        <v>354</v>
      </c>
      <c r="E7">
        <f>'NIPA 1.14'!E17</f>
        <v>406</v>
      </c>
      <c r="F7">
        <f>'NIPA 1.14'!F17</f>
        <v>425</v>
      </c>
      <c r="G7">
        <f>'NIPA 1.14'!G17</f>
        <v>404</v>
      </c>
      <c r="H7">
        <f>'NIPA 1.14'!H17</f>
        <v>390</v>
      </c>
      <c r="I7">
        <f>'NIPA 1.14'!I17</f>
        <v>368</v>
      </c>
      <c r="J7">
        <f>'NIPA 1.14'!J17</f>
        <v>353</v>
      </c>
      <c r="K7">
        <f>'NIPA 1.14'!K17</f>
        <v>342</v>
      </c>
      <c r="L7">
        <f>'NIPA 1.14'!L17</f>
        <v>311</v>
      </c>
      <c r="M7">
        <f>'NIPA 1.14'!M17</f>
        <v>328</v>
      </c>
      <c r="N7">
        <f>'NIPA 1.14'!N17</f>
        <v>347</v>
      </c>
      <c r="O7">
        <f>'NIPA 1.14'!O17</f>
        <v>419</v>
      </c>
      <c r="P7">
        <f>'NIPA 1.14'!P17</f>
        <v>428</v>
      </c>
      <c r="Q7">
        <f>'NIPA 1.14'!Q17</f>
        <v>526</v>
      </c>
      <c r="R7">
        <f>'NIPA 1.14'!R17</f>
        <v>672</v>
      </c>
      <c r="S7">
        <f>'NIPA 1.14'!S17</f>
        <v>749</v>
      </c>
      <c r="T7">
        <f>'NIPA 1.14'!T17</f>
        <v>572</v>
      </c>
      <c r="U7">
        <f>'NIPA 1.14'!U17</f>
        <v>591</v>
      </c>
      <c r="V7">
        <f>'NIPA 1.14'!V17</f>
        <v>577</v>
      </c>
      <c r="W7">
        <f>'NIPA 1.14'!W17</f>
        <v>555</v>
      </c>
      <c r="X7">
        <f>'NIPA 1.14'!X17</f>
        <v>694</v>
      </c>
      <c r="Y7">
        <f>'NIPA 1.14'!Y17</f>
        <v>1017</v>
      </c>
      <c r="Z7">
        <f>'NIPA 1.14'!Z17</f>
        <v>1038</v>
      </c>
      <c r="AA7">
        <f>'NIPA 1.14'!AA17</f>
        <v>981</v>
      </c>
      <c r="AB7">
        <f>'NIPA 1.14'!AB17</f>
        <v>719</v>
      </c>
      <c r="AC7">
        <f>'NIPA 1.14'!AC17</f>
        <v>1095</v>
      </c>
      <c r="AD7">
        <f>'NIPA 1.14'!AD17</f>
        <v>1428</v>
      </c>
      <c r="AE7">
        <f>'NIPA 1.14'!AE17</f>
        <v>1577</v>
      </c>
      <c r="AF7">
        <f>'NIPA 1.14'!AF17</f>
        <v>1432</v>
      </c>
      <c r="AG7">
        <f>'NIPA 1.14'!AG17</f>
        <v>1381</v>
      </c>
      <c r="AH7">
        <f>'NIPA 1.14'!AH17</f>
        <v>1502</v>
      </c>
      <c r="AI7">
        <f>'NIPA 1.14'!AI17</f>
        <v>1650</v>
      </c>
      <c r="AJ7">
        <f>'NIPA 1.14'!AJ17</f>
        <v>1852</v>
      </c>
      <c r="AK7">
        <f>'NIPA 1.14'!AK17</f>
        <v>2286</v>
      </c>
      <c r="AL7">
        <f>'NIPA 1.14'!AL17</f>
        <v>2747</v>
      </c>
      <c r="AM7">
        <f>'NIPA 1.14'!AM17</f>
        <v>3138</v>
      </c>
      <c r="AN7">
        <f>'NIPA 1.14'!AN17</f>
        <v>2874</v>
      </c>
      <c r="AO7">
        <f>'NIPA 1.14'!AO17</f>
        <v>3137</v>
      </c>
      <c r="AP7">
        <f>'NIPA 1.14'!AP17</f>
        <v>3713</v>
      </c>
      <c r="AQ7">
        <f>'NIPA 1.14'!AQ17</f>
        <v>4287</v>
      </c>
      <c r="AR7">
        <f>'NIPA 1.14'!AR17</f>
        <v>3745</v>
      </c>
      <c r="AS7">
        <f>'NIPA 1.14'!AS17</f>
        <v>3413</v>
      </c>
      <c r="AT7">
        <f>'NIPA 1.14'!AT17</f>
        <v>3890</v>
      </c>
      <c r="AU7">
        <f>'NIPA 1.14'!AU17</f>
        <v>4804</v>
      </c>
      <c r="AV7">
        <f>'NIPA 1.14'!AV17</f>
        <v>6282</v>
      </c>
      <c r="AW7">
        <f>'NIPA 1.14'!AW17</f>
        <v>8247</v>
      </c>
      <c r="AX7">
        <f>'NIPA 1.14'!AX17</f>
        <v>7584</v>
      </c>
      <c r="AY7">
        <f>'NIPA 1.14'!AY17</f>
        <v>6006</v>
      </c>
      <c r="AZ7">
        <f>'NIPA 1.14'!AZ17</f>
        <v>7906</v>
      </c>
      <c r="BA7">
        <f>'NIPA 1.14'!BA17</f>
        <v>10823</v>
      </c>
      <c r="BB7">
        <f>'NIPA 1.14'!BB17</f>
        <v>12044</v>
      </c>
      <c r="BC7">
        <f>'NIPA 1.14'!BC17</f>
        <v>14271</v>
      </c>
      <c r="BD7">
        <f>'NIPA 1.14'!BD17</f>
        <v>16632</v>
      </c>
      <c r="BE7">
        <f>'NIPA 1.14'!BE17</f>
        <v>19486</v>
      </c>
      <c r="BF7">
        <f>'NIPA 1.14'!BF17</f>
        <v>26904</v>
      </c>
      <c r="BG7">
        <f>'NIPA 1.14'!BG17</f>
        <v>30878</v>
      </c>
      <c r="BH7">
        <f>'NIPA 1.14'!BH17</f>
        <v>29286</v>
      </c>
      <c r="BI7">
        <f>'NIPA 1.14'!BI17</f>
        <v>24915</v>
      </c>
      <c r="BJ7">
        <f>'NIPA 1.14'!BJ17</f>
        <v>26350</v>
      </c>
      <c r="BK7">
        <f>'NIPA 1.14'!BK17</f>
        <v>33630</v>
      </c>
      <c r="BL7">
        <f>'NIPA 1.14'!BL17</f>
        <v>33991</v>
      </c>
      <c r="BM7">
        <f>'NIPA 1.14'!BM17</f>
        <v>33652</v>
      </c>
      <c r="BN7">
        <f>'NIPA 1.14'!BN17</f>
        <v>33956</v>
      </c>
      <c r="BO7">
        <f>'NIPA 1.14'!BO17</f>
        <v>31750</v>
      </c>
      <c r="BP7">
        <f>'NIPA 1.14'!BP17</f>
        <v>32199</v>
      </c>
      <c r="BQ7">
        <f>'NIPA 1.14'!BQ17</f>
        <v>36897</v>
      </c>
      <c r="BR7">
        <f>'NIPA 1.14'!BR17</f>
        <v>43745</v>
      </c>
      <c r="BS7">
        <f>'NIPA 1.14'!BS17</f>
        <v>34368</v>
      </c>
      <c r="BT7">
        <f>'NIPA 1.14'!BT17</f>
        <v>52822</v>
      </c>
      <c r="BU7">
        <f>'NIPA 1.14'!BU17</f>
        <v>53845</v>
      </c>
      <c r="BV7">
        <f>'NIPA 1.14'!BV17</f>
        <v>72406</v>
      </c>
      <c r="BW7">
        <f>'NIPA 1.14'!BW17</f>
        <v>84817</v>
      </c>
      <c r="BX7">
        <f>'NIPA 1.14'!BX17</f>
        <v>61611</v>
      </c>
      <c r="BY7">
        <f>'NIPA 1.14'!BY17</f>
        <v>50318</v>
      </c>
      <c r="BZ7">
        <f>'NIPA 1.14'!BZ17</f>
        <v>54603</v>
      </c>
      <c r="CA7">
        <f>'NIPA 1.14'!CA17</f>
        <v>55496</v>
      </c>
      <c r="CB7">
        <f>'NIPA 1.14'!CB17</f>
        <v>46542</v>
      </c>
      <c r="CC7">
        <f>'NIPA 1.14'!CC17</f>
        <v>68360</v>
      </c>
      <c r="CD7">
        <f>'NIPA 1.14'!CD17</f>
        <v>94819</v>
      </c>
      <c r="CE7">
        <f>'NIPA 1.14'!CE17</f>
        <v>96549</v>
      </c>
      <c r="CF7">
        <f>'NIPA 1.14'!CF17</f>
        <v>98666</v>
      </c>
      <c r="CG7">
        <f>'NIPA 1.14'!CG17</f>
        <v>106842</v>
      </c>
      <c r="CH7">
        <f>'NIPA 1.14'!CH17</f>
        <v>53156</v>
      </c>
      <c r="CI7">
        <f>'NIPA 1.14'!CI17</f>
        <v>65135</v>
      </c>
      <c r="CJ7">
        <f>'NIPA 1.14'!CJ17</f>
        <v>96997</v>
      </c>
      <c r="CK7">
        <f>'NIPA 1.14'!CK17</f>
        <v>121223</v>
      </c>
      <c r="CL7">
        <f>'NIPA 1.14'!CL17</f>
        <v>137067</v>
      </c>
      <c r="CM7">
        <f>'NIPA 1.14'!CM17</f>
        <v>111478</v>
      </c>
      <c r="CN7">
        <f>'NIPA 1.14'!CN17</f>
        <v>127201</v>
      </c>
      <c r="CO7">
        <f>'NIPA 1.14'!CO17</f>
        <v>136233</v>
      </c>
      <c r="CP7">
        <f>'NIPA 1.14'!CP17</f>
        <v>125481</v>
      </c>
      <c r="CQ7">
        <f>'NIPA 1.14'!CQ17</f>
        <v>152062</v>
      </c>
      <c r="CR7">
        <f>'NIPA 1.14'!CR17</f>
        <v>196648</v>
      </c>
      <c r="CS7">
        <f>'NIPA 1.14'!CS17</f>
        <v>211086</v>
      </c>
      <c r="CT7">
        <f>'NIPA 1.14'!CT17</f>
        <v>251287</v>
      </c>
    </row>
    <row r="8" spans="1:99">
      <c r="A8" t="s">
        <v>1454</v>
      </c>
      <c r="B8" t="s">
        <v>1448</v>
      </c>
      <c r="C8">
        <f>'NIPA 1.14'!C19</f>
        <v>1365</v>
      </c>
      <c r="D8">
        <f>'NIPA 1.14'!D19</f>
        <v>842</v>
      </c>
      <c r="E8">
        <f>'NIPA 1.14'!E19</f>
        <v>498</v>
      </c>
      <c r="F8">
        <f>'NIPA 1.14'!F19</f>
        <v>383</v>
      </c>
      <c r="G8">
        <f>'NIPA 1.14'!G19</f>
        <v>521</v>
      </c>
      <c r="H8">
        <f>'NIPA 1.14'!H19</f>
        <v>744</v>
      </c>
      <c r="I8">
        <f>'NIPA 1.14'!I19</f>
        <v>951</v>
      </c>
      <c r="J8">
        <f>'NIPA 1.14'!J19</f>
        <v>1409</v>
      </c>
      <c r="K8">
        <f>'NIPA 1.14'!K19</f>
        <v>1502</v>
      </c>
      <c r="L8">
        <f>'NIPA 1.14'!L19</f>
        <v>1029</v>
      </c>
      <c r="M8">
        <f>'NIPA 1.14'!M19</f>
        <v>1441</v>
      </c>
      <c r="N8">
        <f>'NIPA 1.14'!N19</f>
        <v>2834</v>
      </c>
      <c r="O8">
        <f>'NIPA 1.14'!O19</f>
        <v>7610</v>
      </c>
      <c r="P8">
        <f>'NIPA 1.14'!P19</f>
        <v>11415</v>
      </c>
      <c r="Q8">
        <f>'NIPA 1.14'!Q19</f>
        <v>14074</v>
      </c>
      <c r="R8">
        <f>'NIPA 1.14'!R19</f>
        <v>12949</v>
      </c>
      <c r="S8">
        <f>'NIPA 1.14'!S19</f>
        <v>10689</v>
      </c>
      <c r="T8">
        <f>'NIPA 1.14'!T19</f>
        <v>9104</v>
      </c>
      <c r="U8">
        <f>'NIPA 1.14'!U19</f>
        <v>11193</v>
      </c>
      <c r="V8">
        <f>'NIPA 1.14'!V19</f>
        <v>12254</v>
      </c>
      <c r="W8">
        <f>'NIPA 1.14'!W19</f>
        <v>10010</v>
      </c>
      <c r="X8">
        <f>'NIPA 1.14'!X19</f>
        <v>17728</v>
      </c>
      <c r="Y8">
        <f>'NIPA 1.14'!Y19</f>
        <v>22304</v>
      </c>
      <c r="Z8">
        <f>'NIPA 1.14'!Z19</f>
        <v>19107</v>
      </c>
      <c r="AA8">
        <f>'NIPA 1.14'!AA19</f>
        <v>19944</v>
      </c>
      <c r="AB8">
        <f>'NIPA 1.14'!AB19</f>
        <v>17348</v>
      </c>
      <c r="AC8">
        <f>'NIPA 1.14'!AC19</f>
        <v>21789</v>
      </c>
      <c r="AD8">
        <f>'NIPA 1.14'!AD19</f>
        <v>21591</v>
      </c>
      <c r="AE8">
        <f>'NIPA 1.14'!AE19</f>
        <v>20880</v>
      </c>
      <c r="AF8">
        <f>'NIPA 1.14'!AF19</f>
        <v>18440</v>
      </c>
      <c r="AG8">
        <f>'NIPA 1.14'!AG19</f>
        <v>22816</v>
      </c>
      <c r="AH8">
        <f>'NIPA 1.14'!AH19</f>
        <v>21885</v>
      </c>
      <c r="AI8">
        <f>'NIPA 1.14'!AI19</f>
        <v>22203</v>
      </c>
      <c r="AJ8">
        <f>'NIPA 1.14'!AJ19</f>
        <v>23296</v>
      </c>
      <c r="AK8">
        <f>'NIPA 1.14'!AK19</f>
        <v>25491</v>
      </c>
      <c r="AL8">
        <f>'NIPA 1.14'!AL19</f>
        <v>26573</v>
      </c>
      <c r="AM8">
        <f>'NIPA 1.14'!AM19</f>
        <v>29768</v>
      </c>
      <c r="AN8">
        <f>'NIPA 1.14'!AN19</f>
        <v>32232</v>
      </c>
      <c r="AO8">
        <f>'NIPA 1.14'!AO19</f>
        <v>30992</v>
      </c>
      <c r="AP8">
        <f>'NIPA 1.14'!AP19</f>
        <v>37164</v>
      </c>
      <c r="AQ8">
        <f>'NIPA 1.14'!AQ19</f>
        <v>36958</v>
      </c>
      <c r="AR8">
        <f>'NIPA 1.14'!AR19</f>
        <v>31263</v>
      </c>
      <c r="AS8">
        <f>'NIPA 1.14'!AS19</f>
        <v>34808</v>
      </c>
      <c r="AT8">
        <f>'NIPA 1.14'!AT19</f>
        <v>39110</v>
      </c>
      <c r="AU8">
        <f>'NIPA 1.14'!AU19</f>
        <v>45632</v>
      </c>
      <c r="AV8">
        <f>'NIPA 1.14'!AV19</f>
        <v>47235</v>
      </c>
      <c r="AW8">
        <f>'NIPA 1.14'!AW19</f>
        <v>46264</v>
      </c>
      <c r="AX8">
        <f>'NIPA 1.14'!AX19</f>
        <v>59418</v>
      </c>
      <c r="AY8">
        <f>'NIPA 1.14'!AY19</f>
        <v>68504</v>
      </c>
      <c r="AZ8">
        <f>'NIPA 1.14'!AZ19</f>
        <v>77852</v>
      </c>
      <c r="BA8">
        <f>'NIPA 1.14'!BA19</f>
        <v>80737</v>
      </c>
      <c r="BB8">
        <f>'NIPA 1.14'!BB19</f>
        <v>75484</v>
      </c>
      <c r="BC8">
        <f>'NIPA 1.14'!BC19</f>
        <v>70315</v>
      </c>
      <c r="BD8">
        <f>'NIPA 1.14'!BD19</f>
        <v>51294</v>
      </c>
      <c r="BE8">
        <f>'NIPA 1.14'!BE19</f>
        <v>66419</v>
      </c>
      <c r="BF8">
        <f>'NIPA 1.14'!BF19</f>
        <v>81477</v>
      </c>
      <c r="BG8">
        <f>'NIPA 1.14'!BG19</f>
        <v>81610</v>
      </c>
      <c r="BH8">
        <f>'NIPA 1.14'!BH19</f>
        <v>91871</v>
      </c>
      <c r="BI8">
        <f>'NIPA 1.14'!BI19</f>
        <v>112702</v>
      </c>
      <c r="BJ8">
        <f>'NIPA 1.14'!BJ19</f>
        <v>124266</v>
      </c>
      <c r="BK8">
        <f>'NIPA 1.14'!BK19</f>
        <v>124422</v>
      </c>
      <c r="BL8">
        <f>'NIPA 1.14'!BL19</f>
        <v>121816</v>
      </c>
      <c r="BM8">
        <f>'NIPA 1.14'!BM19</f>
        <v>117813</v>
      </c>
      <c r="BN8">
        <f>'NIPA 1.14'!BN19</f>
        <v>131914</v>
      </c>
      <c r="BO8">
        <f>'NIPA 1.14'!BO19</f>
        <v>155047</v>
      </c>
      <c r="BP8">
        <f>'NIPA 1.14'!BP19</f>
        <v>172671</v>
      </c>
      <c r="BQ8">
        <f>'NIPA 1.14'!BQ19</f>
        <v>194449</v>
      </c>
      <c r="BR8">
        <f>'NIPA 1.14'!BR19</f>
        <v>211386</v>
      </c>
      <c r="BS8">
        <f>'NIPA 1.14'!BS19</f>
        <v>224762</v>
      </c>
      <c r="BT8">
        <f>'NIPA 1.14'!BT19</f>
        <v>221805</v>
      </c>
      <c r="BU8">
        <f>'NIPA 1.14'!BU19</f>
        <v>227386</v>
      </c>
      <c r="BV8">
        <f>'NIPA 1.14'!BV19</f>
        <v>233448</v>
      </c>
      <c r="BW8">
        <f>'NIPA 1.14'!BW19</f>
        <v>170148</v>
      </c>
      <c r="BX8">
        <f>'NIPA 1.14'!BX19</f>
        <v>160674</v>
      </c>
      <c r="BY8">
        <f>'NIPA 1.14'!BY19</f>
        <v>213763</v>
      </c>
      <c r="BZ8">
        <f>'NIPA 1.14'!BZ19</f>
        <v>278512</v>
      </c>
      <c r="CA8">
        <f>'NIPA 1.14'!CA19</f>
        <v>379749</v>
      </c>
      <c r="CB8">
        <f>'NIPA 1.14'!CB19</f>
        <v>430147</v>
      </c>
      <c r="CC8">
        <f>'NIPA 1.14'!CC19</f>
        <v>391782</v>
      </c>
      <c r="CD8">
        <f>'NIPA 1.14'!CD19</f>
        <v>255918</v>
      </c>
      <c r="CE8">
        <f>'NIPA 1.14'!CE19</f>
        <v>203933</v>
      </c>
      <c r="CF8">
        <f>'NIPA 1.14'!CF19</f>
        <v>272267</v>
      </c>
      <c r="CG8">
        <f>'NIPA 1.14'!CG19</f>
        <v>280763</v>
      </c>
      <c r="CH8">
        <f>'NIPA 1.14'!CH19</f>
        <v>334589</v>
      </c>
      <c r="CI8">
        <f>'NIPA 1.14'!CI19</f>
        <v>362418</v>
      </c>
      <c r="CJ8">
        <f>'NIPA 1.14'!CJ19</f>
        <v>406890</v>
      </c>
      <c r="CK8">
        <f>'NIPA 1.14'!CK19</f>
        <v>396125</v>
      </c>
      <c r="CL8">
        <f>'NIPA 1.14'!CL19</f>
        <v>376034</v>
      </c>
      <c r="CM8">
        <f>'NIPA 1.14'!CM19</f>
        <v>297156</v>
      </c>
      <c r="CN8">
        <f>'NIPA 1.14'!CN19</f>
        <v>297423</v>
      </c>
      <c r="CO8">
        <f>'NIPA 1.14'!CO19</f>
        <v>297195</v>
      </c>
      <c r="CP8">
        <f>'NIPA 1.14'!CP19</f>
        <v>311059</v>
      </c>
      <c r="CQ8">
        <f>'NIPA 1.14'!CQ19</f>
        <v>468876</v>
      </c>
      <c r="CR8">
        <f>'NIPA 1.14'!CR19</f>
        <v>600568</v>
      </c>
      <c r="CS8">
        <f>'NIPA 1.14'!CS19</f>
        <v>613010</v>
      </c>
      <c r="CT8">
        <f>'NIPA 1.14'!CT19</f>
        <v>680341</v>
      </c>
    </row>
    <row r="9" spans="1:99">
      <c r="A9" t="s">
        <v>1455</v>
      </c>
      <c r="B9" t="s">
        <v>1448</v>
      </c>
      <c r="C9">
        <f>'FA 6.7'!AE10</f>
        <v>8158</v>
      </c>
      <c r="D9">
        <f>'FA 6.7'!AF10</f>
        <v>6759</v>
      </c>
      <c r="E9">
        <f>'FA 6.7'!AG10</f>
        <v>4381</v>
      </c>
      <c r="F9">
        <f>'FA 6.7'!AH10</f>
        <v>2687</v>
      </c>
      <c r="G9">
        <f>'FA 6.7'!AI10</f>
        <v>2487</v>
      </c>
      <c r="H9">
        <f>'FA 6.7'!AJ10</f>
        <v>3085</v>
      </c>
      <c r="I9">
        <f>'FA 6.7'!AK10</f>
        <v>3574</v>
      </c>
      <c r="J9">
        <f>'FA 6.7'!AL10</f>
        <v>4598</v>
      </c>
      <c r="K9">
        <f>'FA 6.7'!AM10</f>
        <v>5941</v>
      </c>
      <c r="L9">
        <f>'FA 6.7'!AN10</f>
        <v>4632</v>
      </c>
      <c r="M9">
        <f>'FA 6.7'!AO10</f>
        <v>5000</v>
      </c>
      <c r="N9">
        <f>'FA 6.7'!AP10</f>
        <v>6205</v>
      </c>
      <c r="O9">
        <f>'FA 6.7'!AQ10</f>
        <v>7644</v>
      </c>
      <c r="P9">
        <f>'FA 6.7'!AR10</f>
        <v>6138</v>
      </c>
      <c r="Q9">
        <f>'FA 6.7'!AS10</f>
        <v>5324</v>
      </c>
      <c r="R9">
        <f>'FA 6.7'!AT10</f>
        <v>6745</v>
      </c>
      <c r="S9">
        <f>'FA 6.7'!AU10</f>
        <v>9152</v>
      </c>
      <c r="T9">
        <f>'CapitalDataL4+'!I20</f>
        <v>13908</v>
      </c>
      <c r="U9">
        <f>'CapitalDataL4+'!J20</f>
        <v>17936</v>
      </c>
      <c r="V9">
        <f>'CapitalDataL4+'!K20</f>
        <v>19821</v>
      </c>
      <c r="W9">
        <f>'CapitalDataL4+'!L20</f>
        <v>18033</v>
      </c>
      <c r="X9">
        <f>'CapitalDataL4+'!M20</f>
        <v>19819</v>
      </c>
      <c r="Y9">
        <f>'CapitalDataL4+'!N20</f>
        <v>23784</v>
      </c>
      <c r="Z9">
        <f>'CapitalDataL4+'!O20</f>
        <v>25310</v>
      </c>
      <c r="AA9">
        <f>'CapitalDataL4+'!P20</f>
        <v>28106</v>
      </c>
      <c r="AB9">
        <f>'CapitalDataL4+'!Q20</f>
        <v>27881</v>
      </c>
      <c r="AC9">
        <f>'CapitalDataL4+'!R20</f>
        <v>30955</v>
      </c>
      <c r="AD9">
        <f>'CapitalDataL4+'!S20</f>
        <v>37369</v>
      </c>
      <c r="AE9">
        <f>'CapitalDataL4+'!T20</f>
        <v>40302</v>
      </c>
      <c r="AF9">
        <f>'CapitalDataL4+'!U20</f>
        <v>35375</v>
      </c>
      <c r="AG9">
        <f>'CapitalDataL4+'!V20</f>
        <v>39121</v>
      </c>
      <c r="AH9">
        <f>'CapitalDataL4+'!W20</f>
        <v>42507</v>
      </c>
      <c r="AI9">
        <f>'CapitalDataL4+'!X20</f>
        <v>42515</v>
      </c>
      <c r="AJ9">
        <f>'CapitalDataL4+'!Y20</f>
        <v>45895</v>
      </c>
      <c r="AK9">
        <f>'CapitalDataL4+'!Z20</f>
        <v>48728</v>
      </c>
      <c r="AL9">
        <f>'CapitalDataL4+'!AA20</f>
        <v>54836</v>
      </c>
      <c r="AM9">
        <f>'CapitalDataL4+'!AB20</f>
        <v>65227</v>
      </c>
      <c r="AN9">
        <f>'CapitalDataL4+'!AC20</f>
        <v>75632</v>
      </c>
      <c r="AO9">
        <f>'CapitalDataL4+'!AD20</f>
        <v>77917</v>
      </c>
      <c r="AP9">
        <f>'CapitalDataL4+'!AE20</f>
        <v>85547</v>
      </c>
      <c r="AQ9">
        <f>'CapitalDataL4+'!AF20</f>
        <v>94907</v>
      </c>
      <c r="AR9">
        <f>'CapitalDataL4+'!AG20</f>
        <v>98225</v>
      </c>
      <c r="AS9">
        <f>'CapitalDataL4+'!AH20</f>
        <v>102382</v>
      </c>
      <c r="AT9">
        <f>'CapitalDataL4+'!AI20</f>
        <v>115312</v>
      </c>
      <c r="AU9">
        <f>'CapitalDataL4+'!AJ20</f>
        <v>135583</v>
      </c>
      <c r="AV9">
        <f>'CapitalDataL4+'!AK20</f>
        <v>153692</v>
      </c>
      <c r="AW9">
        <f>'CapitalDataL4+'!AL20</f>
        <v>157334</v>
      </c>
      <c r="AX9">
        <f>'CapitalDataL4+'!AM20</f>
        <v>176149</v>
      </c>
      <c r="AY9">
        <f>'CapitalDataL4+'!AN20</f>
        <v>209028</v>
      </c>
      <c r="AZ9">
        <f>'CapitalDataL4+'!AO20</f>
        <v>254178</v>
      </c>
      <c r="BA9">
        <f>'CapitalDataL4+'!AP20</f>
        <v>300779</v>
      </c>
      <c r="BB9">
        <f>'CapitalDataL4+'!AQ20</f>
        <v>331935</v>
      </c>
      <c r="BC9">
        <f>'CapitalDataL4+'!AR20</f>
        <v>380927</v>
      </c>
      <c r="BD9">
        <f>'CapitalDataL4+'!AS20</f>
        <v>391653</v>
      </c>
      <c r="BE9">
        <f>'CapitalDataL4+'!AT20</f>
        <v>394525</v>
      </c>
      <c r="BF9">
        <f>'CapitalDataL4+'!AU20</f>
        <v>462224</v>
      </c>
      <c r="BG9">
        <f>'CapitalDataL4+'!AV20</f>
        <v>496221</v>
      </c>
      <c r="BH9">
        <f>'CapitalDataL4+'!AW20</f>
        <v>497379</v>
      </c>
      <c r="BI9">
        <f>'CapitalDataL4+'!AX20</f>
        <v>495747</v>
      </c>
      <c r="BJ9">
        <f>'CapitalDataL4+'!AY20</f>
        <v>531554</v>
      </c>
      <c r="BK9">
        <f>'CapitalDataL4+'!AZ20</f>
        <v>580075</v>
      </c>
      <c r="BL9">
        <f>'CapitalDataL4+'!BA20</f>
        <v>613590</v>
      </c>
      <c r="BM9">
        <f>'CapitalDataL4+'!BB20</f>
        <v>604246</v>
      </c>
      <c r="BN9">
        <f>'CapitalDataL4+'!BC20</f>
        <v>625007</v>
      </c>
      <c r="BO9">
        <f>'CapitalDataL4+'!BD20</f>
        <v>672172</v>
      </c>
      <c r="BP9">
        <f>'CapitalDataL4+'!BE20</f>
        <v>733941</v>
      </c>
      <c r="BQ9">
        <f>'CapitalDataL4+'!BF20</f>
        <v>818203</v>
      </c>
      <c r="BR9">
        <f>'CapitalDataL4+'!BG20</f>
        <v>890313</v>
      </c>
      <c r="BS9">
        <f>'CapitalDataL4+'!BH20</f>
        <v>975782</v>
      </c>
      <c r="BT9">
        <f>'CapitalDataL4+'!BI20</f>
        <v>1056954</v>
      </c>
      <c r="BU9">
        <f>'CapitalDataL4+'!BJ20</f>
        <v>1150102</v>
      </c>
      <c r="BV9">
        <f>'CapitalDataL4+'!BK20</f>
        <v>1260108</v>
      </c>
      <c r="BW9">
        <f>'CapitalDataL4+'!BL20</f>
        <v>1218854</v>
      </c>
      <c r="BX9">
        <f>'CapitalDataL4+'!BM20</f>
        <v>1101031</v>
      </c>
      <c r="BY9">
        <f>'CapitalDataL4+'!BN20</f>
        <v>1119606</v>
      </c>
      <c r="BZ9">
        <f>'CapitalDataL4+'!BO20</f>
        <v>1194308</v>
      </c>
      <c r="CA9">
        <f>'CapitalDataL4+'!BP20</f>
        <v>1325522</v>
      </c>
      <c r="CB9">
        <f>'CapitalDataL4+'!BQ20</f>
        <v>1463653</v>
      </c>
      <c r="CC9">
        <f>'CapitalDataL4+'!BR20</f>
        <v>1582694</v>
      </c>
      <c r="CD9">
        <f>'CapitalDataL4+'!BS20</f>
        <v>1603605</v>
      </c>
      <c r="CE9">
        <f>'CapitalDataL4+'!BT20</f>
        <v>1349129</v>
      </c>
      <c r="CF9">
        <f>'CapitalDataL4+'!BU20</f>
        <v>1404520</v>
      </c>
      <c r="CG9">
        <f>'CapitalDataL4+'!BV20</f>
        <v>1559068</v>
      </c>
      <c r="CH9">
        <f>'CapitalDataL4+'!BW20</f>
        <v>1736264</v>
      </c>
      <c r="CI9">
        <f>'CapitalDataL4+'!BX20</f>
        <v>1785270</v>
      </c>
      <c r="CJ9">
        <f>'CapitalDataL4+'!BY20</f>
        <v>1975099</v>
      </c>
      <c r="CK9">
        <f>'CapitalDataL4+'!BZ20</f>
        <v>2030522</v>
      </c>
      <c r="CL9">
        <f>'CapitalDataL4+'!CA20</f>
        <v>2070877</v>
      </c>
      <c r="CM9">
        <f>'CapitalDataL4+'!CB20</f>
        <v>2167317</v>
      </c>
      <c r="CN9">
        <f>'CapitalDataL4+'!CC20</f>
        <v>2346898</v>
      </c>
      <c r="CO9">
        <f>'CapitalDataL4+'!CD20</f>
        <v>2428373</v>
      </c>
      <c r="CP9">
        <f>'CapitalDataL4+'!CE20</f>
        <v>2336273</v>
      </c>
      <c r="CQ9">
        <f>'CapitalDataL4+'!CF20</f>
        <v>2539424</v>
      </c>
      <c r="CR9">
        <f>'CapitalDataL4+'!CG20</f>
        <v>2867093</v>
      </c>
      <c r="CS9">
        <f>'CapitalDataL4+'!CH20</f>
        <v>3169501</v>
      </c>
      <c r="CT9">
        <f>'CapitalDataL4+'!CI20</f>
        <v>3308281</v>
      </c>
    </row>
    <row r="10" spans="1:99">
      <c r="A10" t="s">
        <v>1456</v>
      </c>
      <c r="B10" t="s">
        <v>1448</v>
      </c>
      <c r="C10">
        <f>C2-C4-C5-C7-C8-C9</f>
        <v>7687</v>
      </c>
      <c r="D10">
        <f t="shared" ref="D10:BO10" si="0">D2-D4-D5-D7-D8-D9</f>
        <v>6378</v>
      </c>
      <c r="E10">
        <f t="shared" si="0"/>
        <v>4350</v>
      </c>
      <c r="F10">
        <f t="shared" si="0"/>
        <v>2411</v>
      </c>
      <c r="G10">
        <f t="shared" si="0"/>
        <v>1995</v>
      </c>
      <c r="H10">
        <f t="shared" si="0"/>
        <v>4146</v>
      </c>
      <c r="I10">
        <f t="shared" si="0"/>
        <v>5043</v>
      </c>
      <c r="J10">
        <f t="shared" si="0"/>
        <v>5726</v>
      </c>
      <c r="K10">
        <f t="shared" si="0"/>
        <v>5385</v>
      </c>
      <c r="L10">
        <f t="shared" si="0"/>
        <v>5187</v>
      </c>
      <c r="M10">
        <f t="shared" si="0"/>
        <v>5987</v>
      </c>
      <c r="N10">
        <f t="shared" si="0"/>
        <v>6727</v>
      </c>
      <c r="O10">
        <f t="shared" si="0"/>
        <v>6632</v>
      </c>
      <c r="P10">
        <f t="shared" si="0"/>
        <v>10227</v>
      </c>
      <c r="Q10">
        <f t="shared" si="0"/>
        <v>12607</v>
      </c>
      <c r="R10">
        <f t="shared" si="0"/>
        <v>12295</v>
      </c>
      <c r="S10">
        <f t="shared" si="0"/>
        <v>7840</v>
      </c>
      <c r="T10">
        <f t="shared" si="0"/>
        <v>2595</v>
      </c>
      <c r="U10">
        <f t="shared" si="0"/>
        <v>4122</v>
      </c>
      <c r="V10">
        <f t="shared" si="0"/>
        <v>9551</v>
      </c>
      <c r="W10">
        <f t="shared" si="0"/>
        <v>12255</v>
      </c>
      <c r="X10">
        <f t="shared" si="0"/>
        <v>10398</v>
      </c>
      <c r="Y10">
        <f t="shared" si="0"/>
        <v>8280</v>
      </c>
      <c r="Z10">
        <f t="shared" si="0"/>
        <v>9226</v>
      </c>
      <c r="AA10">
        <f t="shared" si="0"/>
        <v>7700</v>
      </c>
      <c r="AB10">
        <f t="shared" si="0"/>
        <v>10768</v>
      </c>
      <c r="AC10">
        <f t="shared" si="0"/>
        <v>14769</v>
      </c>
      <c r="AD10">
        <f t="shared" si="0"/>
        <v>9972</v>
      </c>
      <c r="AE10">
        <f t="shared" si="0"/>
        <v>9594</v>
      </c>
      <c r="AF10">
        <f t="shared" si="0"/>
        <v>14470</v>
      </c>
      <c r="AG10">
        <f t="shared" si="0"/>
        <v>18286</v>
      </c>
      <c r="AH10">
        <f t="shared" si="0"/>
        <v>15452</v>
      </c>
      <c r="AI10">
        <f t="shared" si="0"/>
        <v>17867</v>
      </c>
      <c r="AJ10">
        <f t="shared" si="0"/>
        <v>22676</v>
      </c>
      <c r="AK10">
        <f t="shared" si="0"/>
        <v>25020</v>
      </c>
      <c r="AL10">
        <f t="shared" si="0"/>
        <v>27058</v>
      </c>
      <c r="AM10">
        <f t="shared" si="0"/>
        <v>27964</v>
      </c>
      <c r="AN10">
        <f t="shared" si="0"/>
        <v>26911</v>
      </c>
      <c r="AO10">
        <f t="shared" si="0"/>
        <v>29319</v>
      </c>
      <c r="AP10">
        <f t="shared" si="0"/>
        <v>27658</v>
      </c>
      <c r="AQ10">
        <f t="shared" si="0"/>
        <v>24151</v>
      </c>
      <c r="AR10">
        <f t="shared" si="0"/>
        <v>23919</v>
      </c>
      <c r="AS10">
        <f t="shared" si="0"/>
        <v>35864</v>
      </c>
      <c r="AT10">
        <f t="shared" si="0"/>
        <v>39130</v>
      </c>
      <c r="AU10">
        <f t="shared" si="0"/>
        <v>34000</v>
      </c>
      <c r="AV10">
        <f t="shared" si="0"/>
        <v>26424</v>
      </c>
      <c r="AW10">
        <f t="shared" si="0"/>
        <v>61385</v>
      </c>
      <c r="AX10">
        <f t="shared" si="0"/>
        <v>69958</v>
      </c>
      <c r="AY10">
        <f t="shared" si="0"/>
        <v>77267</v>
      </c>
      <c r="AZ10">
        <f t="shared" si="0"/>
        <v>73554</v>
      </c>
      <c r="BA10">
        <f t="shared" si="0"/>
        <v>52566</v>
      </c>
      <c r="BB10">
        <f t="shared" si="0"/>
        <v>52341</v>
      </c>
      <c r="BC10">
        <f t="shared" si="0"/>
        <v>94647</v>
      </c>
      <c r="BD10">
        <f t="shared" si="0"/>
        <v>122571</v>
      </c>
      <c r="BE10">
        <f t="shared" si="0"/>
        <v>161605</v>
      </c>
      <c r="BF10">
        <f t="shared" si="0"/>
        <v>167479</v>
      </c>
      <c r="BG10">
        <f t="shared" si="0"/>
        <v>167804</v>
      </c>
      <c r="BH10">
        <f t="shared" si="0"/>
        <v>145260</v>
      </c>
      <c r="BI10">
        <f t="shared" si="0"/>
        <v>180763</v>
      </c>
      <c r="BJ10">
        <f t="shared" si="0"/>
        <v>206044</v>
      </c>
      <c r="BK10">
        <f t="shared" si="0"/>
        <v>195144</v>
      </c>
      <c r="BL10">
        <f t="shared" si="0"/>
        <v>178543</v>
      </c>
      <c r="BM10">
        <f t="shared" si="0"/>
        <v>213230</v>
      </c>
      <c r="BN10">
        <f t="shared" si="0"/>
        <v>205111</v>
      </c>
      <c r="BO10">
        <f t="shared" si="0"/>
        <v>200398</v>
      </c>
      <c r="BP10">
        <f t="shared" ref="BP10:CT10" si="1">BP2-BP4-BP5-BP7-BP8-BP9</f>
        <v>246152</v>
      </c>
      <c r="BQ10">
        <f t="shared" si="1"/>
        <v>252041</v>
      </c>
      <c r="BR10">
        <f t="shared" si="1"/>
        <v>272648</v>
      </c>
      <c r="BS10">
        <f t="shared" si="1"/>
        <v>314735</v>
      </c>
      <c r="BT10">
        <f t="shared" si="1"/>
        <v>264609</v>
      </c>
      <c r="BU10">
        <f t="shared" si="1"/>
        <v>232511</v>
      </c>
      <c r="BV10">
        <f t="shared" si="1"/>
        <v>161606</v>
      </c>
      <c r="BW10">
        <f t="shared" si="1"/>
        <v>245553</v>
      </c>
      <c r="BX10">
        <f t="shared" si="1"/>
        <v>504953</v>
      </c>
      <c r="BY10">
        <f t="shared" si="1"/>
        <v>576114</v>
      </c>
      <c r="BZ10">
        <f t="shared" si="1"/>
        <v>623010</v>
      </c>
      <c r="CA10">
        <f t="shared" si="1"/>
        <v>665411</v>
      </c>
      <c r="CB10">
        <f t="shared" si="1"/>
        <v>753221</v>
      </c>
      <c r="CC10">
        <f t="shared" si="1"/>
        <v>585892</v>
      </c>
      <c r="CD10">
        <f t="shared" si="1"/>
        <v>529159</v>
      </c>
      <c r="CE10">
        <f t="shared" si="1"/>
        <v>904800</v>
      </c>
      <c r="CF10">
        <f t="shared" si="1"/>
        <v>1075832</v>
      </c>
      <c r="CG10">
        <f t="shared" si="1"/>
        <v>1029699</v>
      </c>
      <c r="CH10">
        <f t="shared" si="1"/>
        <v>1124136</v>
      </c>
      <c r="CI10">
        <f t="shared" si="1"/>
        <v>1110730</v>
      </c>
      <c r="CJ10">
        <f t="shared" si="1"/>
        <v>1106380</v>
      </c>
      <c r="CK10">
        <f t="shared" si="1"/>
        <v>1156962</v>
      </c>
      <c r="CL10">
        <f t="shared" si="1"/>
        <v>1138970</v>
      </c>
      <c r="CM10">
        <f t="shared" si="1"/>
        <v>1240021</v>
      </c>
      <c r="CN10">
        <f t="shared" si="1"/>
        <v>1296004</v>
      </c>
      <c r="CO10">
        <f t="shared" si="1"/>
        <v>1369201</v>
      </c>
      <c r="CP10">
        <f t="shared" si="1"/>
        <v>1576113</v>
      </c>
      <c r="CQ10">
        <f t="shared" si="1"/>
        <v>2009996</v>
      </c>
      <c r="CR10">
        <f t="shared" si="1"/>
        <v>1974328</v>
      </c>
      <c r="CS10">
        <f t="shared" si="1"/>
        <v>1977104</v>
      </c>
      <c r="CT10">
        <f t="shared" si="1"/>
        <v>2027082</v>
      </c>
    </row>
    <row r="11" spans="1:99">
      <c r="A11" t="s">
        <v>1457</v>
      </c>
      <c r="B11">
        <f>'FA 6.1'!F10</f>
        <v>106916</v>
      </c>
      <c r="C11">
        <f>'FA 6.1'!G10</f>
        <v>106016</v>
      </c>
      <c r="D11">
        <f>'FA 6.1'!H10</f>
        <v>100962</v>
      </c>
      <c r="E11">
        <f>'FA 6.1'!I10</f>
        <v>90747</v>
      </c>
      <c r="F11">
        <f>'FA 6.1'!J10</f>
        <v>84747</v>
      </c>
      <c r="G11">
        <f>'FA 6.1'!K10</f>
        <v>85527</v>
      </c>
      <c r="H11">
        <f>'FA 6.1'!L10</f>
        <v>86754</v>
      </c>
      <c r="I11">
        <f>'FA 6.1'!M10</f>
        <v>86308</v>
      </c>
      <c r="J11">
        <f>'FA 6.1'!N10</f>
        <v>94927</v>
      </c>
      <c r="K11">
        <f>'FA 6.1'!O10</f>
        <v>98381</v>
      </c>
      <c r="L11">
        <f>'FA 6.1'!P10</f>
        <v>97249</v>
      </c>
      <c r="M11">
        <f>'FA 6.1'!Q10</f>
        <v>97933</v>
      </c>
      <c r="N11">
        <f>'FA 6.1'!R10</f>
        <v>104103</v>
      </c>
      <c r="O11">
        <f>'FA 6.1'!S10</f>
        <v>116896</v>
      </c>
      <c r="P11">
        <f>'FA 6.1'!T10</f>
        <v>124270</v>
      </c>
      <c r="Q11">
        <f>'FA 6.1'!U10</f>
        <v>125280</v>
      </c>
      <c r="R11">
        <f>'FA 6.1'!V10</f>
        <v>126747</v>
      </c>
      <c r="S11">
        <f>'CapitalDataL4+'!H19</f>
        <v>139208</v>
      </c>
      <c r="T11">
        <f>'CapitalDataL4+'!I19</f>
        <v>168356</v>
      </c>
      <c r="U11">
        <f>'CapitalDataL4+'!J19</f>
        <v>200698</v>
      </c>
      <c r="V11">
        <f>'CapitalDataL4+'!K19</f>
        <v>219642</v>
      </c>
      <c r="W11">
        <f>'CapitalDataL4+'!L19</f>
        <v>223678</v>
      </c>
      <c r="X11">
        <f>'CapitalDataL4+'!M19</f>
        <v>250857</v>
      </c>
      <c r="Y11">
        <f>'CapitalDataL4+'!N19</f>
        <v>272459</v>
      </c>
      <c r="Z11">
        <f>'CapitalDataL4+'!O19</f>
        <v>288532</v>
      </c>
      <c r="AA11">
        <f>'CapitalDataL4+'!P19</f>
        <v>303436</v>
      </c>
      <c r="AB11">
        <f>'CapitalDataL4+'!Q19</f>
        <v>312841</v>
      </c>
      <c r="AC11">
        <f>'CapitalDataL4+'!R19</f>
        <v>344378</v>
      </c>
      <c r="AD11">
        <f>'CapitalDataL4+'!S19</f>
        <v>382666</v>
      </c>
      <c r="AE11">
        <f>'CapitalDataL4+'!T19</f>
        <v>411106</v>
      </c>
      <c r="AF11">
        <f>'CapitalDataL4+'!U19</f>
        <v>420004</v>
      </c>
      <c r="AG11">
        <f>'CapitalDataL4+'!V19</f>
        <v>437817</v>
      </c>
      <c r="AH11">
        <f>'CapitalDataL4+'!W19</f>
        <v>448052</v>
      </c>
      <c r="AI11">
        <f>'CapitalDataL4+'!X19</f>
        <v>460526</v>
      </c>
      <c r="AJ11">
        <f>'CapitalDataL4+'!Y19</f>
        <v>476337</v>
      </c>
      <c r="AK11">
        <f>'CapitalDataL4+'!Z19</f>
        <v>492856</v>
      </c>
      <c r="AL11">
        <f>'CapitalDataL4+'!AA19</f>
        <v>520973</v>
      </c>
      <c r="AM11">
        <f>'CapitalDataL4+'!AB19</f>
        <v>558081</v>
      </c>
      <c r="AN11">
        <f>'CapitalDataL4+'!AC19</f>
        <v>608292</v>
      </c>
      <c r="AO11">
        <f>'CapitalDataL4+'!AD19</f>
        <v>661221</v>
      </c>
      <c r="AP11">
        <f>'CapitalDataL4+'!AE19</f>
        <v>728790</v>
      </c>
      <c r="AQ11">
        <f>'CapitalDataL4+'!AF19</f>
        <v>804354</v>
      </c>
      <c r="AR11">
        <f>'CapitalDataL4+'!AG19</f>
        <v>885220</v>
      </c>
      <c r="AS11">
        <f>'CapitalDataL4+'!AH19</f>
        <v>969222</v>
      </c>
      <c r="AT11">
        <f>'CapitalDataL4+'!AI19</f>
        <v>1051910</v>
      </c>
      <c r="AU11">
        <f>'CapitalDataL4+'!AJ19</f>
        <v>1186903</v>
      </c>
      <c r="AV11">
        <f>'CapitalDataL4+'!AK19</f>
        <v>1449337</v>
      </c>
      <c r="AW11">
        <f>'CapitalDataL4+'!AL19</f>
        <v>1605731</v>
      </c>
      <c r="AX11">
        <f>'CapitalDataL4+'!AM19</f>
        <v>1763971</v>
      </c>
      <c r="AY11">
        <f>'CapitalDataL4+'!AN19</f>
        <v>1961822</v>
      </c>
      <c r="AZ11">
        <f>'CapitalDataL4+'!AO19</f>
        <v>2227047</v>
      </c>
      <c r="BA11">
        <f>'CapitalDataL4+'!AP19</f>
        <v>2570108</v>
      </c>
      <c r="BB11">
        <f>'CapitalDataL4+'!AQ19</f>
        <v>2953516</v>
      </c>
      <c r="BC11">
        <f>'CapitalDataL4+'!AR19</f>
        <v>3345102</v>
      </c>
      <c r="BD11">
        <f>'CapitalDataL4+'!AS19</f>
        <v>3569430</v>
      </c>
      <c r="BE11">
        <f>'CapitalDataL4+'!AT19</f>
        <v>3689850</v>
      </c>
      <c r="BF11">
        <f>'CapitalDataL4+'!AU19</f>
        <v>3922283</v>
      </c>
      <c r="BG11">
        <f>'CapitalDataL4+'!AV19</f>
        <v>4149959</v>
      </c>
      <c r="BH11">
        <f>'CapitalDataL4+'!AW19</f>
        <v>4353393</v>
      </c>
      <c r="BI11">
        <f>'CapitalDataL4+'!AX19</f>
        <v>4591721</v>
      </c>
      <c r="BJ11">
        <f>'CapitalDataL4+'!AY19</f>
        <v>4890142</v>
      </c>
      <c r="BK11">
        <f>'CapitalDataL4+'!AZ19</f>
        <v>5187264</v>
      </c>
      <c r="BL11">
        <f>'CapitalDataL4+'!BA19</f>
        <v>5487431</v>
      </c>
      <c r="BM11">
        <f>'CapitalDataL4+'!BB19</f>
        <v>5632025</v>
      </c>
      <c r="BN11">
        <f>'CapitalDataL4+'!BC19</f>
        <v>5833648</v>
      </c>
      <c r="BO11">
        <f>'CapitalDataL4+'!BD19</f>
        <v>6117992</v>
      </c>
      <c r="BP11">
        <f>'CapitalDataL4+'!BE19</f>
        <v>6467063</v>
      </c>
      <c r="BQ11">
        <f>'CapitalDataL4+'!BF19</f>
        <v>6847952</v>
      </c>
      <c r="BR11">
        <f>'CapitalDataL4+'!BG19</f>
        <v>7208223</v>
      </c>
      <c r="BS11">
        <f>'CapitalDataL4+'!BH19</f>
        <v>7632176</v>
      </c>
      <c r="BT11">
        <f>'CapitalDataL4+'!BI19</f>
        <v>8063823</v>
      </c>
      <c r="BU11">
        <f>'CapitalDataL4+'!BJ19</f>
        <v>8553589</v>
      </c>
      <c r="BV11">
        <f>'CapitalDataL4+'!BK19</f>
        <v>9156355</v>
      </c>
      <c r="BW11">
        <f>'CapitalDataL4+'!BL19</f>
        <v>9599190</v>
      </c>
      <c r="BX11">
        <f>'CapitalDataL4+'!BM19</f>
        <v>9902616</v>
      </c>
      <c r="BY11">
        <f>'CapitalDataL4+'!BN19</f>
        <v>10200294</v>
      </c>
      <c r="BZ11">
        <f>'CapitalDataL4+'!BO19</f>
        <v>11046466</v>
      </c>
      <c r="CA11">
        <f>'CapitalDataL4+'!BP19</f>
        <v>12021666</v>
      </c>
      <c r="CB11">
        <f>'CapitalDataL4+'!BQ19</f>
        <v>12988059</v>
      </c>
      <c r="CC11">
        <f>'CapitalDataL4+'!BR19</f>
        <v>13701585</v>
      </c>
      <c r="CD11">
        <f>'CapitalDataL4+'!BS19</f>
        <v>14583133</v>
      </c>
      <c r="CE11">
        <f>'CapitalDataL4+'!BT19</f>
        <v>14150032</v>
      </c>
      <c r="CF11">
        <f>'CapitalDataL4+'!BU19</f>
        <v>14527740</v>
      </c>
      <c r="CG11">
        <f>'CapitalDataL4+'!BV19</f>
        <v>15227805</v>
      </c>
      <c r="CH11">
        <f>'CapitalDataL4+'!BW19</f>
        <v>15747552</v>
      </c>
      <c r="CI11">
        <f>'CapitalDataL4+'!BX19</f>
        <v>16344095</v>
      </c>
      <c r="CJ11">
        <f>'CapitalDataL4+'!BY19</f>
        <v>17119568</v>
      </c>
      <c r="CK11">
        <f>'CapitalDataL4+'!BZ19</f>
        <v>17444179</v>
      </c>
      <c r="CL11">
        <f>'CapitalDataL4+'!CA19</f>
        <v>17954152</v>
      </c>
      <c r="CM11">
        <f>'CapitalDataL4+'!CB19</f>
        <v>18645224</v>
      </c>
      <c r="CN11">
        <f>'CapitalDataL4+'!CC19</f>
        <v>19516200</v>
      </c>
      <c r="CO11">
        <f>'CapitalDataL4+'!CD19</f>
        <v>20408064</v>
      </c>
      <c r="CP11">
        <f>'CapitalDataL4+'!CE19</f>
        <v>20827558</v>
      </c>
      <c r="CQ11">
        <f>'CapitalDataL4+'!CF19</f>
        <v>23139668</v>
      </c>
      <c r="CR11">
        <f>'CapitalDataL4+'!CG19</f>
        <v>25826561</v>
      </c>
      <c r="CS11">
        <f>'CapitalDataL4+'!CH19</f>
        <v>26724335</v>
      </c>
      <c r="CT11">
        <f>'CapitalDataL4+'!CI19</f>
        <v>27603501</v>
      </c>
    </row>
    <row r="12" spans="1:99">
      <c r="A12" t="s">
        <v>1458</v>
      </c>
      <c r="B12" s="16">
        <f>'SOI 1945'!E16</f>
        <v>173056.56436853419</v>
      </c>
      <c r="C12" s="16">
        <f>'SOI 1945'!F16</f>
        <v>164239.53049198946</v>
      </c>
      <c r="D12" s="16">
        <f>'SOI 1945'!G16</f>
        <v>132259.85243823251</v>
      </c>
      <c r="E12" s="16">
        <f>'SOI 1945'!H16</f>
        <v>85383.618286506506</v>
      </c>
      <c r="F12" s="16">
        <f>'SOI 1945'!I16</f>
        <v>73446.333846288093</v>
      </c>
      <c r="G12" s="16">
        <f>'SOI 1945'!J16</f>
        <v>96459.518319021503</v>
      </c>
      <c r="H12" s="16">
        <f>'SOI 1945'!K16</f>
        <v>84167.435714819585</v>
      </c>
      <c r="I12" s="16">
        <f>'SOI 1945'!L16</f>
        <v>111217.37040268263</v>
      </c>
      <c r="J12" s="16">
        <f>'SOI 1945'!M16</f>
        <v>141672.87345009367</v>
      </c>
      <c r="K12" s="16">
        <f>'SOI 1945'!N16</f>
        <v>100049.12906513148</v>
      </c>
      <c r="L12" s="16">
        <f>'SOI 1945'!O16</f>
        <v>120152.81533005257</v>
      </c>
      <c r="M12" s="16">
        <f>'SOI 1945'!P16</f>
        <v>119845.77083429758</v>
      </c>
      <c r="N12" s="16">
        <f>'SOI 1945'!Q16</f>
        <v>110153.13566978858</v>
      </c>
      <c r="O12" s="16">
        <f>'SOI 1945'!R16</f>
        <v>98766.354011973715</v>
      </c>
      <c r="P12" s="16">
        <f>'SOI 1945'!S16</f>
        <v>110002.48251871637</v>
      </c>
      <c r="Q12" s="16">
        <f>'SOI 1945'!T16</f>
        <v>127157.57478337362</v>
      </c>
      <c r="R12" s="16">
        <f>'SOI 1945'!U16</f>
        <v>140989.24790802388</v>
      </c>
      <c r="S12">
        <f>'B1'!G16+'B1'!G17</f>
        <v>152328</v>
      </c>
      <c r="T12">
        <f>'B1'!H16+'B1'!H17</f>
        <v>158831</v>
      </c>
      <c r="U12">
        <f>'B1'!I16+'B1'!I17</f>
        <v>161921</v>
      </c>
      <c r="V12">
        <f>'B1'!J16+'B1'!J17</f>
        <v>165216</v>
      </c>
      <c r="W12">
        <f>'B1'!K16+'B1'!K17</f>
        <v>170947</v>
      </c>
      <c r="X12">
        <f>'B1'!L16+'B1'!L17</f>
        <v>199319</v>
      </c>
      <c r="Y12">
        <f>'B1'!M16+'B1'!M17</f>
        <v>246419</v>
      </c>
      <c r="Z12">
        <f>'B1'!N16+'B1'!N17</f>
        <v>240284</v>
      </c>
      <c r="AA12">
        <f>'B1'!O16+'B1'!O17</f>
        <v>236353</v>
      </c>
      <c r="AB12">
        <f>'B1'!P16+'B1'!P17</f>
        <v>331169</v>
      </c>
      <c r="AC12">
        <f>'B1'!Q16+'B1'!Q17</f>
        <v>429646</v>
      </c>
      <c r="AD12">
        <f>'B1'!R16+'B1'!R17</f>
        <v>482419</v>
      </c>
      <c r="AE12">
        <f>'B1'!S16+'B1'!S17</f>
        <v>443458</v>
      </c>
      <c r="AF12">
        <f>'B1'!T16+'B1'!T17</f>
        <v>592828</v>
      </c>
      <c r="AG12">
        <f>'B1'!U16+'B1'!U17</f>
        <v>666595</v>
      </c>
      <c r="AH12">
        <f>'B1'!V16+'B1'!V17</f>
        <v>676956</v>
      </c>
      <c r="AI12">
        <f>'B1'!W16+'B1'!W17</f>
        <v>831452</v>
      </c>
      <c r="AJ12">
        <f>'B1'!X16+'B1'!X17</f>
        <v>816110</v>
      </c>
      <c r="AK12">
        <f>'B1'!Y16+'B1'!Y17</f>
        <v>866736</v>
      </c>
      <c r="AL12">
        <f>'B1'!Z16+'B1'!Z17</f>
        <v>954184</v>
      </c>
      <c r="AM12">
        <f>'B1'!AA16+'B1'!AA17</f>
        <v>1038520</v>
      </c>
      <c r="AN12">
        <f>'B1'!AB16+'B1'!AB17</f>
        <v>992433</v>
      </c>
      <c r="AO12">
        <f>'B1'!AC16+'B1'!AC17</f>
        <v>1159507</v>
      </c>
      <c r="AP12">
        <f>'B1'!AD16+'B1'!AD17</f>
        <v>1335224</v>
      </c>
      <c r="AQ12">
        <f>'B1'!AE16+'B1'!AE17</f>
        <v>1213662</v>
      </c>
      <c r="AR12">
        <f>'B1'!AF16+'B1'!AF17</f>
        <v>1228693</v>
      </c>
      <c r="AS12">
        <f>'B1'!AG16+'B1'!AG17</f>
        <v>1356172</v>
      </c>
      <c r="AT12">
        <f>'B1'!AH16+'B1'!AH17</f>
        <v>1537949</v>
      </c>
      <c r="AU12">
        <f>'B1'!AI16+'B1'!AI17</f>
        <v>1304968</v>
      </c>
      <c r="AV12">
        <f>'B1'!AJ16+'B1'!AJ17</f>
        <v>993686</v>
      </c>
      <c r="AW12">
        <f>'B1'!AK16+'B1'!AK17</f>
        <v>1330051</v>
      </c>
      <c r="AX12">
        <f>'B1'!AL16+'B1'!AL17</f>
        <v>1476930</v>
      </c>
      <c r="AY12">
        <f>'B1'!AM16+'B1'!AM17</f>
        <v>1399113</v>
      </c>
      <c r="AZ12">
        <f>'B1'!AN16+'B1'!AN17</f>
        <v>1457404</v>
      </c>
      <c r="BA12">
        <f>'B1'!AO16+'B1'!AO17</f>
        <v>1657768</v>
      </c>
      <c r="BB12">
        <f>'B1'!AP16+'B1'!AP17</f>
        <v>2048076</v>
      </c>
      <c r="BC12">
        <f>'B1'!AQ16+'B1'!AQ17</f>
        <v>2086764</v>
      </c>
      <c r="BD12">
        <f>'B1'!AR16+'B1'!AR17</f>
        <v>2210892</v>
      </c>
      <c r="BE12">
        <f>'B1'!AS16+'B1'!AS17</f>
        <v>2466090</v>
      </c>
      <c r="BF12">
        <f>'B1'!AT16+'B1'!AT17</f>
        <v>2520650</v>
      </c>
      <c r="BG12">
        <f>'B1'!AU16+'B1'!AU17</f>
        <v>2917674</v>
      </c>
      <c r="BH12">
        <f>'B1'!AV16+'B1'!AV17</f>
        <v>3286142</v>
      </c>
      <c r="BI12">
        <f>'B1'!AW16+'B1'!AW17</f>
        <v>3395224</v>
      </c>
      <c r="BJ12">
        <f>'B1'!AX16+'B1'!AX17</f>
        <v>3778294</v>
      </c>
      <c r="BK12">
        <f>'B1'!AY16+'B1'!AY17</f>
        <v>4473803</v>
      </c>
      <c r="BL12">
        <f>'B1'!AZ16+'B1'!AZ17</f>
        <v>4532359</v>
      </c>
      <c r="BM12">
        <f>'B1'!BA16+'B1'!BA17</f>
        <v>5667480</v>
      </c>
      <c r="BN12">
        <f>'B1'!BB16+'B1'!BB17</f>
        <v>6440514</v>
      </c>
      <c r="BO12">
        <f>'B1'!BC16+'B1'!BC17</f>
        <v>6721593</v>
      </c>
      <c r="BP12">
        <f>'B1'!BD16+'B1'!BD17</f>
        <v>6735344</v>
      </c>
      <c r="BQ12">
        <f>'B1'!BE16+'B1'!BE17</f>
        <v>8558357</v>
      </c>
      <c r="BR12">
        <f>'B1'!BF16+'B1'!BF17</f>
        <v>9791542</v>
      </c>
      <c r="BS12">
        <f>'B1'!BG16+'B1'!BG17</f>
        <v>12438770</v>
      </c>
      <c r="BT12">
        <f>'B1'!BH16+'B1'!BH17</f>
        <v>15006702</v>
      </c>
      <c r="BU12">
        <f>'B1'!BI16+'B1'!BI17</f>
        <v>18449080</v>
      </c>
      <c r="BV12">
        <f>'B1'!BJ16+'B1'!BJ17</f>
        <v>16720697</v>
      </c>
      <c r="BW12">
        <f>'B1'!BK16+'B1'!BK17</f>
        <v>15587886</v>
      </c>
      <c r="BX12">
        <f>'B1'!BL16+'B1'!BL17</f>
        <v>12627532</v>
      </c>
      <c r="BY12">
        <f>'B1'!BM16+'B1'!BM17</f>
        <v>15129360</v>
      </c>
      <c r="BZ12">
        <f>'B1'!BN16+'B1'!BN17</f>
        <v>16426362</v>
      </c>
      <c r="CA12">
        <f>'B1'!BO16+'B1'!BO17</f>
        <v>16786232</v>
      </c>
      <c r="CB12">
        <f>'B1'!BP16+'B1'!BP17</f>
        <v>18715518</v>
      </c>
      <c r="CC12">
        <f>'B1'!BQ16+'B1'!BQ17</f>
        <v>18615500</v>
      </c>
      <c r="CD12">
        <f>'B1'!BR16+'B1'!BR17</f>
        <v>14450976</v>
      </c>
      <c r="CE12">
        <f>'B1'!BS16+'B1'!BS17</f>
        <v>15394506</v>
      </c>
      <c r="CF12">
        <f>'B1'!BT16+'B1'!BT17</f>
        <v>19365636</v>
      </c>
      <c r="CG12">
        <f>'B1'!BU16+'B1'!BU17</f>
        <v>19737547</v>
      </c>
      <c r="CH12">
        <f>'B1'!BV16+'B1'!BV17</f>
        <v>22126340</v>
      </c>
      <c r="CI12">
        <f>'B1'!BW16+'B1'!BW17</f>
        <v>29018692</v>
      </c>
      <c r="CJ12">
        <f>'B1'!BX16+'B1'!BX17</f>
        <v>32381103</v>
      </c>
      <c r="CK12">
        <f>'B1'!BY16+'B1'!BY17</f>
        <v>32305927</v>
      </c>
      <c r="CL12">
        <f>'B1'!BZ16+'B1'!BZ17</f>
        <v>34797842</v>
      </c>
      <c r="CM12">
        <f>'B1'!CA16+'B1'!CA17</f>
        <v>38975422</v>
      </c>
      <c r="CN12">
        <f>'B1'!CB16+'B1'!CB17</f>
        <v>37754298</v>
      </c>
      <c r="CO12">
        <f>'B1'!CC16+'B1'!CC17</f>
        <v>45077959</v>
      </c>
      <c r="CP12">
        <f>'B1'!CD16+'B1'!CD17</f>
        <v>53087782</v>
      </c>
      <c r="CQ12">
        <f>'B1'!CE16+'B1'!CE17</f>
        <v>66262885</v>
      </c>
      <c r="CR12">
        <f>'B1'!CF16+'B1'!CF17</f>
        <v>56203327</v>
      </c>
      <c r="CS12">
        <f>'B1'!CG16+'B1'!CG17</f>
        <v>66626284</v>
      </c>
      <c r="CT12">
        <f>'B1'!CH16+'B1'!CH17</f>
        <v>81137445</v>
      </c>
    </row>
    <row r="13" spans="1:99">
      <c r="A13" t="s">
        <v>1565</v>
      </c>
      <c r="B13" s="16" t="s">
        <v>1448</v>
      </c>
      <c r="C13" s="16" t="s">
        <v>1448</v>
      </c>
      <c r="D13" s="16" t="s">
        <v>1448</v>
      </c>
      <c r="E13" s="16" t="s">
        <v>1448</v>
      </c>
      <c r="F13" s="16" t="s">
        <v>1448</v>
      </c>
      <c r="G13" s="16" t="s">
        <v>1448</v>
      </c>
      <c r="H13" s="16" t="s">
        <v>1448</v>
      </c>
      <c r="I13" s="16" t="s">
        <v>1448</v>
      </c>
      <c r="J13" s="16" t="s">
        <v>1448</v>
      </c>
      <c r="K13" s="16" t="s">
        <v>1448</v>
      </c>
      <c r="L13" s="16" t="s">
        <v>1448</v>
      </c>
      <c r="M13" s="16" t="s">
        <v>1448</v>
      </c>
      <c r="N13" s="16" t="s">
        <v>1448</v>
      </c>
      <c r="O13" s="16" t="s">
        <v>1448</v>
      </c>
      <c r="P13" s="16" t="s">
        <v>1448</v>
      </c>
      <c r="Q13" s="16" t="s">
        <v>1448</v>
      </c>
      <c r="R13" s="16" t="s">
        <v>1448</v>
      </c>
      <c r="S13" s="16" t="s">
        <v>1448</v>
      </c>
      <c r="T13">
        <f>'CapitalDataL4+'!I22</f>
        <v>23297</v>
      </c>
      <c r="U13">
        <f>'CapitalDataL4+'!J22</f>
        <v>24275</v>
      </c>
      <c r="V13">
        <f>'CapitalDataL4+'!K22</f>
        <v>10695</v>
      </c>
      <c r="W13">
        <f>'CapitalDataL4+'!L22</f>
        <v>-1493</v>
      </c>
      <c r="X13">
        <f>'CapitalDataL4+'!M22</f>
        <v>20749</v>
      </c>
      <c r="Y13">
        <f>'CapitalDataL4+'!N22</f>
        <v>13071</v>
      </c>
      <c r="Z13">
        <f>'CapitalDataL4+'!O22</f>
        <v>7006</v>
      </c>
      <c r="AA13">
        <f>'CapitalDataL4+'!P22</f>
        <v>4234</v>
      </c>
      <c r="AB13">
        <f>'CapitalDataL4+'!Q22</f>
        <v>12</v>
      </c>
      <c r="AC13">
        <f>'CapitalDataL4+'!R22</f>
        <v>20297</v>
      </c>
      <c r="AD13">
        <f>'CapitalDataL4+'!S22</f>
        <v>23182</v>
      </c>
      <c r="AE13">
        <f>'CapitalDataL4+'!T22</f>
        <v>12896</v>
      </c>
      <c r="AF13">
        <f>'CapitalDataL4+'!U22</f>
        <v>132</v>
      </c>
      <c r="AG13">
        <f>'CapitalDataL4+'!V22</f>
        <v>6598</v>
      </c>
      <c r="AH13">
        <f>'CapitalDataL4+'!W22</f>
        <v>-3530</v>
      </c>
      <c r="AI13">
        <f>'CapitalDataL4+'!X22</f>
        <v>-256</v>
      </c>
      <c r="AJ13">
        <f>'CapitalDataL4+'!Y22</f>
        <v>1014</v>
      </c>
      <c r="AK13">
        <f>'CapitalDataL4+'!Z22</f>
        <v>473</v>
      </c>
      <c r="AL13">
        <f>'CapitalDataL4+'!AA22</f>
        <v>7971</v>
      </c>
      <c r="AM13">
        <f>'CapitalDataL4+'!AB22</f>
        <v>9324</v>
      </c>
      <c r="AN13">
        <f>'CapitalDataL4+'!AC22</f>
        <v>15768</v>
      </c>
      <c r="AO13">
        <f>'CapitalDataL4+'!AD22</f>
        <v>20468</v>
      </c>
      <c r="AP13">
        <f>'CapitalDataL4+'!AE22</f>
        <v>32410</v>
      </c>
      <c r="AQ13">
        <f>'CapitalDataL4+'!AF22</f>
        <v>36812</v>
      </c>
      <c r="AR13">
        <f>'CapitalDataL4+'!AG22</f>
        <v>44957</v>
      </c>
      <c r="AS13">
        <f>'CapitalDataL4+'!AH22</f>
        <v>49835</v>
      </c>
      <c r="AT13">
        <f>'CapitalDataL4+'!AI22</f>
        <v>41668</v>
      </c>
      <c r="AU13">
        <f>'CapitalDataL4+'!AJ22</f>
        <v>82206</v>
      </c>
      <c r="AV13">
        <f>'CapitalDataL4+'!AK22</f>
        <v>205665</v>
      </c>
      <c r="AW13">
        <f>'CapitalDataL4+'!AL22</f>
        <v>113545</v>
      </c>
      <c r="AX13">
        <f>'CapitalDataL4+'!AM22</f>
        <v>108165</v>
      </c>
      <c r="AY13">
        <f>'CapitalDataL4+'!AN22</f>
        <v>130427</v>
      </c>
      <c r="AZ13">
        <f>'CapitalDataL4+'!AO22</f>
        <v>171489</v>
      </c>
      <c r="BA13">
        <f>'CapitalDataL4+'!AP22</f>
        <v>227072</v>
      </c>
      <c r="BB13">
        <f>'CapitalDataL4+'!AQ22</f>
        <v>265148</v>
      </c>
      <c r="BC13">
        <f>'CapitalDataL4+'!AR22</f>
        <v>257389</v>
      </c>
      <c r="BD13">
        <f>'CapitalDataL4+'!AS22</f>
        <v>107360</v>
      </c>
      <c r="BE13">
        <f>'CapitalDataL4+'!AT22</f>
        <v>14168</v>
      </c>
      <c r="BF13">
        <f>'CapitalDataL4+'!AU22</f>
        <v>75910</v>
      </c>
      <c r="BG13">
        <f>'CapitalDataL4+'!AV22</f>
        <v>61021</v>
      </c>
      <c r="BH13">
        <f>'CapitalDataL4+'!AW22</f>
        <v>58779</v>
      </c>
      <c r="BI13">
        <f>'CapitalDataL4+'!AX22</f>
        <v>117074</v>
      </c>
      <c r="BJ13">
        <f>'CapitalDataL4+'!AY22</f>
        <v>170243</v>
      </c>
      <c r="BK13">
        <f>'CapitalDataL4+'!AZ22</f>
        <v>149360</v>
      </c>
      <c r="BL13">
        <f>'CapitalDataL4+'!BA22</f>
        <v>143890</v>
      </c>
      <c r="BM13">
        <f>'CapitalDataL4+'!BB22</f>
        <v>23870</v>
      </c>
      <c r="BN13">
        <f>'CapitalDataL4+'!BC22</f>
        <v>77395</v>
      </c>
      <c r="BO13">
        <f>'CapitalDataL4+'!BD22</f>
        <v>134428</v>
      </c>
      <c r="BP13">
        <f>'CapitalDataL4+'!BE22</f>
        <v>168559</v>
      </c>
      <c r="BQ13">
        <f>'CapitalDataL4+'!BF22</f>
        <v>157680</v>
      </c>
      <c r="BR13">
        <f>'CapitalDataL4+'!BG22</f>
        <v>100882</v>
      </c>
      <c r="BS13">
        <f>'CapitalDataL4+'!BH22</f>
        <v>123162</v>
      </c>
      <c r="BT13">
        <f>'CapitalDataL4+'!BI22</f>
        <v>95197</v>
      </c>
      <c r="BU13">
        <f>'CapitalDataL4+'!BJ22</f>
        <v>116072</v>
      </c>
      <c r="BV13">
        <f>'CapitalDataL4+'!BK22</f>
        <v>188462</v>
      </c>
      <c r="BW13">
        <f>'CapitalDataL4+'!BL22</f>
        <v>127607</v>
      </c>
      <c r="BX13">
        <f>'CapitalDataL4+'!BM22</f>
        <v>122733</v>
      </c>
      <c r="BY13">
        <f>'CapitalDataL4+'!BN22</f>
        <v>116508</v>
      </c>
      <c r="BZ13">
        <f>'CapitalDataL4+'!BO22</f>
        <v>637145</v>
      </c>
      <c r="CA13">
        <f>'CapitalDataL4+'!BP22</f>
        <v>708942</v>
      </c>
      <c r="CB13">
        <f>'CapitalDataL4+'!BQ22</f>
        <v>629229</v>
      </c>
      <c r="CC13">
        <f>'CapitalDataL4+'!BR22</f>
        <v>327621</v>
      </c>
      <c r="CD13">
        <f>'CapitalDataL4+'!BS22</f>
        <v>545212</v>
      </c>
      <c r="CE13">
        <f>'CapitalDataL4+'!BT22</f>
        <v>-509645</v>
      </c>
      <c r="CF13">
        <f>'CapitalDataL4+'!BU22</f>
        <v>255224</v>
      </c>
      <c r="CG13">
        <f>'CapitalDataL4+'!BV22</f>
        <v>475414</v>
      </c>
      <c r="CH13">
        <f>'CapitalDataL4+'!BW22</f>
        <v>190296</v>
      </c>
      <c r="CI13">
        <f>'CapitalDataL4+'!BX22</f>
        <v>270547</v>
      </c>
      <c r="CJ13">
        <f>'CapitalDataL4+'!BY22</f>
        <v>337175</v>
      </c>
      <c r="CK13">
        <f>'CapitalDataL4+'!BZ22</f>
        <v>-105203</v>
      </c>
      <c r="CL13">
        <f>'CapitalDataL4+'!CA22</f>
        <v>83336</v>
      </c>
      <c r="CM13">
        <f>'CapitalDataL4+'!CB22</f>
        <v>255011</v>
      </c>
      <c r="CN13">
        <f>'CapitalDataL4+'!CC22</f>
        <v>336784</v>
      </c>
      <c r="CO13">
        <f>'CapitalDataL4+'!CD22</f>
        <v>371026</v>
      </c>
      <c r="CP13">
        <f>'CapitalDataL4+'!CE22</f>
        <v>68876</v>
      </c>
      <c r="CQ13">
        <f>'CapitalDataL4+'!CF22</f>
        <v>1870204</v>
      </c>
      <c r="CR13">
        <f>'CapitalDataL4+'!CG22</f>
        <v>2138169</v>
      </c>
      <c r="CS13">
        <f>'CapitalDataL4+'!CH22</f>
        <v>206629</v>
      </c>
      <c r="CT13">
        <f>'CapitalDataL4+'!CI22</f>
        <v>192800</v>
      </c>
    </row>
    <row r="14" spans="1:99">
      <c r="A14" t="s">
        <v>1564</v>
      </c>
      <c r="B14">
        <f>'Top Corporate Tax Rate'!B5</f>
        <v>0.12</v>
      </c>
      <c r="C14">
        <f>'Top Corporate Tax Rate'!C5</f>
        <v>0.11</v>
      </c>
      <c r="D14">
        <f>'Top Corporate Tax Rate'!D5</f>
        <v>0.12</v>
      </c>
      <c r="E14">
        <f>'Top Corporate Tax Rate'!E5</f>
        <v>0.12</v>
      </c>
      <c r="F14">
        <f>'Top Corporate Tax Rate'!F5</f>
        <v>0.13750000000000001</v>
      </c>
      <c r="G14">
        <f>'Top Corporate Tax Rate'!G5</f>
        <v>0.13750000000000001</v>
      </c>
      <c r="H14">
        <f>'Top Corporate Tax Rate'!H5</f>
        <v>0.13750000000000001</v>
      </c>
      <c r="I14">
        <f>'Top Corporate Tax Rate'!I5</f>
        <v>0.13750000000000001</v>
      </c>
      <c r="J14">
        <f>'Top Corporate Tax Rate'!J5</f>
        <v>0.15</v>
      </c>
      <c r="K14">
        <f>'Top Corporate Tax Rate'!K5</f>
        <v>0.15</v>
      </c>
      <c r="L14">
        <f>'Top Corporate Tax Rate'!L5</f>
        <v>0.19</v>
      </c>
      <c r="M14">
        <f>'Top Corporate Tax Rate'!M5</f>
        <v>0.19</v>
      </c>
      <c r="N14">
        <f>'Top Corporate Tax Rate'!N5</f>
        <v>0.24</v>
      </c>
      <c r="O14">
        <f>'Top Corporate Tax Rate'!O5</f>
        <v>0.31</v>
      </c>
      <c r="P14">
        <f>'Top Corporate Tax Rate'!P5</f>
        <v>0.4</v>
      </c>
      <c r="Q14">
        <f>'Top Corporate Tax Rate'!Q5</f>
        <v>0.4</v>
      </c>
      <c r="R14">
        <f>'Top Corporate Tax Rate'!R5</f>
        <v>0.4</v>
      </c>
      <c r="S14">
        <f>'Top Corporate Tax Rate'!S5</f>
        <v>0.4</v>
      </c>
      <c r="T14">
        <f>'Top Corporate Tax Rate'!T5</f>
        <v>0.38</v>
      </c>
      <c r="U14">
        <f>'Top Corporate Tax Rate'!U5</f>
        <v>0.38</v>
      </c>
      <c r="V14">
        <f>'Top Corporate Tax Rate'!V5</f>
        <v>0.38</v>
      </c>
      <c r="W14">
        <f>'Top Corporate Tax Rate'!W5</f>
        <v>0.38</v>
      </c>
      <c r="X14">
        <f>'Top Corporate Tax Rate'!X5</f>
        <v>0.42</v>
      </c>
      <c r="Y14">
        <f>'Top Corporate Tax Rate'!Y5</f>
        <v>0.50749999999999995</v>
      </c>
      <c r="Z14">
        <f>'Top Corporate Tax Rate'!Z5</f>
        <v>0.52</v>
      </c>
      <c r="AA14">
        <f>'Top Corporate Tax Rate'!AA5</f>
        <v>0.52</v>
      </c>
      <c r="AB14">
        <f>'Top Corporate Tax Rate'!AB5</f>
        <v>0.52</v>
      </c>
      <c r="AC14">
        <f>'Top Corporate Tax Rate'!AC5</f>
        <v>0.52</v>
      </c>
      <c r="AD14">
        <f>'Top Corporate Tax Rate'!AD5</f>
        <v>0.52</v>
      </c>
      <c r="AE14">
        <f>'Top Corporate Tax Rate'!AE5</f>
        <v>0.52</v>
      </c>
      <c r="AF14">
        <f>'Top Corporate Tax Rate'!AF5</f>
        <v>0.52</v>
      </c>
      <c r="AG14">
        <f>'Top Corporate Tax Rate'!AG5</f>
        <v>0.52</v>
      </c>
      <c r="AH14">
        <f>'Top Corporate Tax Rate'!AH5</f>
        <v>0.52</v>
      </c>
      <c r="AI14">
        <f>'Top Corporate Tax Rate'!AI5</f>
        <v>0.52</v>
      </c>
      <c r="AJ14">
        <f>'Top Corporate Tax Rate'!AJ5</f>
        <v>0.52</v>
      </c>
      <c r="AK14">
        <f>'Top Corporate Tax Rate'!AK5</f>
        <v>0.52</v>
      </c>
      <c r="AL14">
        <f>'Top Corporate Tax Rate'!AL5</f>
        <v>0.5</v>
      </c>
      <c r="AM14">
        <f>'Top Corporate Tax Rate'!AM5</f>
        <v>0.48</v>
      </c>
      <c r="AN14">
        <f>'Top Corporate Tax Rate'!AN5</f>
        <v>0.48</v>
      </c>
      <c r="AO14">
        <f>'Top Corporate Tax Rate'!AO5</f>
        <v>0.48</v>
      </c>
      <c r="AP14">
        <f>'Top Corporate Tax Rate'!AP5</f>
        <v>0.52800000000000002</v>
      </c>
      <c r="AQ14">
        <f>'Top Corporate Tax Rate'!AQ5</f>
        <v>0.52800000000000002</v>
      </c>
      <c r="AR14">
        <f>'Top Corporate Tax Rate'!AR5</f>
        <v>0.49199999999999999</v>
      </c>
      <c r="AS14">
        <f>'Top Corporate Tax Rate'!AS5</f>
        <v>0.48</v>
      </c>
      <c r="AT14">
        <f>'Top Corporate Tax Rate'!AT5</f>
        <v>0.48</v>
      </c>
      <c r="AU14">
        <f>'Top Corporate Tax Rate'!AU5</f>
        <v>0.48</v>
      </c>
      <c r="AV14">
        <f>'Top Corporate Tax Rate'!AV5</f>
        <v>0.48</v>
      </c>
      <c r="AW14">
        <f>'Top Corporate Tax Rate'!AW5</f>
        <v>0.48</v>
      </c>
      <c r="AX14">
        <f>'Top Corporate Tax Rate'!AX5</f>
        <v>0.48</v>
      </c>
      <c r="AY14">
        <f>'Top Corporate Tax Rate'!AY5</f>
        <v>0.48</v>
      </c>
      <c r="AZ14">
        <f>'Top Corporate Tax Rate'!AZ5</f>
        <v>0.48</v>
      </c>
      <c r="BA14">
        <f>'Top Corporate Tax Rate'!BA5</f>
        <v>0.46</v>
      </c>
      <c r="BB14">
        <f>'Top Corporate Tax Rate'!BB5</f>
        <v>0.46</v>
      </c>
      <c r="BC14">
        <f>'Top Corporate Tax Rate'!BC5</f>
        <v>0.46</v>
      </c>
      <c r="BD14">
        <f>'Top Corporate Tax Rate'!BD5</f>
        <v>0.46</v>
      </c>
      <c r="BE14">
        <f>'Top Corporate Tax Rate'!BE5</f>
        <v>0.46</v>
      </c>
      <c r="BF14">
        <f>'Top Corporate Tax Rate'!BF5</f>
        <v>0.46</v>
      </c>
      <c r="BG14">
        <f>'Top Corporate Tax Rate'!BG5</f>
        <v>0.46</v>
      </c>
      <c r="BH14">
        <f>'Top Corporate Tax Rate'!BH5</f>
        <v>0.46</v>
      </c>
      <c r="BI14">
        <f>'Top Corporate Tax Rate'!BI5</f>
        <v>0.4</v>
      </c>
      <c r="BJ14">
        <f>'Top Corporate Tax Rate'!BJ5</f>
        <v>0.34</v>
      </c>
      <c r="BK14">
        <f>'Top Corporate Tax Rate'!BK5</f>
        <v>0.34</v>
      </c>
      <c r="BL14">
        <f>'Top Corporate Tax Rate'!BL5</f>
        <v>0.34</v>
      </c>
      <c r="BM14">
        <f>'Top Corporate Tax Rate'!BM5</f>
        <v>0.34</v>
      </c>
      <c r="BN14">
        <f>'Top Corporate Tax Rate'!BN5</f>
        <v>0.34</v>
      </c>
      <c r="BO14">
        <f>'Top Corporate Tax Rate'!BO5</f>
        <v>0.35</v>
      </c>
      <c r="BP14">
        <f>'Top Corporate Tax Rate'!BP5</f>
        <v>0.35</v>
      </c>
      <c r="BQ14">
        <f>'Top Corporate Tax Rate'!BQ5</f>
        <v>0.35</v>
      </c>
      <c r="BR14">
        <f>'Top Corporate Tax Rate'!BR5</f>
        <v>0.35</v>
      </c>
      <c r="BS14">
        <f>'Top Corporate Tax Rate'!BS5</f>
        <v>0.35</v>
      </c>
      <c r="BT14">
        <f>'Top Corporate Tax Rate'!BT5</f>
        <v>0.35</v>
      </c>
      <c r="BU14">
        <f>'Top Corporate Tax Rate'!BU5</f>
        <v>0.35</v>
      </c>
      <c r="BV14">
        <f>'Top Corporate Tax Rate'!BV5</f>
        <v>0.35</v>
      </c>
      <c r="BW14">
        <f>'Top Corporate Tax Rate'!BW5</f>
        <v>0.35</v>
      </c>
      <c r="BX14">
        <f>'Top Corporate Tax Rate'!BX5</f>
        <v>0.35</v>
      </c>
      <c r="BY14">
        <f>'Top Corporate Tax Rate'!BY5</f>
        <v>0.35</v>
      </c>
      <c r="BZ14">
        <f>'Top Corporate Tax Rate'!BZ5</f>
        <v>0.35</v>
      </c>
      <c r="CA14">
        <f>'Top Corporate Tax Rate'!CA5</f>
        <v>0.35</v>
      </c>
      <c r="CB14">
        <f>'Top Corporate Tax Rate'!CB5</f>
        <v>0.35</v>
      </c>
      <c r="CC14">
        <f>'Top Corporate Tax Rate'!CC5</f>
        <v>0.35</v>
      </c>
      <c r="CD14">
        <f>'Top Corporate Tax Rate'!CD5</f>
        <v>0.35</v>
      </c>
      <c r="CE14">
        <f>'Top Corporate Tax Rate'!CE5</f>
        <v>0.35</v>
      </c>
      <c r="CF14">
        <f>'Top Corporate Tax Rate'!CF5</f>
        <v>0.35</v>
      </c>
      <c r="CG14">
        <f>'Top Corporate Tax Rate'!CG5</f>
        <v>0.35</v>
      </c>
      <c r="CH14">
        <f>'Top Corporate Tax Rate'!CH5</f>
        <v>0.35</v>
      </c>
      <c r="CI14">
        <f>'Top Corporate Tax Rate'!CI5</f>
        <v>0.35</v>
      </c>
      <c r="CJ14">
        <f>'Top Corporate Tax Rate'!CJ5</f>
        <v>0.35</v>
      </c>
      <c r="CK14">
        <f>'Top Corporate Tax Rate'!CK5</f>
        <v>0.35</v>
      </c>
      <c r="CL14">
        <f>'Top Corporate Tax Rate'!CL5</f>
        <v>0.35</v>
      </c>
      <c r="CM14">
        <f>'Top Corporate Tax Rate'!CM5</f>
        <v>0.35</v>
      </c>
      <c r="CN14">
        <f>'Top Corporate Tax Rate'!CN5</f>
        <v>0.21</v>
      </c>
      <c r="CO14">
        <f>'Top Corporate Tax Rate'!CO5</f>
        <v>0.21</v>
      </c>
      <c r="CP14">
        <f>'Top Corporate Tax Rate'!CP5</f>
        <v>0.21</v>
      </c>
      <c r="CQ14">
        <f>'Top Corporate Tax Rate'!CQ5</f>
        <v>0.21</v>
      </c>
      <c r="CR14">
        <f>'Top Corporate Tax Rate'!CR5</f>
        <v>0.21</v>
      </c>
      <c r="CS14">
        <f>'Top Corporate Tax Rate'!CS5</f>
        <v>0.21</v>
      </c>
      <c r="CT14">
        <f>'Top Corporate Tax Rate'!CT5</f>
        <v>0.21</v>
      </c>
    </row>
    <row r="15" spans="1:99">
      <c r="A15" t="s">
        <v>1579</v>
      </c>
      <c r="B15" t="str">
        <f>'Gravelle Rates'!B5</f>
        <v>NaN</v>
      </c>
      <c r="C15" t="str">
        <f>'Gravelle Rates'!C5</f>
        <v>NaN</v>
      </c>
      <c r="D15" t="str">
        <f>'Gravelle Rates'!D5</f>
        <v>NaN</v>
      </c>
      <c r="E15" t="str">
        <f>'Gravelle Rates'!E5</f>
        <v>NaN</v>
      </c>
      <c r="F15" t="str">
        <f>'Gravelle Rates'!F5</f>
        <v>NaN</v>
      </c>
      <c r="G15" t="str">
        <f>'Gravelle Rates'!G5</f>
        <v>NaN</v>
      </c>
      <c r="H15" t="str">
        <f>'Gravelle Rates'!H5</f>
        <v>NaN</v>
      </c>
      <c r="I15" t="str">
        <f>'Gravelle Rates'!I5</f>
        <v>NaN</v>
      </c>
      <c r="J15" t="str">
        <f>'Gravelle Rates'!J5</f>
        <v>NaN</v>
      </c>
      <c r="K15" t="str">
        <f>'Gravelle Rates'!K5</f>
        <v>NaN</v>
      </c>
      <c r="L15" t="str">
        <f>'Gravelle Rates'!L5</f>
        <v>NaN</v>
      </c>
      <c r="M15" t="str">
        <f>'Gravelle Rates'!M5</f>
        <v>NaN</v>
      </c>
      <c r="N15" t="str">
        <f>'Gravelle Rates'!N5</f>
        <v>NaN</v>
      </c>
      <c r="O15" t="str">
        <f>'Gravelle Rates'!O5</f>
        <v>NaN</v>
      </c>
      <c r="P15" t="str">
        <f>'Gravelle Rates'!P5</f>
        <v>NaN</v>
      </c>
      <c r="Q15" t="str">
        <f>'Gravelle Rates'!Q5</f>
        <v>NaN</v>
      </c>
      <c r="R15" t="str">
        <f>'Gravelle Rates'!R5</f>
        <v>NaN</v>
      </c>
      <c r="S15" t="str">
        <f>'Gravelle Rates'!S5</f>
        <v>NaN</v>
      </c>
      <c r="T15" t="str">
        <f>'Gravelle Rates'!T5</f>
        <v>NaN</v>
      </c>
      <c r="U15" t="str">
        <f>'Gravelle Rates'!U5</f>
        <v>NaN</v>
      </c>
      <c r="V15" t="str">
        <f>'Gravelle Rates'!V5</f>
        <v>NaN</v>
      </c>
      <c r="W15" t="str">
        <f>'Gravelle Rates'!W5</f>
        <v>NaN</v>
      </c>
      <c r="X15" t="str">
        <f>'Gravelle Rates'!X5</f>
        <v>NaN</v>
      </c>
      <c r="Y15" t="str">
        <f>'Gravelle Rates'!Y5</f>
        <v>NaN</v>
      </c>
      <c r="Z15" t="str">
        <f>'Gravelle Rates'!Z5</f>
        <v>NaN</v>
      </c>
      <c r="AA15">
        <f>'Gravelle Rates'!AA5</f>
        <v>63</v>
      </c>
      <c r="AB15">
        <f>'Gravelle Rates'!AB5</f>
        <v>50</v>
      </c>
      <c r="AC15">
        <f>'Gravelle Rates'!AC5</f>
        <v>51</v>
      </c>
      <c r="AD15">
        <f>'Gravelle Rates'!AD5</f>
        <v>53</v>
      </c>
      <c r="AE15">
        <f>'Gravelle Rates'!AE5</f>
        <v>55</v>
      </c>
      <c r="AF15">
        <f>'Gravelle Rates'!AF5</f>
        <v>55</v>
      </c>
      <c r="AG15">
        <f>'Gravelle Rates'!AG5</f>
        <v>52</v>
      </c>
      <c r="AH15">
        <f>'Gravelle Rates'!AH5</f>
        <v>49</v>
      </c>
      <c r="AI15">
        <f>'Gravelle Rates'!AI5</f>
        <v>49</v>
      </c>
      <c r="AJ15">
        <f>'Gravelle Rates'!AJ5</f>
        <v>42</v>
      </c>
      <c r="AK15">
        <f>'Gravelle Rates'!AK5</f>
        <v>41</v>
      </c>
      <c r="AL15">
        <f>'Gravelle Rates'!AL5</f>
        <v>38</v>
      </c>
      <c r="AM15">
        <f>'Gravelle Rates'!AM5</f>
        <v>37</v>
      </c>
      <c r="AN15">
        <f>'Gravelle Rates'!AN5</f>
        <v>37</v>
      </c>
      <c r="AO15">
        <f>'Gravelle Rates'!AO5</f>
        <v>40</v>
      </c>
      <c r="AP15">
        <f>'Gravelle Rates'!AP5</f>
        <v>44</v>
      </c>
      <c r="AQ15">
        <f>'Gravelle Rates'!AQ5</f>
        <v>52</v>
      </c>
      <c r="AR15">
        <f>'Gravelle Rates'!AR5</f>
        <v>48</v>
      </c>
      <c r="AS15">
        <f>'Gravelle Rates'!AS5</f>
        <v>43</v>
      </c>
      <c r="AT15">
        <f>'Gravelle Rates'!AT5</f>
        <v>44</v>
      </c>
      <c r="AU15">
        <f>'Gravelle Rates'!AU5</f>
        <v>43</v>
      </c>
      <c r="AV15">
        <f>'Gravelle Rates'!AV5</f>
        <v>48</v>
      </c>
      <c r="AW15">
        <f>'Gravelle Rates'!AW5</f>
        <v>51</v>
      </c>
      <c r="AX15">
        <f>'Gravelle Rates'!AX5</f>
        <v>46</v>
      </c>
      <c r="AY15">
        <f>'Gravelle Rates'!AY5</f>
        <v>41</v>
      </c>
      <c r="AZ15">
        <f>'Gravelle Rates'!AZ5</f>
        <v>50</v>
      </c>
      <c r="BA15">
        <f>'Gravelle Rates'!BA5</f>
        <v>47</v>
      </c>
      <c r="BB15">
        <f>'Gravelle Rates'!BB5</f>
        <v>51</v>
      </c>
      <c r="BC15">
        <f>'Gravelle Rates'!BC5</f>
        <v>37</v>
      </c>
      <c r="BD15">
        <f>'Gravelle Rates'!BD5</f>
        <v>35</v>
      </c>
      <c r="BE15">
        <f>'Gravelle Rates'!BE5</f>
        <v>39</v>
      </c>
      <c r="BF15">
        <f>'Gravelle Rates'!BF5</f>
        <v>38</v>
      </c>
      <c r="BG15">
        <f>'Gravelle Rates'!BG5</f>
        <v>38</v>
      </c>
      <c r="BH15">
        <f>'Gravelle Rates'!BH5</f>
        <v>38</v>
      </c>
      <c r="BI15">
        <f>'Gravelle Rates'!BI5</f>
        <v>35</v>
      </c>
      <c r="BJ15">
        <f>'Gravelle Rates'!BJ5</f>
        <v>35</v>
      </c>
      <c r="BK15">
        <f>'Gravelle Rates'!BK5</f>
        <v>34</v>
      </c>
      <c r="BL15">
        <f>'Gravelle Rates'!BL5</f>
        <v>33</v>
      </c>
      <c r="BM15">
        <f>'Gravelle Rates'!BM5</f>
        <v>32</v>
      </c>
      <c r="BN15">
        <f>'Gravelle Rates'!BN5</f>
        <v>32</v>
      </c>
      <c r="BO15">
        <f>'Gravelle Rates'!BO5</f>
        <v>33</v>
      </c>
      <c r="BP15">
        <f>'Gravelle Rates'!BP5</f>
        <v>32</v>
      </c>
      <c r="BQ15">
        <f>'Gravelle Rates'!BQ5</f>
        <v>32</v>
      </c>
      <c r="BR15">
        <f>'Gravelle Rates'!BR5</f>
        <v>32</v>
      </c>
      <c r="BS15">
        <f>'Gravelle Rates'!BS5</f>
        <v>31</v>
      </c>
      <c r="BT15">
        <f>'Gravelle Rates'!BT5</f>
        <v>31</v>
      </c>
      <c r="BU15">
        <f>'Gravelle Rates'!BU5</f>
        <v>30</v>
      </c>
      <c r="BV15">
        <f>'Gravelle Rates'!BV5</f>
        <v>31</v>
      </c>
      <c r="BW15">
        <f>'Gravelle Rates'!BW5</f>
        <v>32</v>
      </c>
      <c r="BX15">
        <f>'Gravelle Rates'!BX5</f>
        <v>30</v>
      </c>
      <c r="BY15">
        <f>'Gravelle Rates'!BY5</f>
        <v>27</v>
      </c>
      <c r="BZ15">
        <f>'Gravelle Rates'!BZ5</f>
        <v>30</v>
      </c>
      <c r="CA15">
        <f>'Gravelle Rates'!CA5</f>
        <v>34</v>
      </c>
      <c r="CB15" t="str">
        <f>'Gravelle Rates'!CB5</f>
        <v>NaN</v>
      </c>
      <c r="CC15" t="str">
        <f>'Gravelle Rates'!CC5</f>
        <v>NaN</v>
      </c>
      <c r="CD15" t="str">
        <f>'Gravelle Rates'!CD5</f>
        <v>NaN</v>
      </c>
      <c r="CE15" t="str">
        <f>'Gravelle Rates'!CE5</f>
        <v>NaN</v>
      </c>
      <c r="CF15" t="str">
        <f>'Gravelle Rates'!CF5</f>
        <v>NaN</v>
      </c>
      <c r="CG15" t="str">
        <f>'Gravelle Rates'!CG5</f>
        <v>NaN</v>
      </c>
      <c r="CH15" t="str">
        <f>'Gravelle Rates'!CH5</f>
        <v>NaN</v>
      </c>
      <c r="CI15" t="str">
        <f>'Gravelle Rates'!CI5</f>
        <v>NaN</v>
      </c>
      <c r="CJ15" t="str">
        <f>'Gravelle Rates'!CJ5</f>
        <v>NaN</v>
      </c>
      <c r="CK15" t="str">
        <f>'Gravelle Rates'!CK5</f>
        <v>NaN</v>
      </c>
      <c r="CL15" t="str">
        <f>'Gravelle Rates'!CL5</f>
        <v>NaN</v>
      </c>
      <c r="CM15" t="str">
        <f>'Gravelle Rates'!CM5</f>
        <v>NaN</v>
      </c>
      <c r="CN15" t="str">
        <f>'Gravelle Rates'!CN5</f>
        <v>NaN</v>
      </c>
      <c r="CO15" t="str">
        <f>'Gravelle Rates'!CO5</f>
        <v>NaN</v>
      </c>
      <c r="CP15" t="str">
        <f>'Gravelle Rates'!CP5</f>
        <v>NaN</v>
      </c>
      <c r="CQ15" t="str">
        <f>'Gravelle Rates'!CQ5</f>
        <v>NaN</v>
      </c>
      <c r="CR15" t="str">
        <f>'Gravelle Rates'!CR5</f>
        <v>NaN</v>
      </c>
      <c r="CS15" t="str">
        <f>'Gravelle Rates'!CS5</f>
        <v>NaN</v>
      </c>
      <c r="CT15" t="str">
        <f>'Gravelle Rates'!CT5</f>
        <v>NaN</v>
      </c>
    </row>
    <row r="16" spans="1:99">
      <c r="A16" t="s">
        <v>1566</v>
      </c>
      <c r="B16" t="s">
        <v>1448</v>
      </c>
      <c r="C16">
        <f>'PCE Deflator'!C8</f>
        <v>8.7870000000000008</v>
      </c>
      <c r="D16">
        <f>'PCE Deflator'!D8</f>
        <v>8.4149999999999991</v>
      </c>
      <c r="E16">
        <f>'PCE Deflator'!E8</f>
        <v>7.5140000000000002</v>
      </c>
      <c r="F16">
        <f>'PCE Deflator'!F8</f>
        <v>6.6269999999999998</v>
      </c>
      <c r="G16">
        <f>'PCE Deflator'!G8</f>
        <v>6.391</v>
      </c>
      <c r="H16">
        <f>'PCE Deflator'!H8</f>
        <v>6.681</v>
      </c>
      <c r="I16">
        <f>'PCE Deflator'!I8</f>
        <v>6.8460000000000001</v>
      </c>
      <c r="J16">
        <f>'PCE Deflator'!J8</f>
        <v>6.9089999999999998</v>
      </c>
      <c r="K16">
        <f>'PCE Deflator'!K8</f>
        <v>7.16</v>
      </c>
      <c r="L16">
        <f>'PCE Deflator'!L8</f>
        <v>6.9969999999999999</v>
      </c>
      <c r="M16">
        <f>'PCE Deflator'!M8</f>
        <v>6.9290000000000003</v>
      </c>
      <c r="N16">
        <f>'PCE Deflator'!N8</f>
        <v>6.9880000000000004</v>
      </c>
      <c r="O16">
        <f>'PCE Deflator'!O8</f>
        <v>7.423</v>
      </c>
      <c r="P16">
        <f>'PCE Deflator'!P8</f>
        <v>8.3469999999999995</v>
      </c>
      <c r="Q16">
        <f>'PCE Deflator'!Q8</f>
        <v>9.1150000000000002</v>
      </c>
      <c r="R16">
        <f>'PCE Deflator'!R8</f>
        <v>9.6379999999999999</v>
      </c>
      <c r="S16">
        <f>'PCE Deflator'!S8</f>
        <v>10.023999999999999</v>
      </c>
      <c r="T16">
        <f>'PCE Deflator'!T8</f>
        <v>10.722</v>
      </c>
      <c r="U16">
        <f>'PCE Deflator'!U8</f>
        <v>11.808999999999999</v>
      </c>
      <c r="V16">
        <f>'PCE Deflator'!V8</f>
        <v>12.477</v>
      </c>
      <c r="W16">
        <f>'PCE Deflator'!W8</f>
        <v>12.379</v>
      </c>
      <c r="X16">
        <f>'PCE Deflator'!X8</f>
        <v>12.526999999999999</v>
      </c>
      <c r="Y16">
        <f>'PCE Deflator'!Y8</f>
        <v>13.38</v>
      </c>
      <c r="Z16">
        <f>'PCE Deflator'!Z8</f>
        <v>13.654</v>
      </c>
      <c r="AA16">
        <f>'PCE Deflator'!AA8</f>
        <v>13.834</v>
      </c>
      <c r="AB16">
        <f>'PCE Deflator'!AB8</f>
        <v>13.95</v>
      </c>
      <c r="AC16">
        <f>'PCE Deflator'!AC8</f>
        <v>14.005000000000001</v>
      </c>
      <c r="AD16">
        <f>'PCE Deflator'!AD8</f>
        <v>14.284000000000001</v>
      </c>
      <c r="AE16">
        <f>'PCE Deflator'!AE8</f>
        <v>14.718</v>
      </c>
      <c r="AF16">
        <f>'PCE Deflator'!AF8</f>
        <v>15.066000000000001</v>
      </c>
      <c r="AG16">
        <f>'PCE Deflator'!AG8</f>
        <v>15.29</v>
      </c>
      <c r="AH16">
        <f>'PCE Deflator'!AH8</f>
        <v>15.541</v>
      </c>
      <c r="AI16">
        <f>'PCE Deflator'!AI8</f>
        <v>15.702</v>
      </c>
      <c r="AJ16">
        <f>'PCE Deflator'!AJ8</f>
        <v>15.885999999999999</v>
      </c>
      <c r="AK16">
        <f>'PCE Deflator'!AK8</f>
        <v>16.077000000000002</v>
      </c>
      <c r="AL16">
        <f>'PCE Deflator'!AL8</f>
        <v>16.309000000000001</v>
      </c>
      <c r="AM16">
        <f>'PCE Deflator'!AM8</f>
        <v>16.544</v>
      </c>
      <c r="AN16">
        <f>'PCE Deflator'!AN8</f>
        <v>16.962</v>
      </c>
      <c r="AO16">
        <f>'PCE Deflator'!AO8</f>
        <v>17.388999999999999</v>
      </c>
      <c r="AP16">
        <f>'PCE Deflator'!AP8</f>
        <v>18.068999999999999</v>
      </c>
      <c r="AQ16">
        <f>'PCE Deflator'!AQ8</f>
        <v>18.882999999999999</v>
      </c>
      <c r="AR16">
        <f>'PCE Deflator'!AR8</f>
        <v>19.765999999999998</v>
      </c>
      <c r="AS16">
        <f>'PCE Deflator'!AS8</f>
        <v>20.605</v>
      </c>
      <c r="AT16">
        <f>'PCE Deflator'!AT8</f>
        <v>21.308</v>
      </c>
      <c r="AU16">
        <f>'PCE Deflator'!AU8</f>
        <v>22.454999999999998</v>
      </c>
      <c r="AV16">
        <f>'PCE Deflator'!AV8</f>
        <v>24.792999999999999</v>
      </c>
      <c r="AW16">
        <f>'PCE Deflator'!AW8</f>
        <v>26.86</v>
      </c>
      <c r="AX16">
        <f>'PCE Deflator'!AX8</f>
        <v>28.332999999999998</v>
      </c>
      <c r="AY16">
        <f>'PCE Deflator'!AY8</f>
        <v>30.175999999999998</v>
      </c>
      <c r="AZ16">
        <f>'PCE Deflator'!AZ8</f>
        <v>32.276000000000003</v>
      </c>
      <c r="BA16">
        <f>'PCE Deflator'!BA8</f>
        <v>35.143000000000001</v>
      </c>
      <c r="BB16">
        <f>'PCE Deflator'!BB8</f>
        <v>38.927999999999997</v>
      </c>
      <c r="BC16">
        <f>'PCE Deflator'!BC8</f>
        <v>42.414999999999999</v>
      </c>
      <c r="BD16">
        <f>'PCE Deflator'!BD8</f>
        <v>44.771000000000001</v>
      </c>
      <c r="BE16">
        <f>'PCE Deflator'!BE8</f>
        <v>46.676000000000002</v>
      </c>
      <c r="BF16">
        <f>'PCE Deflator'!BF8</f>
        <v>48.439</v>
      </c>
      <c r="BG16">
        <f>'PCE Deflator'!BG8</f>
        <v>50.128</v>
      </c>
      <c r="BH16">
        <f>'PCE Deflator'!BH8</f>
        <v>51.219000000000001</v>
      </c>
      <c r="BI16">
        <f>'PCE Deflator'!BI8</f>
        <v>52.802</v>
      </c>
      <c r="BJ16">
        <f>'PCE Deflator'!BJ8</f>
        <v>54.865000000000002</v>
      </c>
      <c r="BK16">
        <f>'PCE Deflator'!BK8</f>
        <v>57.261000000000003</v>
      </c>
      <c r="BL16">
        <f>'PCE Deflator'!BL8</f>
        <v>59.774999999999999</v>
      </c>
      <c r="BM16">
        <f>'PCE Deflator'!BM8</f>
        <v>61.774000000000001</v>
      </c>
      <c r="BN16">
        <f>'PCE Deflator'!BN8</f>
        <v>63.42</v>
      </c>
      <c r="BO16">
        <f>'PCE Deflator'!BO8</f>
        <v>65</v>
      </c>
      <c r="BP16">
        <f>'PCE Deflator'!BP8</f>
        <v>66.355999999999995</v>
      </c>
      <c r="BQ16">
        <f>'PCE Deflator'!BQ8</f>
        <v>67.754000000000005</v>
      </c>
      <c r="BR16">
        <f>'PCE Deflator'!BR8</f>
        <v>69.203000000000003</v>
      </c>
      <c r="BS16">
        <f>'PCE Deflator'!BS8</f>
        <v>70.406999999999996</v>
      </c>
      <c r="BT16">
        <f>'PCE Deflator'!BT8</f>
        <v>70.966999999999999</v>
      </c>
      <c r="BU16">
        <f>'PCE Deflator'!BU8</f>
        <v>72.001000000000005</v>
      </c>
      <c r="BV16">
        <f>'PCE Deflator'!BV8</f>
        <v>73.822000000000003</v>
      </c>
      <c r="BW16">
        <f>'PCE Deflator'!BW8</f>
        <v>75.302000000000007</v>
      </c>
      <c r="BX16">
        <f>'PCE Deflator'!BX8</f>
        <v>76.290999999999997</v>
      </c>
      <c r="BY16">
        <f>'PCE Deflator'!BY8</f>
        <v>77.894000000000005</v>
      </c>
      <c r="BZ16">
        <f>'PCE Deflator'!BZ8</f>
        <v>79.826999999999998</v>
      </c>
      <c r="CA16">
        <f>'PCE Deflator'!CA8</f>
        <v>82.126999999999995</v>
      </c>
      <c r="CB16">
        <f>'PCE Deflator'!CB8</f>
        <v>84.44</v>
      </c>
      <c r="CC16">
        <f>'PCE Deflator'!CC8</f>
        <v>86.606999999999999</v>
      </c>
      <c r="CD16">
        <f>'PCE Deflator'!CD8</f>
        <v>89.17</v>
      </c>
      <c r="CE16">
        <f>'PCE Deflator'!CE8</f>
        <v>88.921000000000006</v>
      </c>
      <c r="CF16">
        <f>'PCE Deflator'!CF8</f>
        <v>90.513999999999996</v>
      </c>
      <c r="CG16">
        <f>'PCE Deflator'!CG8</f>
        <v>92.804000000000002</v>
      </c>
      <c r="CH16">
        <f>'PCE Deflator'!CH8</f>
        <v>94.534000000000006</v>
      </c>
      <c r="CI16">
        <f>'PCE Deflator'!CI8</f>
        <v>95.781000000000006</v>
      </c>
      <c r="CJ16">
        <f>'PCE Deflator'!CJ8</f>
        <v>97.120999999999995</v>
      </c>
      <c r="CK16">
        <f>'PCE Deflator'!CK8</f>
        <v>97.299000000000007</v>
      </c>
      <c r="CL16">
        <f>'PCE Deflator'!CL8</f>
        <v>98.284000000000006</v>
      </c>
      <c r="CM16">
        <f>'PCE Deflator'!CM8</f>
        <v>100</v>
      </c>
      <c r="CN16">
        <f>'PCE Deflator'!CN8</f>
        <v>102.047</v>
      </c>
      <c r="CO16">
        <f>'PCE Deflator'!CO8</f>
        <v>103.509</v>
      </c>
      <c r="CP16">
        <f>'PCE Deflator'!CP8</f>
        <v>104.666</v>
      </c>
      <c r="CQ16">
        <f>'PCE Deflator'!CQ8</f>
        <v>108.97199999999999</v>
      </c>
      <c r="CR16">
        <f>'PCE Deflator'!CR8</f>
        <v>116.1</v>
      </c>
      <c r="CS16">
        <f>'PCE Deflator'!CS8</f>
        <v>120.511</v>
      </c>
      <c r="CT16">
        <f>'PCE Deflator'!CT8</f>
        <v>123.666</v>
      </c>
    </row>
    <row r="17" spans="1:98">
      <c r="A17" t="s">
        <v>1578</v>
      </c>
      <c r="B17">
        <f>'CRSP Data'!D2</f>
        <v>0.39139649999999998</v>
      </c>
      <c r="C17">
        <f>'CRSP Data'!E2</f>
        <v>-0.15095529999999999</v>
      </c>
      <c r="D17">
        <f>'CRSP Data'!F2</f>
        <v>-0.2890045</v>
      </c>
      <c r="E17">
        <f>'CRSP Data'!G2</f>
        <v>-0.44387949999999998</v>
      </c>
      <c r="F17">
        <f>'CRSP Data'!H2</f>
        <v>-7.9447980000000001E-2</v>
      </c>
      <c r="G17">
        <f>'CRSP Data'!I2</f>
        <v>0.57413130000000001</v>
      </c>
      <c r="H17">
        <f>'CRSP Data'!J2</f>
        <v>3.184588E-2</v>
      </c>
      <c r="I17">
        <f>'CRSP Data'!K2</f>
        <v>0.45448699999999997</v>
      </c>
      <c r="J17">
        <f>'CRSP Data'!L2</f>
        <v>0.32315250000000001</v>
      </c>
      <c r="K17">
        <f>'CRSP Data'!M2</f>
        <v>-0.3460435</v>
      </c>
      <c r="L17">
        <f>'CRSP Data'!N2</f>
        <v>0.28435890000000003</v>
      </c>
      <c r="M17">
        <f>'CRSP Data'!O2</f>
        <v>1.8434860000000001E-2</v>
      </c>
      <c r="N17">
        <f>'CRSP Data'!P2</f>
        <v>-7.5104470000000007E-2</v>
      </c>
      <c r="O17">
        <f>'CRSP Data'!Q2</f>
        <v>-0.100387</v>
      </c>
      <c r="P17">
        <f>'CRSP Data'!R2</f>
        <v>0.16721759999999999</v>
      </c>
      <c r="Q17">
        <f>'CRSP Data'!S2</f>
        <v>0.27968739999999997</v>
      </c>
      <c r="R17">
        <f>'CRSP Data'!T2</f>
        <v>0.21363950000000001</v>
      </c>
      <c r="S17">
        <f>'CRSP Data'!U2</f>
        <v>0.39059300000000002</v>
      </c>
      <c r="T17">
        <f>'CRSP Data'!V2</f>
        <v>-6.4211669999999998E-2</v>
      </c>
      <c r="U17">
        <f>'CRSP Data'!W2</f>
        <v>3.2932719999999999E-2</v>
      </c>
      <c r="V17">
        <f>'CRSP Data'!X2</f>
        <v>2.1313479999999999E-2</v>
      </c>
      <c r="W17">
        <f>'CRSP Data'!Y2</f>
        <v>0.20109550000000001</v>
      </c>
      <c r="X17">
        <f>'CRSP Data'!Z2</f>
        <v>0.30473030000000001</v>
      </c>
      <c r="Y17">
        <f>'CRSP Data'!AA2</f>
        <v>0.20944119999999999</v>
      </c>
      <c r="Z17">
        <f>'CRSP Data'!AB2</f>
        <v>0.1333239</v>
      </c>
      <c r="AA17">
        <f>'CRSP Data'!AC2</f>
        <v>3.84316E-3</v>
      </c>
      <c r="AB17">
        <f>'CRSP Data'!AD2</f>
        <v>0.50412029999999997</v>
      </c>
      <c r="AC17">
        <f>'CRSP Data'!AE2</f>
        <v>0.25413459999999999</v>
      </c>
      <c r="AD17">
        <f>'CRSP Data'!AF2</f>
        <v>8.5817450000000003E-2</v>
      </c>
      <c r="AE17">
        <f>'CRSP Data'!AG2</f>
        <v>-0.10348350000000001</v>
      </c>
      <c r="AF17">
        <f>'CRSP Data'!AH2</f>
        <v>0.44775860000000001</v>
      </c>
      <c r="AG17">
        <f>'CRSP Data'!AI2</f>
        <v>0.12646180000000001</v>
      </c>
      <c r="AH17">
        <f>'CRSP Data'!AJ2</f>
        <v>1.208885E-2</v>
      </c>
      <c r="AI17">
        <f>'CRSP Data'!AK2</f>
        <v>0.26960489999999998</v>
      </c>
      <c r="AJ17">
        <f>'CRSP Data'!AL2</f>
        <v>-0.1031199</v>
      </c>
      <c r="AK17">
        <f>'CRSP Data'!AM2</f>
        <v>0.20887649999999999</v>
      </c>
      <c r="AL17">
        <f>'CRSP Data'!AN2</f>
        <v>0.16303790000000001</v>
      </c>
      <c r="AM17">
        <f>'CRSP Data'!AO2</f>
        <v>0.1438586</v>
      </c>
      <c r="AN17">
        <f>'CRSP Data'!AP2</f>
        <v>-8.6888220000000002E-2</v>
      </c>
      <c r="AO17">
        <f>'CRSP Data'!AQ2</f>
        <v>0.28566419999999998</v>
      </c>
      <c r="AP17">
        <f>'CRSP Data'!AR2</f>
        <v>0.14168639999999999</v>
      </c>
      <c r="AQ17">
        <f>'CRSP Data'!AS2</f>
        <v>-0.1083604</v>
      </c>
      <c r="AR17">
        <f>'CRSP Data'!AT2</f>
        <v>7.3185999999999998E-4</v>
      </c>
      <c r="AS17">
        <f>'CRSP Data'!AU2</f>
        <v>0.16198879999999999</v>
      </c>
      <c r="AT17">
        <f>'CRSP Data'!AV2</f>
        <v>0.17340549999999999</v>
      </c>
      <c r="AU17">
        <f>'CRSP Data'!AW2</f>
        <v>-0.18749669999999999</v>
      </c>
      <c r="AV17">
        <f>'CRSP Data'!AX2</f>
        <v>-0.2794142</v>
      </c>
      <c r="AW17">
        <f>'CRSP Data'!AY2</f>
        <v>0.37357859999999998</v>
      </c>
      <c r="AX17">
        <f>'CRSP Data'!AZ2</f>
        <v>0.26780340000000002</v>
      </c>
      <c r="AY17">
        <f>'CRSP Data'!BA2</f>
        <v>-2.969596E-2</v>
      </c>
      <c r="AZ17">
        <f>'CRSP Data'!BB2</f>
        <v>8.5461549999999997E-2</v>
      </c>
      <c r="BA17">
        <f>'CRSP Data'!BC2</f>
        <v>0.244143</v>
      </c>
      <c r="BB17">
        <f>'CRSP Data'!BD2</f>
        <v>0.33239419999999997</v>
      </c>
      <c r="BC17">
        <f>'CRSP Data'!BE2</f>
        <v>-3.9875069999999999E-2</v>
      </c>
      <c r="BD17">
        <f>'CRSP Data'!BF2</f>
        <v>0.2042214</v>
      </c>
      <c r="BE17">
        <f>'CRSP Data'!BG2</f>
        <v>0.22646830000000001</v>
      </c>
      <c r="BF17">
        <f>'CRSP Data'!BH2</f>
        <v>3.1642249999999997E-2</v>
      </c>
      <c r="BG17">
        <f>'CRSP Data'!BI2</f>
        <v>0.31411630000000001</v>
      </c>
      <c r="BH17">
        <f>'CRSP Data'!BJ2</f>
        <v>0.15562819999999999</v>
      </c>
      <c r="BI17">
        <f>'CRSP Data'!BK2</f>
        <v>1.8312200000000001E-2</v>
      </c>
      <c r="BJ17">
        <f>'CRSP Data'!BL2</f>
        <v>0.1755504</v>
      </c>
      <c r="BK17">
        <f>'CRSP Data'!BM2</f>
        <v>0.28432990000000002</v>
      </c>
      <c r="BL17">
        <f>'CRSP Data'!BN2</f>
        <v>-6.0817599999999999E-2</v>
      </c>
      <c r="BM17">
        <f>'CRSP Data'!BO2</f>
        <v>0.33645920000000001</v>
      </c>
      <c r="BN17">
        <f>'CRSP Data'!BP2</f>
        <v>9.063011E-2</v>
      </c>
      <c r="BO17">
        <f>'CRSP Data'!BQ2</f>
        <v>0.1158626</v>
      </c>
      <c r="BP17">
        <f>'CRSP Data'!BR2</f>
        <v>-7.4615899999999997E-3</v>
      </c>
      <c r="BQ17">
        <f>'CRSP Data'!BS2</f>
        <v>0.35662389999999999</v>
      </c>
      <c r="BR17">
        <f>'CRSP Data'!BT2</f>
        <v>0.21172849999999999</v>
      </c>
      <c r="BS17">
        <f>'CRSP Data'!BU2</f>
        <v>0.30344359999999998</v>
      </c>
      <c r="BT17">
        <f>'CRSP Data'!BV2</f>
        <v>0.22244549999999999</v>
      </c>
      <c r="BU17">
        <f>'CRSP Data'!BW2</f>
        <v>0.25272139999999998</v>
      </c>
      <c r="BV17">
        <f>'CRSP Data'!BX2</f>
        <v>-0.11159760000000001</v>
      </c>
      <c r="BW17">
        <f>'CRSP Data'!BY2</f>
        <v>-0.1126955</v>
      </c>
      <c r="BX17">
        <f>'CRSP Data'!BZ2</f>
        <v>-0.2083391</v>
      </c>
      <c r="BY17">
        <f>'CRSP Data'!CA2</f>
        <v>0.33141870000000001</v>
      </c>
      <c r="BZ17">
        <f>'CRSP Data'!CB2</f>
        <v>0.1299121</v>
      </c>
      <c r="CA17">
        <f>'CRSP Data'!CC2</f>
        <v>7.3040980000000005E-2</v>
      </c>
      <c r="CB17">
        <f>'CRSP Data'!CD2</f>
        <v>0.16227140000000001</v>
      </c>
      <c r="CC17">
        <f>'CRSP Data'!CE2</f>
        <v>7.2871210000000006E-2</v>
      </c>
      <c r="CD17">
        <f>'CRSP Data'!CF2</f>
        <v>-0.38328600000000002</v>
      </c>
      <c r="CE17">
        <f>'CRSP Data'!CG2</f>
        <v>0.31652970000000002</v>
      </c>
      <c r="CF17">
        <f>'CRSP Data'!CH2</f>
        <v>0.1788845</v>
      </c>
      <c r="CG17">
        <f>'CRSP Data'!CI2</f>
        <v>-9.4065299999999998E-3</v>
      </c>
      <c r="CH17">
        <f>'CRSP Data'!CJ2</f>
        <v>0.15998039999999999</v>
      </c>
      <c r="CI17">
        <f>'CRSP Data'!CK2</f>
        <v>0.31682280000000002</v>
      </c>
      <c r="CJ17">
        <f>'CRSP Data'!CL2</f>
        <v>0.108102</v>
      </c>
      <c r="CK17">
        <f>'CRSP Data'!CM2</f>
        <v>-1.5908490000000001E-2</v>
      </c>
      <c r="CL17">
        <f>'CRSP Data'!CN2</f>
        <v>0.12926989999999999</v>
      </c>
      <c r="CM17">
        <f>'CRSP Data'!CO2</f>
        <v>0.2090014</v>
      </c>
      <c r="CN17">
        <f>'CRSP Data'!CP2</f>
        <v>-6.2068959999999999E-2</v>
      </c>
      <c r="CO17">
        <f>'CRSP Data'!CQ2</f>
        <v>0.2974697</v>
      </c>
      <c r="CP17">
        <f>'CRSP Data'!CR2</f>
        <v>0.21374399999999999</v>
      </c>
      <c r="CQ17">
        <f>'CRSP Data'!CS2</f>
        <v>0.23572090000000001</v>
      </c>
      <c r="CR17">
        <f>'CRSP Data'!CT2</f>
        <v>-0.19849600000000001</v>
      </c>
      <c r="CS17">
        <f>'CRSP Data'!CU2</f>
        <v>0.25111070000000002</v>
      </c>
      <c r="CT17">
        <f>'CRSP Data'!CV2</f>
        <v>0.22855700000000001</v>
      </c>
    </row>
    <row r="18" spans="1:98">
      <c r="A18" t="s">
        <v>1799</v>
      </c>
      <c r="B18" t="s">
        <v>1448</v>
      </c>
      <c r="C18" t="s">
        <v>1448</v>
      </c>
      <c r="D18" t="s">
        <v>1448</v>
      </c>
      <c r="E18" t="s">
        <v>1448</v>
      </c>
      <c r="F18" t="s">
        <v>1448</v>
      </c>
      <c r="G18" t="s">
        <v>1448</v>
      </c>
      <c r="H18" t="s">
        <v>1448</v>
      </c>
      <c r="I18" t="s">
        <v>1448</v>
      </c>
      <c r="J18" t="s">
        <v>1448</v>
      </c>
      <c r="K18" t="s">
        <v>1448</v>
      </c>
      <c r="L18" t="s">
        <v>1448</v>
      </c>
      <c r="M18" t="s">
        <v>1448</v>
      </c>
      <c r="N18" t="s">
        <v>1448</v>
      </c>
      <c r="O18" t="s">
        <v>1448</v>
      </c>
      <c r="P18" t="s">
        <v>1448</v>
      </c>
      <c r="Q18" t="s">
        <v>1448</v>
      </c>
      <c r="R18" t="s">
        <v>1448</v>
      </c>
      <c r="S18" t="s">
        <v>1448</v>
      </c>
      <c r="T18" t="s">
        <v>1448</v>
      </c>
      <c r="U18" t="s">
        <v>1448</v>
      </c>
      <c r="V18" t="s">
        <v>1448</v>
      </c>
      <c r="W18" t="s">
        <v>1448</v>
      </c>
      <c r="X18" t="s">
        <v>1448</v>
      </c>
      <c r="Y18" t="s">
        <v>1448</v>
      </c>
      <c r="Z18" t="s">
        <v>1448</v>
      </c>
      <c r="AA18" t="s">
        <v>1448</v>
      </c>
      <c r="AB18">
        <f>'Interest Rates'!B33</f>
        <v>1.21</v>
      </c>
      <c r="AC18">
        <f>'Interest Rates'!C33</f>
        <v>2.73</v>
      </c>
      <c r="AD18">
        <f>'Interest Rates'!D33</f>
        <v>3.68</v>
      </c>
      <c r="AE18">
        <f>'Interest Rates'!E33</f>
        <v>3.18</v>
      </c>
      <c r="AF18">
        <f>'Interest Rates'!F33</f>
        <v>3.29</v>
      </c>
      <c r="AG18">
        <f>'Interest Rates'!G33</f>
        <v>5.14</v>
      </c>
      <c r="AH18">
        <f>'Interest Rates'!H33</f>
        <v>2.86</v>
      </c>
      <c r="AI18">
        <f>'Interest Rates'!I33</f>
        <v>3.18</v>
      </c>
      <c r="AJ18">
        <f>'Interest Rates'!J33</f>
        <v>3.01</v>
      </c>
      <c r="AK18">
        <f>'Interest Rates'!K33</f>
        <v>3.81</v>
      </c>
      <c r="AL18">
        <f>'Interest Rates'!L33</f>
        <v>4.0199999999999996</v>
      </c>
      <c r="AM18">
        <f>'Interest Rates'!M33</f>
        <v>4.72</v>
      </c>
      <c r="AN18">
        <f>'Interest Rates'!N33</f>
        <v>5.2</v>
      </c>
      <c r="AO18">
        <f>'Interest Rates'!O33</f>
        <v>5.71</v>
      </c>
      <c r="AP18">
        <f>'Interest Rates'!P33</f>
        <v>6.19</v>
      </c>
      <c r="AQ18">
        <f>'Interest Rates'!Q33</f>
        <v>8.17</v>
      </c>
      <c r="AR18">
        <f>'Interest Rates'!R33</f>
        <v>5</v>
      </c>
      <c r="AS18">
        <f>'Interest Rates'!S33</f>
        <v>4.5999999999999996</v>
      </c>
      <c r="AT18">
        <f>'Interest Rates'!T33</f>
        <v>5.52</v>
      </c>
      <c r="AU18">
        <f>'Interest Rates'!U33</f>
        <v>7.27</v>
      </c>
      <c r="AV18">
        <f>'Interest Rates'!V33</f>
        <v>7.31</v>
      </c>
      <c r="AW18">
        <f>'Interest Rates'!W33</f>
        <v>6.6</v>
      </c>
      <c r="AX18">
        <f>'Interest Rates'!X33</f>
        <v>4.8899999999999997</v>
      </c>
      <c r="AY18">
        <f>'Interest Rates'!Y33</f>
        <v>6.96</v>
      </c>
      <c r="AZ18">
        <f>'Interest Rates'!Z33</f>
        <v>10.3</v>
      </c>
      <c r="BA18">
        <f>'Interest Rates'!AA33</f>
        <v>11.98</v>
      </c>
      <c r="BB18">
        <f>'Interest Rates'!AB33</f>
        <v>14.88</v>
      </c>
      <c r="BC18">
        <f>'Interest Rates'!AC33</f>
        <v>12.85</v>
      </c>
      <c r="BD18">
        <f>'Interest Rates'!AD33</f>
        <v>8.91</v>
      </c>
      <c r="BE18">
        <f>'Interest Rates'!AE33</f>
        <v>10.11</v>
      </c>
      <c r="BF18">
        <f>'Interest Rates'!AF33</f>
        <v>9.33</v>
      </c>
      <c r="BG18">
        <f>'Interest Rates'!AG33</f>
        <v>7.67</v>
      </c>
      <c r="BH18">
        <f>'Interest Rates'!AH33</f>
        <v>5.87</v>
      </c>
      <c r="BI18">
        <f>'Interest Rates'!AI33</f>
        <v>7.17</v>
      </c>
      <c r="BJ18">
        <f>'Interest Rates'!AJ33</f>
        <v>8.99</v>
      </c>
      <c r="BK18">
        <f>'Interest Rates'!AK33</f>
        <v>7.72</v>
      </c>
      <c r="BL18">
        <f>'Interest Rates'!AL33</f>
        <v>7.05</v>
      </c>
      <c r="BM18">
        <f>'Interest Rates'!AM33</f>
        <v>4.38</v>
      </c>
      <c r="BN18">
        <f>'Interest Rates'!AN33</f>
        <v>3.71</v>
      </c>
      <c r="BO18">
        <f>'Interest Rates'!AO33</f>
        <v>3.61</v>
      </c>
      <c r="BP18">
        <f>'Interest Rates'!AP33</f>
        <v>7.14</v>
      </c>
      <c r="BQ18">
        <f>'Interest Rates'!AQ33</f>
        <v>5.31</v>
      </c>
      <c r="BR18">
        <f>'Interest Rates'!AR33</f>
        <v>5.47</v>
      </c>
      <c r="BS18">
        <f>'Interest Rates'!AS33</f>
        <v>5.53</v>
      </c>
      <c r="BT18">
        <f>'Interest Rates'!AT33</f>
        <v>4.5199999999999996</v>
      </c>
      <c r="BU18">
        <f>'Interest Rates'!AU33</f>
        <v>5.84</v>
      </c>
      <c r="BV18">
        <f>'Interest Rates'!AV33</f>
        <v>5.6</v>
      </c>
      <c r="BW18">
        <f>'Interest Rates'!AW33</f>
        <v>2.2200000000000002</v>
      </c>
      <c r="BX18">
        <f>'Interest Rates'!AX33</f>
        <v>1.45</v>
      </c>
      <c r="BY18">
        <f>'Interest Rates'!AY33</f>
        <v>1.31</v>
      </c>
      <c r="BZ18">
        <f>'Interest Rates'!AZ33</f>
        <v>2.67</v>
      </c>
      <c r="CA18">
        <f>'Interest Rates'!BA33</f>
        <v>4.3499999999999996</v>
      </c>
      <c r="CB18">
        <f>'Interest Rates'!BB33</f>
        <v>4.9400000000000004</v>
      </c>
      <c r="CC18">
        <f>'Interest Rates'!BC33</f>
        <v>3.26</v>
      </c>
      <c r="CD18">
        <f>'Interest Rates'!BD33</f>
        <v>0.49</v>
      </c>
      <c r="CE18">
        <f>'Interest Rates'!BE33</f>
        <v>0.37</v>
      </c>
      <c r="CF18">
        <f>'Interest Rates'!BF33</f>
        <v>0.28999999999999998</v>
      </c>
      <c r="CG18">
        <f>'Interest Rates'!BG33</f>
        <v>0.12</v>
      </c>
      <c r="CH18">
        <f>'Interest Rates'!BH33</f>
        <v>0.16</v>
      </c>
      <c r="CI18">
        <f>'Interest Rates'!BI33</f>
        <v>0.13</v>
      </c>
      <c r="CJ18">
        <f>'Interest Rates'!BJ33</f>
        <v>0.21</v>
      </c>
      <c r="CK18">
        <f>'Interest Rates'!BK33</f>
        <v>0.65</v>
      </c>
      <c r="CL18">
        <f>'Interest Rates'!BL33</f>
        <v>0.87</v>
      </c>
      <c r="CM18">
        <f>'Interest Rates'!BM33</f>
        <v>1.7</v>
      </c>
      <c r="CN18">
        <f>'Interest Rates'!BN33</f>
        <v>2.66</v>
      </c>
      <c r="CO18">
        <f>'Interest Rates'!BO33</f>
        <v>1.55</v>
      </c>
      <c r="CP18">
        <f>'Interest Rates'!BP33</f>
        <v>0.1</v>
      </c>
      <c r="CQ18">
        <f>'Interest Rates'!BQ33</f>
        <v>0.3</v>
      </c>
      <c r="CR18">
        <f>'Interest Rates'!BR33</f>
        <v>4.68</v>
      </c>
      <c r="CS18">
        <f>'Interest Rates'!BS33</f>
        <v>4.96</v>
      </c>
      <c r="CT18">
        <f>'Interest Rates'!BT33</f>
        <v>4.2300000000000004</v>
      </c>
    </row>
    <row r="19" spans="1:98">
      <c r="A19" t="s">
        <v>1800</v>
      </c>
      <c r="B19">
        <f>'Interest Rates'!E10</f>
        <v>3.45</v>
      </c>
      <c r="C19">
        <f>'Interest Rates'!F10</f>
        <v>3.36</v>
      </c>
      <c r="D19">
        <f>'Interest Rates'!G10</f>
        <v>3.22</v>
      </c>
      <c r="E19">
        <f>'Interest Rates'!H10</f>
        <v>3.93</v>
      </c>
      <c r="F19">
        <f>'Interest Rates'!I10</f>
        <v>3.35</v>
      </c>
      <c r="G19">
        <f>'Interest Rates'!J10</f>
        <v>3.53</v>
      </c>
      <c r="H19">
        <f>'Interest Rates'!K10</f>
        <v>3.01</v>
      </c>
      <c r="I19">
        <f>'Interest Rates'!L10</f>
        <v>2.84</v>
      </c>
      <c r="J19">
        <f>'Interest Rates'!M10</f>
        <v>2.59</v>
      </c>
      <c r="K19">
        <f>'Interest Rates'!N10</f>
        <v>2.73</v>
      </c>
      <c r="L19">
        <f>'Interest Rates'!O10</f>
        <v>2.56</v>
      </c>
      <c r="M19">
        <f>'Interest Rates'!P10</f>
        <v>2.35</v>
      </c>
      <c r="N19">
        <f>'Interest Rates'!Q10</f>
        <v>2.0099999999999998</v>
      </c>
      <c r="O19">
        <f>'Interest Rates'!R10</f>
        <v>2.4700000000000002</v>
      </c>
      <c r="P19">
        <f>'Interest Rates'!S10</f>
        <v>2.4900000000000002</v>
      </c>
      <c r="Q19">
        <f>'Interest Rates'!T10</f>
        <v>2.4900000000000002</v>
      </c>
      <c r="R19">
        <f>'Interest Rates'!U10</f>
        <v>2.48</v>
      </c>
      <c r="S19">
        <f>'Interest Rates'!V10</f>
        <v>2.33</v>
      </c>
      <c r="T19">
        <f>'Interest Rates'!W10</f>
        <v>2.2400000000000002</v>
      </c>
      <c r="U19">
        <f>'Interest Rates'!X10</f>
        <v>2.39</v>
      </c>
      <c r="V19">
        <f>'Interest Rates'!Y10</f>
        <v>2.44</v>
      </c>
      <c r="W19">
        <f>'Interest Rates'!Z10</f>
        <v>2.19</v>
      </c>
      <c r="X19">
        <f>'Interest Rates'!AA10</f>
        <v>2.39</v>
      </c>
      <c r="Y19">
        <f>'Interest Rates'!AB10</f>
        <v>2.7</v>
      </c>
      <c r="Z19">
        <f>'Interest Rates'!AC10</f>
        <v>2.75</v>
      </c>
      <c r="AA19">
        <f>'Interest Rates'!AD10</f>
        <v>2.79</v>
      </c>
      <c r="AB19" s="32">
        <f>'Interest Rates'!B21</f>
        <v>2.5099999999999998</v>
      </c>
      <c r="AC19" s="32">
        <f>'Interest Rates'!C21</f>
        <v>2.96</v>
      </c>
      <c r="AD19" s="32">
        <f>'Interest Rates'!D21</f>
        <v>3.59</v>
      </c>
      <c r="AE19" s="32">
        <f>'Interest Rates'!E21</f>
        <v>3.21</v>
      </c>
      <c r="AF19" s="32">
        <f>'Interest Rates'!F21</f>
        <v>3.86</v>
      </c>
      <c r="AG19" s="32">
        <f>'Interest Rates'!G21</f>
        <v>4.6900000000000004</v>
      </c>
      <c r="AH19" s="32">
        <f>'Interest Rates'!H21</f>
        <v>3.84</v>
      </c>
      <c r="AI19" s="32">
        <f>'Interest Rates'!I21</f>
        <v>4.0599999999999996</v>
      </c>
      <c r="AJ19" s="32">
        <f>'Interest Rates'!J21</f>
        <v>3.86</v>
      </c>
      <c r="AK19" s="32">
        <f>'Interest Rates'!K21</f>
        <v>4.13</v>
      </c>
      <c r="AL19" s="32">
        <f>'Interest Rates'!L21</f>
        <v>4.18</v>
      </c>
      <c r="AM19" s="32">
        <f>'Interest Rates'!M21</f>
        <v>4.62</v>
      </c>
      <c r="AN19" s="32">
        <f>'Interest Rates'!N21</f>
        <v>4.84</v>
      </c>
      <c r="AO19" s="32">
        <f>'Interest Rates'!O21</f>
        <v>5.7</v>
      </c>
      <c r="AP19" s="32">
        <f>'Interest Rates'!P21</f>
        <v>6.03</v>
      </c>
      <c r="AQ19" s="32">
        <f>'Interest Rates'!Q21</f>
        <v>7.65</v>
      </c>
      <c r="AR19" s="32">
        <f>'Interest Rates'!R21</f>
        <v>6.39</v>
      </c>
      <c r="AS19" s="32">
        <f>'Interest Rates'!S21</f>
        <v>5.93</v>
      </c>
      <c r="AT19" s="32">
        <f>'Interest Rates'!T21</f>
        <v>6.36</v>
      </c>
      <c r="AU19" s="32">
        <f>'Interest Rates'!U21</f>
        <v>6.74</v>
      </c>
      <c r="AV19" s="32">
        <f>'Interest Rates'!V21</f>
        <v>7.43</v>
      </c>
      <c r="AW19" s="32">
        <f>'Interest Rates'!W21</f>
        <v>8</v>
      </c>
      <c r="AX19" s="32">
        <f>'Interest Rates'!X21</f>
        <v>6.87</v>
      </c>
      <c r="AY19" s="32">
        <f>'Interest Rates'!Y21</f>
        <v>7.69</v>
      </c>
      <c r="AZ19" s="32">
        <f>'Interest Rates'!Z21</f>
        <v>9.01</v>
      </c>
      <c r="BA19" s="32">
        <f>'Interest Rates'!AA21</f>
        <v>10.39</v>
      </c>
      <c r="BB19" s="32">
        <f>'Interest Rates'!AB21</f>
        <v>12.84</v>
      </c>
      <c r="BC19" s="32">
        <f>'Interest Rates'!AC21</f>
        <v>13.72</v>
      </c>
      <c r="BD19" s="32">
        <f>'Interest Rates'!AD21</f>
        <v>10.54</v>
      </c>
      <c r="BE19" s="32">
        <f>'Interest Rates'!AE21</f>
        <v>11.83</v>
      </c>
      <c r="BF19" s="32">
        <f>'Interest Rates'!AF21</f>
        <v>11.5</v>
      </c>
      <c r="BG19" s="32">
        <f>'Interest Rates'!AG21</f>
        <v>9.26</v>
      </c>
      <c r="BH19" s="32">
        <f>'Interest Rates'!AH21</f>
        <v>7.11</v>
      </c>
      <c r="BI19" s="32">
        <f>'Interest Rates'!AI21</f>
        <v>8.99</v>
      </c>
      <c r="BJ19" s="32">
        <f>'Interest Rates'!AJ21</f>
        <v>9.11</v>
      </c>
      <c r="BK19" s="32">
        <f>'Interest Rates'!AK21</f>
        <v>7.84</v>
      </c>
      <c r="BL19" s="32">
        <f>'Interest Rates'!AL21</f>
        <v>8.08</v>
      </c>
      <c r="BM19" s="32">
        <f>'Interest Rates'!AM21</f>
        <v>7.09</v>
      </c>
      <c r="BN19" s="32">
        <f>'Interest Rates'!AN21</f>
        <v>6.77</v>
      </c>
      <c r="BO19" s="32">
        <f>'Interest Rates'!AO21</f>
        <v>5.77</v>
      </c>
      <c r="BP19" s="32">
        <f>'Interest Rates'!AP21</f>
        <v>7.81</v>
      </c>
      <c r="BQ19" s="32">
        <f>'Interest Rates'!AQ21</f>
        <v>5.71</v>
      </c>
      <c r="BR19" s="32">
        <f>'Interest Rates'!AR21</f>
        <v>6.3</v>
      </c>
      <c r="BS19" s="32">
        <f>'Interest Rates'!AS21</f>
        <v>5.81</v>
      </c>
      <c r="BT19" s="32">
        <f>'Interest Rates'!AT21</f>
        <v>4.6500000000000004</v>
      </c>
      <c r="BU19" s="32">
        <f>'Interest Rates'!AU21</f>
        <v>6.28</v>
      </c>
      <c r="BV19" s="32">
        <f>'Interest Rates'!AV21</f>
        <v>5.24</v>
      </c>
      <c r="BW19" s="32">
        <f>'Interest Rates'!AW21</f>
        <v>5.09</v>
      </c>
      <c r="BX19" s="32">
        <f>'Interest Rates'!AX21</f>
        <v>4.03</v>
      </c>
      <c r="BY19" s="32">
        <f>'Interest Rates'!AY21</f>
        <v>4.2699999999999996</v>
      </c>
      <c r="BZ19" s="32">
        <f>'Interest Rates'!AZ21</f>
        <v>4.2300000000000004</v>
      </c>
      <c r="CA19" s="32">
        <f>'Interest Rates'!BA21</f>
        <v>4.47</v>
      </c>
      <c r="CB19" s="32">
        <f>'Interest Rates'!BB21</f>
        <v>4.5599999999999996</v>
      </c>
      <c r="CC19" s="32">
        <f>'Interest Rates'!BC21</f>
        <v>4.0999999999999996</v>
      </c>
      <c r="CD19" s="32">
        <f>'Interest Rates'!BD21</f>
        <v>2.42</v>
      </c>
      <c r="CE19" s="32">
        <f>'Interest Rates'!BE21</f>
        <v>3.59</v>
      </c>
      <c r="CF19" s="32">
        <f>'Interest Rates'!BF21</f>
        <v>3.29</v>
      </c>
      <c r="CG19" s="32">
        <f>'Interest Rates'!BG21</f>
        <v>1.98</v>
      </c>
      <c r="CH19" s="32">
        <f>'Interest Rates'!BH21</f>
        <v>1.72</v>
      </c>
      <c r="CI19" s="32">
        <f>'Interest Rates'!BI21</f>
        <v>2.9</v>
      </c>
      <c r="CJ19" s="32">
        <f>'Interest Rates'!BJ21</f>
        <v>2.21</v>
      </c>
      <c r="CK19" s="32">
        <f>'Interest Rates'!BK21</f>
        <v>2.2400000000000002</v>
      </c>
      <c r="CL19" s="32">
        <f>'Interest Rates'!BL21</f>
        <v>2.4900000000000002</v>
      </c>
      <c r="CM19" s="32">
        <f>'Interest Rates'!BM21</f>
        <v>2.4</v>
      </c>
      <c r="CN19" s="32">
        <f>'Interest Rates'!BN21</f>
        <v>2.83</v>
      </c>
      <c r="CO19" s="32">
        <f>'Interest Rates'!BO21</f>
        <v>1.86</v>
      </c>
      <c r="CP19" s="32">
        <f>'Interest Rates'!BP21</f>
        <v>0.93</v>
      </c>
      <c r="CQ19" s="32">
        <f>'Interest Rates'!BQ21</f>
        <v>1.47</v>
      </c>
      <c r="CR19" s="32">
        <f>'Interest Rates'!BR21</f>
        <v>3.62</v>
      </c>
      <c r="CS19" s="32">
        <f>'Interest Rates'!BS21</f>
        <v>4.0199999999999996</v>
      </c>
      <c r="CT19" s="32">
        <f>'Interest Rates'!BT21</f>
        <v>4.3899999999999997</v>
      </c>
    </row>
    <row r="20" spans="1:98">
      <c r="A20" t="s">
        <v>1803</v>
      </c>
      <c r="B20" t="s">
        <v>1448</v>
      </c>
      <c r="C20" t="s">
        <v>1448</v>
      </c>
      <c r="D20" t="s">
        <v>1448</v>
      </c>
      <c r="E20" t="s">
        <v>1448</v>
      </c>
      <c r="F20" t="s">
        <v>1448</v>
      </c>
      <c r="G20" t="s">
        <v>1448</v>
      </c>
      <c r="H20" t="s">
        <v>1448</v>
      </c>
      <c r="I20" t="s">
        <v>1448</v>
      </c>
      <c r="J20" t="s">
        <v>1448</v>
      </c>
      <c r="K20" t="s">
        <v>1448</v>
      </c>
      <c r="L20" t="s">
        <v>1448</v>
      </c>
      <c r="M20" t="s">
        <v>1448</v>
      </c>
      <c r="N20" t="s">
        <v>1448</v>
      </c>
      <c r="O20" t="s">
        <v>1448</v>
      </c>
      <c r="P20" t="s">
        <v>1448</v>
      </c>
      <c r="Q20" t="s">
        <v>1448</v>
      </c>
      <c r="R20" t="s">
        <v>1448</v>
      </c>
      <c r="S20" t="s">
        <v>1448</v>
      </c>
      <c r="T20" t="s">
        <v>1448</v>
      </c>
      <c r="U20" t="s">
        <v>1448</v>
      </c>
      <c r="V20" t="s">
        <v>1448</v>
      </c>
      <c r="W20" t="s">
        <v>1448</v>
      </c>
      <c r="X20" t="s">
        <v>1448</v>
      </c>
      <c r="Y20" t="s">
        <v>1448</v>
      </c>
      <c r="Z20" t="s">
        <v>1448</v>
      </c>
      <c r="AA20" t="s">
        <v>1448</v>
      </c>
      <c r="AB20" t="s">
        <v>1448</v>
      </c>
      <c r="AC20" t="s">
        <v>1448</v>
      </c>
      <c r="AD20" t="s">
        <v>1448</v>
      </c>
      <c r="AE20" t="s">
        <v>1448</v>
      </c>
      <c r="AF20" t="s">
        <v>1448</v>
      </c>
      <c r="AG20" t="s">
        <v>1448</v>
      </c>
      <c r="AH20" t="s">
        <v>1448</v>
      </c>
      <c r="AI20" t="s">
        <v>1448</v>
      </c>
      <c r="AJ20" t="s">
        <v>1448</v>
      </c>
      <c r="AK20" t="s">
        <v>1448</v>
      </c>
      <c r="AL20" t="s">
        <v>1448</v>
      </c>
      <c r="AM20" t="s">
        <v>1448</v>
      </c>
      <c r="AN20" t="s">
        <v>1448</v>
      </c>
      <c r="AO20" t="s">
        <v>1448</v>
      </c>
      <c r="AP20" t="s">
        <v>1448</v>
      </c>
      <c r="AQ20" t="s">
        <v>1448</v>
      </c>
      <c r="AR20" t="s">
        <v>1448</v>
      </c>
      <c r="AS20" t="s">
        <v>1448</v>
      </c>
      <c r="AT20" t="s">
        <v>1448</v>
      </c>
      <c r="AU20" t="s">
        <v>1448</v>
      </c>
      <c r="AV20" t="s">
        <v>1448</v>
      </c>
      <c r="AW20" t="s">
        <v>1448</v>
      </c>
      <c r="AX20" t="s">
        <v>1448</v>
      </c>
      <c r="AY20" t="s">
        <v>1448</v>
      </c>
      <c r="AZ20" t="s">
        <v>1448</v>
      </c>
      <c r="BA20" t="s">
        <v>1448</v>
      </c>
      <c r="BB20" t="s">
        <v>1448</v>
      </c>
      <c r="BC20" t="s">
        <v>1448</v>
      </c>
      <c r="BD20">
        <f>'Interest Rates'!B46</f>
        <v>5.8817314200000004</v>
      </c>
      <c r="BE20">
        <f>'Interest Rates'!C46</f>
        <v>6.1484245399999997</v>
      </c>
      <c r="BF20">
        <f>'Interest Rates'!D46</f>
        <v>6.0756251099999998</v>
      </c>
      <c r="BG20">
        <f>'Interest Rates'!E46</f>
        <v>5.0807695199999996</v>
      </c>
      <c r="BH20">
        <f>'Interest Rates'!F46</f>
        <v>3.5437343600000002</v>
      </c>
      <c r="BI20">
        <f>'Interest Rates'!G46</f>
        <v>4.5792755100000004</v>
      </c>
      <c r="BJ20">
        <f>'Interest Rates'!H46</f>
        <v>4.6179387199999997</v>
      </c>
      <c r="BK20">
        <f>'Interest Rates'!I46</f>
        <v>4.0296658299999999</v>
      </c>
      <c r="BL20">
        <f>'Interest Rates'!J46</f>
        <v>3.8939206999999998</v>
      </c>
      <c r="BM20">
        <f>'Interest Rates'!K46</f>
        <v>3.4103334599999999</v>
      </c>
      <c r="BN20">
        <f>'Interest Rates'!L46</f>
        <v>3.5096854300000002</v>
      </c>
      <c r="BO20">
        <f>'Interest Rates'!M46</f>
        <v>2.7201164699999998</v>
      </c>
      <c r="BP20">
        <f>'Interest Rates'!N46</f>
        <v>4.1169530700000001</v>
      </c>
      <c r="BQ20">
        <f>'Interest Rates'!O46</f>
        <v>2.7221534599999999</v>
      </c>
      <c r="BR20">
        <f>'Interest Rates'!P46</f>
        <v>2.9509351100000001</v>
      </c>
      <c r="BS20">
        <f>'Interest Rates'!Q46</f>
        <v>2.9198510400000002</v>
      </c>
      <c r="BT20">
        <f>'Interest Rates'!R46</f>
        <v>2.2295798100000002</v>
      </c>
      <c r="BU20">
        <f>'Interest Rates'!S46</f>
        <v>3.1922035000000002</v>
      </c>
      <c r="BV20">
        <f>'Interest Rates'!T46</f>
        <v>2.6392104199999999</v>
      </c>
      <c r="BW20">
        <f>'Interest Rates'!U46</f>
        <v>2.0405763000000001</v>
      </c>
      <c r="BX20">
        <f>'Interest Rates'!V46</f>
        <v>1.69225366</v>
      </c>
      <c r="BY20">
        <f>'Interest Rates'!W46</f>
        <v>1.7135726600000001</v>
      </c>
      <c r="BZ20">
        <f>'Interest Rates'!X46</f>
        <v>1.9095366199999999</v>
      </c>
      <c r="CA20">
        <f>'Interest Rates'!Y46</f>
        <v>2.01834727</v>
      </c>
      <c r="CB20">
        <f>'Interest Rates'!Z46</f>
        <v>2.1221377800000001</v>
      </c>
      <c r="CC20">
        <f>'Interest Rates'!AA46</f>
        <v>1.3869688099999999</v>
      </c>
      <c r="CD20">
        <f>'Interest Rates'!AB46</f>
        <v>0.97537985000000005</v>
      </c>
      <c r="CE20">
        <f>'Interest Rates'!AC46</f>
        <v>0.84804056000000005</v>
      </c>
      <c r="CF20">
        <f>'Interest Rates'!AD46</f>
        <v>0.62620927000000004</v>
      </c>
      <c r="CG20">
        <f>'Interest Rates'!AE46</f>
        <v>0.14446830999999999</v>
      </c>
      <c r="CH20">
        <f>'Interest Rates'!AF46</f>
        <v>-0.17237744999999999</v>
      </c>
      <c r="CI20">
        <f>'Interest Rates'!AG46</f>
        <v>0.41829992999999999</v>
      </c>
      <c r="CJ20">
        <f>'Interest Rates'!AH46</f>
        <v>0.38472537000000001</v>
      </c>
      <c r="CK20">
        <f>'Interest Rates'!AI46</f>
        <v>0.64742222999999999</v>
      </c>
      <c r="CL20">
        <f>'Interest Rates'!AJ46</f>
        <v>0.70045658</v>
      </c>
      <c r="CM20">
        <f>'Interest Rates'!AK46</f>
        <v>0.57304922999999997</v>
      </c>
      <c r="CN20">
        <f>'Interest Rates'!AL46</f>
        <v>1.25496666</v>
      </c>
      <c r="CO20">
        <f>'Interest Rates'!AM46</f>
        <v>0.51426492999999995</v>
      </c>
      <c r="CP20">
        <f>'Interest Rates'!AN46</f>
        <v>-0.23232146000000001</v>
      </c>
      <c r="CQ20">
        <f>'Interest Rates'!AO46</f>
        <v>9.168917E-2</v>
      </c>
      <c r="CR20">
        <f>'Interest Rates'!AP46</f>
        <v>1.57612515</v>
      </c>
      <c r="CS20">
        <f>'Interest Rates'!AQ46</f>
        <v>1.6808990699999999</v>
      </c>
      <c r="CT20">
        <f>'Interest Rates'!AR46</f>
        <v>1.8243687900000001</v>
      </c>
    </row>
    <row r="21" spans="1:98">
      <c r="A21" t="s">
        <v>1801</v>
      </c>
      <c r="B21" t="s">
        <v>1448</v>
      </c>
      <c r="C21" t="s">
        <v>1448</v>
      </c>
      <c r="D21" t="s">
        <v>1448</v>
      </c>
      <c r="E21" t="s">
        <v>1448</v>
      </c>
      <c r="F21" t="s">
        <v>1448</v>
      </c>
      <c r="G21" t="s">
        <v>1448</v>
      </c>
      <c r="H21" t="s">
        <v>1448</v>
      </c>
      <c r="I21" t="s">
        <v>1448</v>
      </c>
      <c r="J21" t="s">
        <v>1448</v>
      </c>
      <c r="K21" t="s">
        <v>1448</v>
      </c>
      <c r="L21" t="s">
        <v>1448</v>
      </c>
      <c r="M21" t="s">
        <v>1448</v>
      </c>
      <c r="N21" t="s">
        <v>1448</v>
      </c>
      <c r="O21" t="s">
        <v>1448</v>
      </c>
      <c r="P21" t="s">
        <v>1448</v>
      </c>
      <c r="Q21" t="s">
        <v>1448</v>
      </c>
      <c r="R21" t="s">
        <v>1448</v>
      </c>
      <c r="S21" t="s">
        <v>1448</v>
      </c>
      <c r="T21" t="s">
        <v>1448</v>
      </c>
      <c r="U21" t="s">
        <v>1448</v>
      </c>
      <c r="V21" t="s">
        <v>1448</v>
      </c>
      <c r="W21" t="s">
        <v>1448</v>
      </c>
      <c r="X21" t="s">
        <v>1448</v>
      </c>
      <c r="Y21" t="s">
        <v>1448</v>
      </c>
      <c r="Z21" t="s">
        <v>1448</v>
      </c>
      <c r="AA21" t="s">
        <v>1448</v>
      </c>
      <c r="AB21" t="s">
        <v>1448</v>
      </c>
      <c r="AC21" t="s">
        <v>1448</v>
      </c>
      <c r="AD21" t="s">
        <v>1448</v>
      </c>
      <c r="AE21" t="s">
        <v>1448</v>
      </c>
      <c r="AF21" t="s">
        <v>1448</v>
      </c>
      <c r="AG21" t="s">
        <v>1448</v>
      </c>
      <c r="AH21" t="s">
        <v>1448</v>
      </c>
      <c r="AI21" t="s">
        <v>1448</v>
      </c>
      <c r="AJ21" t="s">
        <v>1448</v>
      </c>
      <c r="AK21" t="s">
        <v>1448</v>
      </c>
      <c r="AL21" t="s">
        <v>1448</v>
      </c>
      <c r="AM21" t="s">
        <v>1448</v>
      </c>
      <c r="AN21" t="s">
        <v>1448</v>
      </c>
      <c r="AO21" t="s">
        <v>1448</v>
      </c>
      <c r="AP21" t="s">
        <v>1448</v>
      </c>
      <c r="AQ21" t="s">
        <v>1448</v>
      </c>
      <c r="AR21" s="44">
        <f>'Inflation Forecasts'!B6</f>
        <v>3.5413999999999999</v>
      </c>
      <c r="AS21" s="44">
        <f>'Inflation Forecasts'!C6</f>
        <v>3.4194</v>
      </c>
      <c r="AT21" s="44">
        <f>'Inflation Forecasts'!D6</f>
        <v>3.6999</v>
      </c>
      <c r="AU21" s="44">
        <f>'Inflation Forecasts'!E6</f>
        <v>5.3651</v>
      </c>
      <c r="AV21" s="44">
        <f>'Inflation Forecasts'!F6</f>
        <v>7.6814</v>
      </c>
      <c r="AW21" s="44">
        <f>'Inflation Forecasts'!G6</f>
        <v>6.2087000000000003</v>
      </c>
      <c r="AX21" s="44">
        <f>'Inflation Forecasts'!H6</f>
        <v>5.7290000000000001</v>
      </c>
      <c r="AY21" s="44">
        <f>'Inflation Forecasts'!I6</f>
        <v>5.9557000000000002</v>
      </c>
      <c r="AZ21" s="44">
        <f>'Inflation Forecasts'!J6</f>
        <v>7.0926999999999998</v>
      </c>
      <c r="BA21" s="44">
        <f>'Inflation Forecasts'!K6</f>
        <v>8.1870999999999992</v>
      </c>
      <c r="BB21" s="44">
        <f>'Inflation Forecasts'!L6</f>
        <v>9.3725000000000005</v>
      </c>
      <c r="BC21" s="44">
        <f>'Inflation Forecasts'!M6</f>
        <v>7.5187999999999997</v>
      </c>
      <c r="BD21" s="44">
        <f>'Inflation Forecasts'!N6</f>
        <v>5.5898000000000003</v>
      </c>
      <c r="BE21" s="44">
        <f>'Inflation Forecasts'!O6</f>
        <v>5.5327000000000002</v>
      </c>
      <c r="BF21" s="44">
        <f>'Inflation Forecasts'!P6</f>
        <v>4.4131</v>
      </c>
      <c r="BG21" s="44">
        <f>'Inflation Forecasts'!Q6</f>
        <v>3.9744000000000002</v>
      </c>
      <c r="BH21" s="44">
        <f>'Inflation Forecasts'!R6</f>
        <v>3.1114999999999999</v>
      </c>
      <c r="BI21" s="44">
        <f>'Inflation Forecasts'!S6</f>
        <v>3.6194999999999999</v>
      </c>
      <c r="BJ21" s="44">
        <f>'Inflation Forecasts'!T6</f>
        <v>4.3689</v>
      </c>
      <c r="BK21" s="44">
        <f>'Inflation Forecasts'!U6</f>
        <v>3.9843999999999999</v>
      </c>
      <c r="BL21" s="44">
        <f>'Inflation Forecasts'!V6</f>
        <v>4.2648999999999999</v>
      </c>
      <c r="BM21" s="44">
        <f>'Inflation Forecasts'!W6</f>
        <v>3.1930000000000001</v>
      </c>
      <c r="BN21" s="44">
        <f>'Inflation Forecasts'!X6</f>
        <v>2.7065999999999999</v>
      </c>
      <c r="BO21" s="44">
        <f>'Inflation Forecasts'!Y6</f>
        <v>2.8332000000000002</v>
      </c>
      <c r="BP21" s="44">
        <f>'Inflation Forecasts'!Z6</f>
        <v>3.1029</v>
      </c>
      <c r="BQ21" s="44">
        <f>'Inflation Forecasts'!AA6</f>
        <v>2.3504999999999998</v>
      </c>
      <c r="BR21" s="44" t="s">
        <v>1448</v>
      </c>
      <c r="BS21" s="44" t="s">
        <v>1448</v>
      </c>
      <c r="BT21" s="44" t="s">
        <v>1448</v>
      </c>
      <c r="BU21" s="44" t="s">
        <v>1448</v>
      </c>
      <c r="BV21" s="44" t="s">
        <v>1448</v>
      </c>
      <c r="BW21" s="44" t="s">
        <v>1448</v>
      </c>
      <c r="BX21" s="44" t="s">
        <v>1448</v>
      </c>
      <c r="BY21" s="44" t="s">
        <v>1448</v>
      </c>
      <c r="BZ21" s="44" t="s">
        <v>1448</v>
      </c>
      <c r="CA21" s="44" t="s">
        <v>1448</v>
      </c>
      <c r="CB21" s="44" t="s">
        <v>1448</v>
      </c>
      <c r="CC21" s="44" t="s">
        <v>1448</v>
      </c>
      <c r="CD21" s="44" t="s">
        <v>1448</v>
      </c>
      <c r="CE21" s="44" t="s">
        <v>1448</v>
      </c>
      <c r="CF21" s="44" t="s">
        <v>1448</v>
      </c>
      <c r="CG21" s="44" t="s">
        <v>1448</v>
      </c>
      <c r="CH21" s="44" t="s">
        <v>1448</v>
      </c>
      <c r="CI21" s="44" t="s">
        <v>1448</v>
      </c>
      <c r="CJ21" s="44" t="s">
        <v>1448</v>
      </c>
      <c r="CK21" s="44" t="s">
        <v>1448</v>
      </c>
      <c r="CL21" s="44" t="s">
        <v>1448</v>
      </c>
      <c r="CM21" s="44" t="s">
        <v>1448</v>
      </c>
      <c r="CN21" s="44" t="s">
        <v>1448</v>
      </c>
      <c r="CO21" s="44" t="s">
        <v>1448</v>
      </c>
      <c r="CP21" s="44" t="s">
        <v>1448</v>
      </c>
      <c r="CQ21" s="44" t="s">
        <v>1448</v>
      </c>
      <c r="CR21" s="44" t="s">
        <v>1448</v>
      </c>
      <c r="CS21" s="44" t="s">
        <v>1448</v>
      </c>
      <c r="CT21" s="44" t="s">
        <v>1448</v>
      </c>
    </row>
    <row r="22" spans="1:98">
      <c r="A22" t="s">
        <v>1802</v>
      </c>
      <c r="B22" t="s">
        <v>1448</v>
      </c>
      <c r="C22" t="s">
        <v>1448</v>
      </c>
      <c r="D22" t="s">
        <v>1448</v>
      </c>
      <c r="E22" t="s">
        <v>1448</v>
      </c>
      <c r="F22" t="s">
        <v>1448</v>
      </c>
      <c r="G22" t="s">
        <v>1448</v>
      </c>
      <c r="H22" t="s">
        <v>1448</v>
      </c>
      <c r="I22" t="s">
        <v>1448</v>
      </c>
      <c r="J22" t="s">
        <v>1448</v>
      </c>
      <c r="K22" t="s">
        <v>1448</v>
      </c>
      <c r="L22" t="s">
        <v>1448</v>
      </c>
      <c r="M22" t="s">
        <v>1448</v>
      </c>
      <c r="N22" t="s">
        <v>1448</v>
      </c>
      <c r="O22" t="s">
        <v>1448</v>
      </c>
      <c r="P22" t="s">
        <v>1448</v>
      </c>
      <c r="Q22" t="s">
        <v>1448</v>
      </c>
      <c r="R22" t="s">
        <v>1448</v>
      </c>
      <c r="S22" t="s">
        <v>1448</v>
      </c>
      <c r="T22" t="s">
        <v>1448</v>
      </c>
      <c r="U22" t="s">
        <v>1448</v>
      </c>
      <c r="V22" t="s">
        <v>1448</v>
      </c>
      <c r="W22" t="s">
        <v>1448</v>
      </c>
      <c r="X22" t="s">
        <v>1448</v>
      </c>
      <c r="Y22" t="s">
        <v>1448</v>
      </c>
      <c r="Z22" t="s">
        <v>1448</v>
      </c>
      <c r="AA22" t="s">
        <v>1448</v>
      </c>
      <c r="AB22" t="s">
        <v>1448</v>
      </c>
      <c r="AC22" t="s">
        <v>1448</v>
      </c>
      <c r="AD22" t="s">
        <v>1448</v>
      </c>
      <c r="AE22" t="s">
        <v>1448</v>
      </c>
      <c r="AF22" t="s">
        <v>1448</v>
      </c>
      <c r="AG22" t="s">
        <v>1448</v>
      </c>
      <c r="AH22" t="s">
        <v>1448</v>
      </c>
      <c r="AI22" t="s">
        <v>1448</v>
      </c>
      <c r="AJ22" t="s">
        <v>1448</v>
      </c>
      <c r="AK22" t="s">
        <v>1448</v>
      </c>
      <c r="AL22" t="s">
        <v>1448</v>
      </c>
      <c r="AM22" t="s">
        <v>1448</v>
      </c>
      <c r="AN22" t="s">
        <v>1448</v>
      </c>
      <c r="AO22" t="s">
        <v>1448</v>
      </c>
      <c r="AP22" t="s">
        <v>1448</v>
      </c>
      <c r="AQ22" t="s">
        <v>1448</v>
      </c>
      <c r="AR22" t="s">
        <v>1448</v>
      </c>
      <c r="AS22" t="s">
        <v>1448</v>
      </c>
      <c r="AT22" t="s">
        <v>1448</v>
      </c>
      <c r="AU22" t="s">
        <v>1448</v>
      </c>
      <c r="AV22" t="s">
        <v>1448</v>
      </c>
      <c r="AW22" t="s">
        <v>1448</v>
      </c>
      <c r="AX22" t="s">
        <v>1448</v>
      </c>
      <c r="AY22" t="s">
        <v>1448</v>
      </c>
      <c r="AZ22" t="s">
        <v>1448</v>
      </c>
      <c r="BA22" s="44">
        <f>'Inflation Forecasts'!K7</f>
        <v>6.9</v>
      </c>
      <c r="BB22" s="44">
        <f>'Inflation Forecasts'!L7</f>
        <v>8.25</v>
      </c>
      <c r="BC22" s="44">
        <f>'Inflation Forecasts'!M7</f>
        <v>7.05</v>
      </c>
      <c r="BD22" s="44">
        <f>'Inflation Forecasts'!N7</f>
        <v>5.65</v>
      </c>
      <c r="BE22" s="44">
        <f>'Inflation Forecasts'!O7</f>
        <v>5.2</v>
      </c>
      <c r="BF22" s="44">
        <f>'Inflation Forecasts'!P7</f>
        <v>5.2</v>
      </c>
      <c r="BG22" s="44">
        <f>'Inflation Forecasts'!Q7</f>
        <v>4.55</v>
      </c>
      <c r="BH22" s="44">
        <f>'Inflation Forecasts'!R7</f>
        <v>4</v>
      </c>
      <c r="BI22" s="44">
        <f>'Inflation Forecasts'!S7</f>
        <v>4.5</v>
      </c>
      <c r="BJ22" s="44">
        <f>'Inflation Forecasts'!T7</f>
        <v>4.3499999999999996</v>
      </c>
      <c r="BK22" s="44">
        <f>'Inflation Forecasts'!U7</f>
        <v>4.2</v>
      </c>
      <c r="BL22" s="44">
        <f>'Inflation Forecasts'!V7</f>
        <v>4.1500000000000004</v>
      </c>
      <c r="BM22" s="44">
        <f>'Inflation Forecasts'!W7</f>
        <v>4</v>
      </c>
      <c r="BN22" s="44">
        <f>'Inflation Forecasts'!X7</f>
        <v>3.6</v>
      </c>
      <c r="BO22" s="44">
        <f>'Inflation Forecasts'!Y7</f>
        <v>3.45</v>
      </c>
      <c r="BP22" s="44">
        <f>'Inflation Forecasts'!Z7</f>
        <v>3.5</v>
      </c>
      <c r="BQ22" s="44">
        <f>'Inflation Forecasts'!AA7</f>
        <v>3</v>
      </c>
      <c r="BR22" t="s">
        <v>1448</v>
      </c>
      <c r="BS22" t="s">
        <v>1448</v>
      </c>
      <c r="BT22" t="s">
        <v>1448</v>
      </c>
      <c r="BU22" t="s">
        <v>1448</v>
      </c>
      <c r="BV22" t="s">
        <v>1448</v>
      </c>
      <c r="BW22" t="s">
        <v>1448</v>
      </c>
      <c r="BX22" t="s">
        <v>1448</v>
      </c>
      <c r="BY22" t="s">
        <v>1448</v>
      </c>
      <c r="BZ22" t="s">
        <v>1448</v>
      </c>
      <c r="CA22" t="s">
        <v>1448</v>
      </c>
      <c r="CB22" t="s">
        <v>1448</v>
      </c>
      <c r="CC22" t="s">
        <v>1448</v>
      </c>
      <c r="CD22" t="s">
        <v>1448</v>
      </c>
      <c r="CE22" t="s">
        <v>1448</v>
      </c>
      <c r="CF22" t="s">
        <v>1448</v>
      </c>
      <c r="CG22" t="s">
        <v>1448</v>
      </c>
      <c r="CH22" t="s">
        <v>1448</v>
      </c>
      <c r="CI22" t="s">
        <v>1448</v>
      </c>
      <c r="CJ22" t="s">
        <v>1448</v>
      </c>
      <c r="CK22" t="s">
        <v>1448</v>
      </c>
      <c r="CL22" t="s">
        <v>1448</v>
      </c>
      <c r="CM22" t="s">
        <v>1448</v>
      </c>
      <c r="CN22" t="s">
        <v>1448</v>
      </c>
      <c r="CO22" t="s">
        <v>1448</v>
      </c>
      <c r="CP22" t="s">
        <v>1448</v>
      </c>
      <c r="CQ22" t="s">
        <v>1448</v>
      </c>
      <c r="CR22" t="s">
        <v>1448</v>
      </c>
      <c r="CS22" t="s">
        <v>1448</v>
      </c>
      <c r="CT22" t="s">
        <v>1448</v>
      </c>
    </row>
    <row r="23" spans="1:98">
      <c r="A23" t="s">
        <v>1804</v>
      </c>
      <c r="B23" t="s">
        <v>1448</v>
      </c>
      <c r="C23" t="s">
        <v>1448</v>
      </c>
      <c r="D23" t="s">
        <v>1448</v>
      </c>
      <c r="E23" t="s">
        <v>1448</v>
      </c>
      <c r="F23" t="s">
        <v>1448</v>
      </c>
      <c r="G23" t="s">
        <v>1448</v>
      </c>
      <c r="H23" t="s">
        <v>1448</v>
      </c>
      <c r="I23" t="s">
        <v>1448</v>
      </c>
      <c r="J23" t="s">
        <v>1448</v>
      </c>
      <c r="K23" t="s">
        <v>1448</v>
      </c>
      <c r="L23" t="s">
        <v>1448</v>
      </c>
      <c r="M23" t="s">
        <v>1448</v>
      </c>
      <c r="N23" t="s">
        <v>1448</v>
      </c>
      <c r="O23" t="s">
        <v>1448</v>
      </c>
      <c r="P23" t="s">
        <v>1448</v>
      </c>
      <c r="Q23" t="s">
        <v>1448</v>
      </c>
      <c r="R23" t="s">
        <v>1448</v>
      </c>
      <c r="S23" t="s">
        <v>1448</v>
      </c>
      <c r="T23" t="s">
        <v>1448</v>
      </c>
      <c r="U23" t="s">
        <v>1448</v>
      </c>
      <c r="V23" t="s">
        <v>1448</v>
      </c>
      <c r="W23" t="s">
        <v>1448</v>
      </c>
      <c r="X23" t="s">
        <v>1448</v>
      </c>
      <c r="Y23" t="s">
        <v>1448</v>
      </c>
      <c r="Z23" t="s">
        <v>1448</v>
      </c>
      <c r="AA23" t="s">
        <v>1448</v>
      </c>
      <c r="AB23" t="s">
        <v>1448</v>
      </c>
      <c r="AC23" t="s">
        <v>1448</v>
      </c>
      <c r="AD23" t="s">
        <v>1448</v>
      </c>
      <c r="AE23" t="s">
        <v>1448</v>
      </c>
      <c r="AF23" t="s">
        <v>1448</v>
      </c>
      <c r="AG23" t="s">
        <v>1448</v>
      </c>
      <c r="AH23" t="s">
        <v>1448</v>
      </c>
      <c r="AI23" t="s">
        <v>1448</v>
      </c>
      <c r="AJ23" t="s">
        <v>1448</v>
      </c>
      <c r="AK23" t="s">
        <v>1448</v>
      </c>
      <c r="AL23" t="s">
        <v>1448</v>
      </c>
      <c r="AM23" t="s">
        <v>1448</v>
      </c>
      <c r="AN23" t="s">
        <v>1448</v>
      </c>
      <c r="AO23" t="s">
        <v>1448</v>
      </c>
      <c r="AP23" t="s">
        <v>1448</v>
      </c>
      <c r="AQ23" t="s">
        <v>1448</v>
      </c>
      <c r="AR23" s="32">
        <f>AR19-AR21</f>
        <v>2.8485999999999998</v>
      </c>
      <c r="AS23" s="32">
        <f t="shared" ref="AS23:AZ23" si="2">AS19-AS21</f>
        <v>2.5105999999999997</v>
      </c>
      <c r="AT23" s="32">
        <f t="shared" si="2"/>
        <v>2.6601000000000004</v>
      </c>
      <c r="AU23" s="32">
        <f t="shared" si="2"/>
        <v>1.3749000000000002</v>
      </c>
      <c r="AV23" s="32">
        <f t="shared" si="2"/>
        <v>-0.25140000000000029</v>
      </c>
      <c r="AW23" s="32">
        <f t="shared" si="2"/>
        <v>1.7912999999999997</v>
      </c>
      <c r="AX23" s="32">
        <f t="shared" si="2"/>
        <v>1.141</v>
      </c>
      <c r="AY23" s="32">
        <f t="shared" si="2"/>
        <v>1.7343000000000002</v>
      </c>
      <c r="AZ23" s="32">
        <f t="shared" si="2"/>
        <v>1.9173</v>
      </c>
      <c r="BA23" s="32">
        <f>BA19-BA22</f>
        <v>3.49</v>
      </c>
      <c r="BB23" s="32">
        <f t="shared" ref="BB23:BQ23" si="3">BB19-BB22</f>
        <v>4.59</v>
      </c>
      <c r="BC23" s="32">
        <f t="shared" si="3"/>
        <v>6.6700000000000008</v>
      </c>
      <c r="BD23" s="32">
        <f t="shared" si="3"/>
        <v>4.8899999999999988</v>
      </c>
      <c r="BE23" s="32">
        <f t="shared" si="3"/>
        <v>6.63</v>
      </c>
      <c r="BF23" s="32">
        <f t="shared" si="3"/>
        <v>6.3</v>
      </c>
      <c r="BG23" s="32">
        <f t="shared" si="3"/>
        <v>4.71</v>
      </c>
      <c r="BH23" s="32">
        <f t="shared" si="3"/>
        <v>3.1100000000000003</v>
      </c>
      <c r="BI23" s="32">
        <f t="shared" si="3"/>
        <v>4.49</v>
      </c>
      <c r="BJ23" s="32">
        <f t="shared" si="3"/>
        <v>4.76</v>
      </c>
      <c r="BK23" s="32">
        <f t="shared" si="3"/>
        <v>3.6399999999999997</v>
      </c>
      <c r="BL23" s="32">
        <f t="shared" si="3"/>
        <v>3.9299999999999997</v>
      </c>
      <c r="BM23" s="32">
        <f t="shared" si="3"/>
        <v>3.09</v>
      </c>
      <c r="BN23" s="32">
        <f t="shared" si="3"/>
        <v>3.1699999999999995</v>
      </c>
      <c r="BO23" s="32">
        <f t="shared" si="3"/>
        <v>2.3199999999999994</v>
      </c>
      <c r="BP23" s="32">
        <f t="shared" si="3"/>
        <v>4.3099999999999996</v>
      </c>
      <c r="BQ23" s="32">
        <f t="shared" si="3"/>
        <v>2.71</v>
      </c>
      <c r="BR23" t="s">
        <v>1448</v>
      </c>
      <c r="BS23" t="s">
        <v>1448</v>
      </c>
      <c r="BT23" t="s">
        <v>1448</v>
      </c>
      <c r="BU23" t="s">
        <v>1448</v>
      </c>
      <c r="BV23" t="s">
        <v>1448</v>
      </c>
      <c r="BW23" t="s">
        <v>1448</v>
      </c>
      <c r="BX23" t="s">
        <v>1448</v>
      </c>
      <c r="BY23" t="s">
        <v>1448</v>
      </c>
      <c r="BZ23" t="s">
        <v>1448</v>
      </c>
      <c r="CA23" t="s">
        <v>1448</v>
      </c>
      <c r="CB23" t="s">
        <v>1448</v>
      </c>
      <c r="CC23" t="s">
        <v>1448</v>
      </c>
      <c r="CD23" t="s">
        <v>1448</v>
      </c>
      <c r="CE23" t="s">
        <v>1448</v>
      </c>
      <c r="CF23" t="s">
        <v>1448</v>
      </c>
      <c r="CG23" t="s">
        <v>1448</v>
      </c>
      <c r="CH23" t="s">
        <v>1448</v>
      </c>
      <c r="CI23" t="s">
        <v>1448</v>
      </c>
      <c r="CJ23" t="s">
        <v>1448</v>
      </c>
      <c r="CK23" t="s">
        <v>1448</v>
      </c>
      <c r="CL23" t="s">
        <v>1448</v>
      </c>
      <c r="CM23" t="s">
        <v>1448</v>
      </c>
      <c r="CN23" t="s">
        <v>1448</v>
      </c>
      <c r="CO23" t="s">
        <v>1448</v>
      </c>
      <c r="CP23" t="s">
        <v>1448</v>
      </c>
      <c r="CQ23" t="s">
        <v>1448</v>
      </c>
      <c r="CR23" t="s">
        <v>1448</v>
      </c>
      <c r="CS23" t="s">
        <v>1448</v>
      </c>
      <c r="CT23" t="s">
        <v>1448</v>
      </c>
    </row>
    <row r="24" spans="1:98">
      <c r="A24" t="s">
        <v>1813</v>
      </c>
      <c r="B24" t="s">
        <v>1448</v>
      </c>
      <c r="C24" t="s">
        <v>1448</v>
      </c>
      <c r="D24" t="s">
        <v>1448</v>
      </c>
      <c r="E24" t="s">
        <v>1448</v>
      </c>
      <c r="F24" t="s">
        <v>1448</v>
      </c>
      <c r="G24" t="s">
        <v>1448</v>
      </c>
      <c r="H24" t="s">
        <v>1448</v>
      </c>
      <c r="I24" t="s">
        <v>1448</v>
      </c>
      <c r="J24" t="s">
        <v>1448</v>
      </c>
      <c r="K24" t="s">
        <v>1448</v>
      </c>
      <c r="L24" t="s">
        <v>1448</v>
      </c>
      <c r="M24" t="s">
        <v>1448</v>
      </c>
      <c r="N24" t="s">
        <v>1448</v>
      </c>
      <c r="O24" t="s">
        <v>1448</v>
      </c>
      <c r="P24" t="s">
        <v>1448</v>
      </c>
      <c r="Q24" t="s">
        <v>1448</v>
      </c>
      <c r="R24" t="s">
        <v>1448</v>
      </c>
      <c r="S24" t="s">
        <v>1448</v>
      </c>
      <c r="T24" t="s">
        <v>1448</v>
      </c>
      <c r="U24" t="s">
        <v>1448</v>
      </c>
      <c r="V24" t="s">
        <v>1448</v>
      </c>
      <c r="W24" t="s">
        <v>1448</v>
      </c>
      <c r="X24" t="s">
        <v>1448</v>
      </c>
      <c r="Y24" t="s">
        <v>1448</v>
      </c>
      <c r="Z24" t="s">
        <v>1448</v>
      </c>
      <c r="AA24" t="s">
        <v>1448</v>
      </c>
      <c r="AB24" t="s">
        <v>1448</v>
      </c>
      <c r="AC24" t="s">
        <v>1448</v>
      </c>
      <c r="AD24" t="s">
        <v>1448</v>
      </c>
      <c r="AE24" t="s">
        <v>1448</v>
      </c>
      <c r="AF24" t="s">
        <v>1448</v>
      </c>
      <c r="AG24" t="s">
        <v>1448</v>
      </c>
      <c r="AH24" t="s">
        <v>1448</v>
      </c>
      <c r="AI24">
        <f>'rstar estimates'!B17</f>
        <v>4.32291161789699</v>
      </c>
      <c r="AJ24">
        <f>'rstar estimates'!C17</f>
        <v>4.2908936020431403</v>
      </c>
      <c r="AK24">
        <f>'rstar estimates'!D17</f>
        <v>4.3107039760586598</v>
      </c>
      <c r="AL24">
        <f>'rstar estimates'!E17</f>
        <v>4.3132789768356901</v>
      </c>
      <c r="AM24">
        <f>'rstar estimates'!F17</f>
        <v>4.2307805371525999</v>
      </c>
      <c r="AN24">
        <f>'rstar estimates'!G17</f>
        <v>4.0618104190517297</v>
      </c>
      <c r="AO24">
        <f>'rstar estimates'!H17</f>
        <v>3.9081264144554999</v>
      </c>
      <c r="AP24">
        <f>'rstar estimates'!I17</f>
        <v>3.68767838803041</v>
      </c>
      <c r="AQ24">
        <f>'rstar estimates'!J17</f>
        <v>3.4753402204735502</v>
      </c>
      <c r="AR24">
        <f>'rstar estimates'!K17</f>
        <v>3.3581848012512698</v>
      </c>
      <c r="AS24">
        <f>'rstar estimates'!L17</f>
        <v>3.26141648140523</v>
      </c>
      <c r="AT24">
        <f>'rstar estimates'!M17</f>
        <v>3.13014221285647</v>
      </c>
      <c r="AU24">
        <f>'rstar estimates'!N17</f>
        <v>2.9286591064243499</v>
      </c>
      <c r="AV24">
        <f>'rstar estimates'!O17</f>
        <v>2.84253360371113</v>
      </c>
      <c r="AW24">
        <f>'rstar estimates'!P17</f>
        <v>2.8847741258392099</v>
      </c>
      <c r="AX24">
        <f>'rstar estimates'!Q17</f>
        <v>2.9191720500017202</v>
      </c>
      <c r="AY24">
        <f>'rstar estimates'!R17</f>
        <v>2.96244175332146</v>
      </c>
      <c r="AZ24">
        <f>'rstar estimates'!S17</f>
        <v>2.9386115478106198</v>
      </c>
      <c r="BA24">
        <f>'rstar estimates'!T17</f>
        <v>2.9040045129338701</v>
      </c>
      <c r="BB24">
        <f>'rstar estimates'!U17</f>
        <v>2.9262727627796701</v>
      </c>
      <c r="BC24">
        <f>'rstar estimates'!V17</f>
        <v>2.8884076079146599</v>
      </c>
      <c r="BD24">
        <f>'rstar estimates'!W17</f>
        <v>2.9572896749835902</v>
      </c>
      <c r="BE24">
        <f>'rstar estimates'!X17</f>
        <v>2.97297050196241</v>
      </c>
      <c r="BF24">
        <f>'rstar estimates'!Y17</f>
        <v>2.9121425609429799</v>
      </c>
      <c r="BG24">
        <f>'rstar estimates'!Z17</f>
        <v>2.8287340269047498</v>
      </c>
      <c r="BH24">
        <f>'rstar estimates'!AA17</f>
        <v>2.75199060079267</v>
      </c>
      <c r="BI24">
        <f>'rstar estimates'!AB17</f>
        <v>2.67165128954802</v>
      </c>
      <c r="BJ24">
        <f>'rstar estimates'!AC17</f>
        <v>2.5625936421285802</v>
      </c>
      <c r="BK24">
        <f>'rstar estimates'!AD17</f>
        <v>2.4133136051144199</v>
      </c>
      <c r="BL24">
        <f>'rstar estimates'!AE17</f>
        <v>2.2754334131481602</v>
      </c>
      <c r="BM24">
        <f>'rstar estimates'!AF17</f>
        <v>2.2457641647139801</v>
      </c>
      <c r="BN24">
        <f>'rstar estimates'!AG17</f>
        <v>2.2357247457728802</v>
      </c>
      <c r="BO24">
        <f>'rstar estimates'!AH17</f>
        <v>2.3151296268875301</v>
      </c>
      <c r="BP24">
        <f>'rstar estimates'!AI17</f>
        <v>2.41196787363537</v>
      </c>
      <c r="BQ24">
        <f>'rstar estimates'!AJ17</f>
        <v>2.5397385015173701</v>
      </c>
      <c r="BR24">
        <f>'rstar estimates'!AK17</f>
        <v>2.6194009736088799</v>
      </c>
      <c r="BS24">
        <f>'rstar estimates'!AL17</f>
        <v>2.6364547813854999</v>
      </c>
      <c r="BT24">
        <f>'rstar estimates'!AM17</f>
        <v>2.5722024710290698</v>
      </c>
      <c r="BU24">
        <f>'rstar estimates'!AN17</f>
        <v>2.4069748024276501</v>
      </c>
      <c r="BV24">
        <f>'rstar estimates'!AO17</f>
        <v>2.1667728115467901</v>
      </c>
      <c r="BW24">
        <f>'rstar estimates'!AP17</f>
        <v>1.96243146492508</v>
      </c>
      <c r="BX24">
        <f>'rstar estimates'!AQ17</f>
        <v>1.8084106130231501</v>
      </c>
      <c r="BY24">
        <f>'rstar estimates'!AR17</f>
        <v>1.6853996946507901</v>
      </c>
      <c r="BZ24">
        <f>'rstar estimates'!AS17</f>
        <v>1.55553491571945</v>
      </c>
      <c r="CA24">
        <f>'rstar estimates'!AT17</f>
        <v>1.39486717338226</v>
      </c>
      <c r="CB24">
        <f>'rstar estimates'!AU17</f>
        <v>1.17674701728674</v>
      </c>
      <c r="CC24">
        <f>'rstar estimates'!AV17</f>
        <v>0.89673685914857604</v>
      </c>
      <c r="CD24">
        <f>'rstar estimates'!AW17</f>
        <v>0.67048634690709497</v>
      </c>
      <c r="CE24">
        <f>'rstar estimates'!AX17</f>
        <v>0.638230265782325</v>
      </c>
      <c r="CF24">
        <f>'rstar estimates'!AY17</f>
        <v>0.62722521886114002</v>
      </c>
      <c r="CG24">
        <f>'rstar estimates'!AZ17</f>
        <v>0.68225311692363599</v>
      </c>
      <c r="CH24">
        <f>'rstar estimates'!BA17</f>
        <v>0.763547010194085</v>
      </c>
      <c r="CI24">
        <f>'rstar estimates'!BB17</f>
        <v>0.866350591467135</v>
      </c>
      <c r="CJ24">
        <f>'rstar estimates'!BC17</f>
        <v>0.97176758048706802</v>
      </c>
      <c r="CK24">
        <f>'rstar estimates'!BD17</f>
        <v>1.0667388372025599</v>
      </c>
      <c r="CL24">
        <f>'rstar estimates'!BE17</f>
        <v>1.1812292558239501</v>
      </c>
      <c r="CM24">
        <f>'rstar estimates'!BF17</f>
        <v>1.2855277958779601</v>
      </c>
      <c r="CN24">
        <f>'rstar estimates'!BG17</f>
        <v>1.35963755418008</v>
      </c>
      <c r="CO24">
        <f>'rstar estimates'!BH17</f>
        <v>1.3952379917375799</v>
      </c>
      <c r="CP24">
        <f>'rstar estimates'!BI17</f>
        <v>1.4182864539962301</v>
      </c>
      <c r="CQ24">
        <f>'rstar estimates'!BJ17</f>
        <v>1.41600664379069</v>
      </c>
      <c r="CR24">
        <f>'rstar estimates'!BK17</f>
        <v>1.46291408417594</v>
      </c>
      <c r="CS24">
        <f>'rstar estimates'!BL17</f>
        <v>1.51132579737446</v>
      </c>
      <c r="CT24">
        <f>'rstar estimates'!BM17</f>
        <v>1.54453834414091</v>
      </c>
    </row>
    <row r="25" spans="1:98">
      <c r="A25" t="s">
        <v>1814</v>
      </c>
      <c r="B25" t="s">
        <v>1448</v>
      </c>
      <c r="C25" t="s">
        <v>1448</v>
      </c>
      <c r="D25" t="s">
        <v>1448</v>
      </c>
      <c r="E25" t="s">
        <v>1448</v>
      </c>
      <c r="F25" t="s">
        <v>1448</v>
      </c>
      <c r="G25" t="s">
        <v>1448</v>
      </c>
      <c r="H25" t="s">
        <v>1448</v>
      </c>
      <c r="I25" t="s">
        <v>1448</v>
      </c>
      <c r="J25" t="s">
        <v>1448</v>
      </c>
      <c r="K25" t="s">
        <v>1448</v>
      </c>
      <c r="L25" t="s">
        <v>1448</v>
      </c>
      <c r="M25" t="s">
        <v>1448</v>
      </c>
      <c r="N25" t="s">
        <v>1448</v>
      </c>
      <c r="O25" t="s">
        <v>1448</v>
      </c>
      <c r="P25" t="s">
        <v>1448</v>
      </c>
      <c r="Q25" t="s">
        <v>1448</v>
      </c>
      <c r="R25" t="s">
        <v>1448</v>
      </c>
      <c r="S25" t="s">
        <v>1448</v>
      </c>
      <c r="T25" t="s">
        <v>1448</v>
      </c>
      <c r="U25" t="s">
        <v>1448</v>
      </c>
      <c r="V25" t="s">
        <v>1448</v>
      </c>
      <c r="W25" t="s">
        <v>1448</v>
      </c>
      <c r="X25" t="s">
        <v>1448</v>
      </c>
      <c r="Y25" t="s">
        <v>1448</v>
      </c>
      <c r="Z25" t="s">
        <v>1448</v>
      </c>
      <c r="AA25" t="s">
        <v>1448</v>
      </c>
      <c r="AB25" t="s">
        <v>1448</v>
      </c>
      <c r="AC25" t="s">
        <v>1448</v>
      </c>
      <c r="AD25" t="s">
        <v>1448</v>
      </c>
      <c r="AE25" t="s">
        <v>1448</v>
      </c>
      <c r="AF25" t="s">
        <v>1448</v>
      </c>
      <c r="AG25" t="s">
        <v>1448</v>
      </c>
      <c r="AH25" t="s">
        <v>1448</v>
      </c>
      <c r="AI25">
        <f>'rstar estimates'!B21</f>
        <v>5.5022071811847599</v>
      </c>
      <c r="AJ25">
        <f>'rstar estimates'!C21</f>
        <v>4.2230009794701502</v>
      </c>
      <c r="AK25">
        <f>'rstar estimates'!D21</f>
        <v>4.2365271164291398</v>
      </c>
      <c r="AL25">
        <f>'rstar estimates'!E21</f>
        <v>4.30533773402124</v>
      </c>
      <c r="AM25">
        <f>'rstar estimates'!F21</f>
        <v>5.1099438996709701</v>
      </c>
      <c r="AN25">
        <f>'rstar estimates'!G21</f>
        <v>5.0467335310548398</v>
      </c>
      <c r="AO25">
        <f>'rstar estimates'!H21</f>
        <v>4.7519318262610604</v>
      </c>
      <c r="AP25">
        <f>'rstar estimates'!I21</f>
        <v>4.74829592708981</v>
      </c>
      <c r="AQ25">
        <f>'rstar estimates'!J21</f>
        <v>4.3699331716104801</v>
      </c>
      <c r="AR25">
        <f>'rstar estimates'!K21</f>
        <v>3.81737157256793</v>
      </c>
      <c r="AS25">
        <f>'rstar estimates'!L21</f>
        <v>3.6078742566412498</v>
      </c>
      <c r="AT25">
        <f>'rstar estimates'!M21</f>
        <v>3.9316280323741601</v>
      </c>
      <c r="AU25">
        <f>'rstar estimates'!N21</f>
        <v>4.1461464793143801</v>
      </c>
      <c r="AV25">
        <f>'rstar estimates'!O21</f>
        <v>3.8116968552363502</v>
      </c>
      <c r="AW25">
        <f>'rstar estimates'!P21</f>
        <v>3.3057888405406799</v>
      </c>
      <c r="AX25">
        <f>'rstar estimates'!Q21</f>
        <v>3.07471160359357</v>
      </c>
      <c r="AY25">
        <f>'rstar estimates'!R21</f>
        <v>3.13240793117664</v>
      </c>
      <c r="AZ25">
        <f>'rstar estimates'!S21</f>
        <v>3.7782543392912702</v>
      </c>
      <c r="BA25">
        <f>'rstar estimates'!T21</f>
        <v>3.6632742675588199</v>
      </c>
      <c r="BB25">
        <f>'rstar estimates'!U21</f>
        <v>3.72237350095459</v>
      </c>
      <c r="BC25">
        <f>'rstar estimates'!V21</f>
        <v>3.34829428326284</v>
      </c>
      <c r="BD25">
        <f>'rstar estimates'!W21</f>
        <v>2.7769848514747801</v>
      </c>
      <c r="BE25">
        <f>'rstar estimates'!X21</f>
        <v>3.2970259927132899</v>
      </c>
      <c r="BF25">
        <f>'rstar estimates'!Y21</f>
        <v>3.4856473068434402</v>
      </c>
      <c r="BG25">
        <f>'rstar estimates'!Z21</f>
        <v>3.6273216906105499</v>
      </c>
      <c r="BH25">
        <f>'rstar estimates'!AA21</f>
        <v>3.4328390804978501</v>
      </c>
      <c r="BI25">
        <f>'rstar estimates'!AB21</f>
        <v>3.6944104390391601</v>
      </c>
      <c r="BJ25">
        <f>'rstar estimates'!AC21</f>
        <v>3.7776529248892601</v>
      </c>
      <c r="BK25">
        <f>'rstar estimates'!AD21</f>
        <v>3.5584902690771298</v>
      </c>
      <c r="BL25">
        <f>'rstar estimates'!AE21</f>
        <v>3.1447309503546501</v>
      </c>
      <c r="BM25">
        <f>'rstar estimates'!AF21</f>
        <v>2.8222169784596698</v>
      </c>
      <c r="BN25">
        <f>'rstar estimates'!AG21</f>
        <v>2.8219566661452702</v>
      </c>
      <c r="BO25">
        <f>'rstar estimates'!AH21</f>
        <v>2.5257777076797101</v>
      </c>
      <c r="BP25">
        <f>'rstar estimates'!AI21</f>
        <v>2.6095143440747601</v>
      </c>
      <c r="BQ25">
        <f>'rstar estimates'!AJ21</f>
        <v>2.5946736758862801</v>
      </c>
      <c r="BR25">
        <f>'rstar estimates'!AK21</f>
        <v>2.9651007671032099</v>
      </c>
      <c r="BS25">
        <f>'rstar estimates'!AL21</f>
        <v>3.11614727498484</v>
      </c>
      <c r="BT25">
        <f>'rstar estimates'!AM21</f>
        <v>3.4947029270998402</v>
      </c>
      <c r="BU25">
        <f>'rstar estimates'!AN21</f>
        <v>3.7917418093125801</v>
      </c>
      <c r="BV25">
        <f>'rstar estimates'!AO21</f>
        <v>3.6892489966332298</v>
      </c>
      <c r="BW25">
        <f>'rstar estimates'!AP21</f>
        <v>3.1340069138151501</v>
      </c>
      <c r="BX25">
        <f>'rstar estimates'!AQ21</f>
        <v>2.69646778217923</v>
      </c>
      <c r="BY25">
        <f>'rstar estimates'!AR21</f>
        <v>2.7530883046397401</v>
      </c>
      <c r="BZ25">
        <f>'rstar estimates'!AS21</f>
        <v>2.6347896455126101</v>
      </c>
      <c r="CA25">
        <f>'rstar estimates'!AT21</f>
        <v>2.5820605994324901</v>
      </c>
      <c r="CB25">
        <f>'rstar estimates'!AU21</f>
        <v>2.5666281417629899</v>
      </c>
      <c r="CC25">
        <f>'rstar estimates'!AV21</f>
        <v>2.6183935056656802</v>
      </c>
      <c r="CD25">
        <f>'rstar estimates'!AW21</f>
        <v>1.1970493445544901</v>
      </c>
      <c r="CE25">
        <f>'rstar estimates'!AX21</f>
        <v>1.1973304506544</v>
      </c>
      <c r="CF25">
        <f>'rstar estimates'!AY21</f>
        <v>0.952169887031454</v>
      </c>
      <c r="CG25">
        <f>'rstar estimates'!AZ21</f>
        <v>0.92055876208385301</v>
      </c>
      <c r="CH25">
        <f>'rstar estimates'!BA21</f>
        <v>0.70938819612078696</v>
      </c>
      <c r="CI25">
        <f>'rstar estimates'!BB21</f>
        <v>0.89165355257824497</v>
      </c>
      <c r="CJ25">
        <f>'rstar estimates'!BC21</f>
        <v>0.89803734640293398</v>
      </c>
      <c r="CK25">
        <f>'rstar estimates'!BD21</f>
        <v>0.82859463650964005</v>
      </c>
      <c r="CL25">
        <f>'rstar estimates'!BE21</f>
        <v>0.94932449373309702</v>
      </c>
      <c r="CM25">
        <f>'rstar estimates'!BF21</f>
        <v>1.12170113207902</v>
      </c>
      <c r="CN25">
        <f>'rstar estimates'!BG21</f>
        <v>1.09717473891601</v>
      </c>
      <c r="CO25">
        <f>'rstar estimates'!BH21</f>
        <v>1.3004079443529499</v>
      </c>
      <c r="CP25">
        <f>'rstar estimates'!BI21</f>
        <v>1.3475134619937701</v>
      </c>
      <c r="CQ25">
        <f>'rstar estimates'!BJ21</f>
        <v>1.74939340203099</v>
      </c>
      <c r="CR25">
        <f>'rstar estimates'!BK21</f>
        <v>1.3115461506544299</v>
      </c>
      <c r="CS25">
        <f>'rstar estimates'!BL21</f>
        <v>1.0142215649550901</v>
      </c>
      <c r="CT25">
        <f>'rstar estimates'!BM21</f>
        <v>0.919732861518192</v>
      </c>
    </row>
    <row r="26" spans="1:98">
      <c r="A26" t="s">
        <v>1817</v>
      </c>
      <c r="B26" s="32">
        <f>'rstar estimates'!B29</f>
        <v>1.7683694851358362</v>
      </c>
      <c r="C26" s="32">
        <f>'rstar estimates'!C29</f>
        <v>1.7253975255983274</v>
      </c>
      <c r="D26" s="32">
        <f>'rstar estimates'!D29</f>
        <v>1.6538956197615269</v>
      </c>
      <c r="E26" s="32">
        <f>'rstar estimates'!E29</f>
        <v>1.6858968265621448</v>
      </c>
      <c r="F26" s="32">
        <f>'rstar estimates'!F29</f>
        <v>1.66867104670766</v>
      </c>
      <c r="G26" s="32">
        <f>'rstar estimates'!G29</f>
        <v>1.6165771914235652</v>
      </c>
      <c r="H26" s="32">
        <f>'rstar estimates'!H29</f>
        <v>1.5381354735871837</v>
      </c>
      <c r="I26" s="32">
        <f>'rstar estimates'!I29</f>
        <v>1.4950429057742092</v>
      </c>
      <c r="J26" s="32">
        <f>'rstar estimates'!J29</f>
        <v>1.5048374090931791</v>
      </c>
      <c r="K26" s="32">
        <f>'rstar estimates'!K29</f>
        <v>1.4497952308712707</v>
      </c>
      <c r="L26" s="32">
        <f>'rstar estimates'!L29</f>
        <v>1.3861931262536129</v>
      </c>
      <c r="M26" s="32">
        <f>'rstar estimates'!M29</f>
        <v>1.3599913559809074</v>
      </c>
      <c r="N26" s="32">
        <f>'rstar estimates'!N29</f>
        <v>1.2581156316325033</v>
      </c>
      <c r="O26" s="32">
        <f>'rstar estimates'!O29</f>
        <v>1.2102490014600433</v>
      </c>
      <c r="P26" s="32">
        <f>'rstar estimates'!P29</f>
        <v>1.2053401219248687</v>
      </c>
      <c r="Q26" s="32">
        <f>'rstar estimates'!Q29</f>
        <v>1.2361496924587021</v>
      </c>
      <c r="R26" s="32">
        <f>'rstar estimates'!R29</f>
        <v>1.1944227144572581</v>
      </c>
      <c r="S26" s="32">
        <f>'rstar estimates'!S29</f>
        <v>1.1455021563536363</v>
      </c>
      <c r="T26" s="32">
        <f>'rstar estimates'!T29</f>
        <v>1.089496531383213</v>
      </c>
      <c r="U26" s="32">
        <f>'rstar estimates'!U29</f>
        <v>1.0467249314685452</v>
      </c>
      <c r="V26" s="32">
        <f>'rstar estimates'!V29</f>
        <v>1.0724223413986367</v>
      </c>
      <c r="W26" s="32">
        <f>'rstar estimates'!W29</f>
        <v>1.0108884384157175</v>
      </c>
      <c r="X26" s="32">
        <f>'rstar estimates'!X29</f>
        <v>1.0111616586838665</v>
      </c>
      <c r="Y26" s="32">
        <f>'rstar estimates'!Y29</f>
        <v>1.0171649203986877</v>
      </c>
      <c r="Z26" s="32">
        <f>'rstar estimates'!Z29</f>
        <v>1.0495099900979019</v>
      </c>
      <c r="AA26" s="32">
        <f>'rstar estimates'!AA29</f>
        <v>1.074472305439496</v>
      </c>
      <c r="AB26" s="32">
        <f>'rstar estimates'!AB29</f>
        <v>1.0477965753406662</v>
      </c>
      <c r="AC26" s="32">
        <f>'rstar estimates'!AC29</f>
        <v>1.1026532294990044</v>
      </c>
      <c r="AD26" s="32">
        <f>'rstar estimates'!AD29</f>
        <v>1.1822549749424949</v>
      </c>
      <c r="AE26" s="32">
        <f>'rstar estimates'!AE29</f>
        <v>1.2750725217625913</v>
      </c>
      <c r="AF26" s="32">
        <f>'rstar estimates'!AF29</f>
        <v>1.3083611390386944</v>
      </c>
      <c r="AG26" s="32">
        <f>'rstar estimates'!AG29</f>
        <v>1.3557523914736846</v>
      </c>
      <c r="AH26" s="32">
        <f>'rstar estimates'!AH29</f>
        <v>1.387572049361814</v>
      </c>
      <c r="AI26" s="32">
        <f>'rstar estimates'!AI29</f>
        <v>1.3859933495125198</v>
      </c>
      <c r="AJ26" s="32">
        <f>'rstar estimates'!AJ29</f>
        <v>1.3843010398458333</v>
      </c>
      <c r="AK26" s="32">
        <f>'rstar estimates'!AK29</f>
        <v>1.3909770603313243</v>
      </c>
      <c r="AL26" s="32">
        <f>'rstar estimates'!AL29</f>
        <v>1.4941208144912217</v>
      </c>
      <c r="AM26" s="32">
        <f>'rstar estimates'!AM29</f>
        <v>1.5473570216077026</v>
      </c>
      <c r="AN26" s="32">
        <f>'rstar estimates'!AN29</f>
        <v>1.6447821170149919</v>
      </c>
      <c r="AO26" s="32">
        <f>'rstar estimates'!AO29</f>
        <v>1.7333051281405452</v>
      </c>
      <c r="AP26" s="32">
        <f>'rstar estimates'!AP29</f>
        <v>1.8896142912233223</v>
      </c>
      <c r="AQ26" s="32">
        <f>'rstar estimates'!AQ29</f>
        <v>2.0546898727558225</v>
      </c>
      <c r="AR26" s="32">
        <f>'rstar estimates'!AR29</f>
        <v>2.1661038798177827</v>
      </c>
      <c r="AS26" s="32">
        <f>'rstar estimates'!AS29</f>
        <v>2.0639957716292474</v>
      </c>
      <c r="AT26" s="32">
        <f>'rstar estimates'!AT29</f>
        <v>2.0994699224748095</v>
      </c>
      <c r="AU26" s="32">
        <f>'rstar estimates'!AU29</f>
        <v>2.2270374408154363</v>
      </c>
      <c r="AV26" s="32">
        <f>'rstar estimates'!AV29</f>
        <v>2.4538635292855759</v>
      </c>
      <c r="AW26" s="32">
        <f>'rstar estimates'!AW29</f>
        <v>2.46117913407135</v>
      </c>
      <c r="AX26" s="32">
        <f>'rstar estimates'!AX29</f>
        <v>2.5002134112696259</v>
      </c>
      <c r="AY26" s="32">
        <f>'rstar estimates'!AY29</f>
        <v>2.4984319381747708</v>
      </c>
      <c r="AZ26" s="32">
        <f>'rstar estimates'!AZ29</f>
        <v>2.6252976457562376</v>
      </c>
      <c r="BA26" s="32">
        <f>'rstar estimates'!BA29</f>
        <v>2.8131428584583986</v>
      </c>
      <c r="BB26" s="32">
        <f>'rstar estimates'!BB29</f>
        <v>3.1491534751966568</v>
      </c>
      <c r="BC26" s="32">
        <f>'rstar estimates'!BC29</f>
        <v>3.4938733731847114</v>
      </c>
      <c r="BD26" s="32">
        <f>'rstar estimates'!BD29</f>
        <v>3.4583973889448263</v>
      </c>
      <c r="BE26" s="32">
        <f>'rstar estimates'!BE29</f>
        <v>3.2459216214034861</v>
      </c>
      <c r="BF26" s="32">
        <f>'rstar estimates'!BF29</f>
        <v>3.2366289371082861</v>
      </c>
      <c r="BG26" s="32">
        <f>'rstar estimates'!BG29</f>
        <v>2.9396340089522588</v>
      </c>
      <c r="BH26" s="32">
        <f>'rstar estimates'!BH29</f>
        <v>2.4464085044004182</v>
      </c>
      <c r="BI26" s="32">
        <f>'rstar estimates'!BI29</f>
        <v>2.4081127084650338</v>
      </c>
      <c r="BJ26" s="32">
        <f>'rstar estimates'!BJ29</f>
        <v>2.3907058904649054</v>
      </c>
      <c r="BK26" s="32">
        <f>'rstar estimates'!BK29</f>
        <v>2.3419347350807245</v>
      </c>
      <c r="BL26" s="32">
        <f>'rstar estimates'!BL29</f>
        <v>2.3035904733019876</v>
      </c>
      <c r="BM26" s="32">
        <f>'rstar estimates'!BM29</f>
        <v>2.1278223104579634</v>
      </c>
      <c r="BN26" s="32">
        <f>'rstar estimates'!BN29</f>
        <v>1.9865078696993759</v>
      </c>
      <c r="BO26" s="32">
        <f>'rstar estimates'!BO29</f>
        <v>1.7556260399634458</v>
      </c>
      <c r="BP26" s="32">
        <f>'rstar estimates'!BP29</f>
        <v>1.8431284887568204</v>
      </c>
      <c r="BQ26" s="32">
        <f>'rstar estimates'!BQ29</f>
        <v>1.8728930694075157</v>
      </c>
      <c r="BR26" s="32">
        <f>'rstar estimates'!BR29</f>
        <v>1.7885398058351221</v>
      </c>
      <c r="BS26" s="32">
        <f>'rstar estimates'!BS29</f>
        <v>1.6900700397963364</v>
      </c>
      <c r="BT26" s="32">
        <f>'rstar estimates'!BT29</f>
        <v>1.4416084973471461</v>
      </c>
      <c r="BU26" s="32">
        <f>'rstar estimates'!BU29</f>
        <v>1.3732262042907459</v>
      </c>
      <c r="BV26" s="32">
        <f>'rstar estimates'!BV29</f>
        <v>1.3886926608165178</v>
      </c>
      <c r="BW26" s="32">
        <f>'rstar estimates'!BW29</f>
        <v>1.2071186292290934</v>
      </c>
      <c r="BX26" s="32">
        <f>'rstar estimates'!BX29</f>
        <v>1.1007830899075199</v>
      </c>
      <c r="BY26" s="32">
        <f>'rstar estimates'!BY29</f>
        <v>0.97556980641451663</v>
      </c>
      <c r="BZ26" s="32">
        <f>'rstar estimates'!BZ29</f>
        <v>0.99821675064416437</v>
      </c>
      <c r="CA26" s="32">
        <f>'rstar estimates'!CA29</f>
        <v>0.93971701093173254</v>
      </c>
      <c r="CB26" s="32">
        <f>'rstar estimates'!CB29</f>
        <v>0.92324505060327344</v>
      </c>
      <c r="CC26" s="32">
        <f>'rstar estimates'!CC29</f>
        <v>0.85469467579258041</v>
      </c>
      <c r="CD26" s="32">
        <f>'rstar estimates'!CD29</f>
        <v>0.66197022527112481</v>
      </c>
      <c r="CE26" s="32">
        <f>'rstar estimates'!CE29</f>
        <v>0.51025302197866496</v>
      </c>
      <c r="CF26" s="32">
        <f>'rstar estimates'!CF29</f>
        <v>0.42090571712424685</v>
      </c>
      <c r="CG26" s="32">
        <f>'rstar estimates'!CG29</f>
        <v>0.33221005276642557</v>
      </c>
      <c r="CH26" s="32">
        <f>'rstar estimates'!CH29</f>
        <v>0.18505258012491832</v>
      </c>
      <c r="CI26" s="32">
        <f>'rstar estimates'!CI29</f>
        <v>0.21066974794796689</v>
      </c>
      <c r="CJ26" s="32">
        <f>'rstar estimates'!CJ29</f>
        <v>0.21572115505390796</v>
      </c>
      <c r="CK26" s="32">
        <f>'rstar estimates'!CK29</f>
        <v>0.15462246073488217</v>
      </c>
      <c r="CL26" s="32">
        <f>'rstar estimates'!CL29</f>
        <v>0.10103438250180191</v>
      </c>
      <c r="CM26" s="32" t="str">
        <f>'rstar estimates'!CM29</f>
        <v>NaN</v>
      </c>
      <c r="CN26" s="32" t="str">
        <f>'rstar estimates'!CN29</f>
        <v>NaN</v>
      </c>
      <c r="CO26" s="32" t="str">
        <f>'rstar estimates'!CO29</f>
        <v>NaN</v>
      </c>
      <c r="CP26" s="32" t="str">
        <f>'rstar estimates'!CP29</f>
        <v>NaN</v>
      </c>
      <c r="CQ26" s="32" t="str">
        <f>'rstar estimates'!CQ29</f>
        <v>NaN</v>
      </c>
      <c r="CR26" s="32" t="str">
        <f>'rstar estimates'!CR29</f>
        <v>NaN</v>
      </c>
      <c r="CS26" s="32" t="str">
        <f>'rstar estimates'!CS29</f>
        <v>NaN</v>
      </c>
      <c r="CT26" s="32" t="str">
        <f>'rstar estimates'!CT29</f>
        <v>NaN</v>
      </c>
    </row>
    <row r="27" spans="1:98">
      <c r="A27" t="s">
        <v>1818</v>
      </c>
      <c r="B27">
        <v>5.4078395572688107E-2</v>
      </c>
      <c r="C27">
        <v>7.0465325469285467E-2</v>
      </c>
      <c r="D27">
        <v>7.8361586421448276E-2</v>
      </c>
      <c r="E27">
        <v>8.7915661804151876E-2</v>
      </c>
      <c r="F27">
        <v>7.0476147820990348E-2</v>
      </c>
      <c r="G27">
        <v>4.3638642997126144E-2</v>
      </c>
      <c r="H27">
        <v>5.0496877304819436E-2</v>
      </c>
      <c r="I27">
        <v>5.7240046644469446E-2</v>
      </c>
      <c r="J27">
        <v>5.239136784186655E-2</v>
      </c>
      <c r="K27">
        <v>0.10429037048097657</v>
      </c>
      <c r="L27">
        <v>6.1875002764886139E-2</v>
      </c>
      <c r="M27">
        <v>6.2916840116854139E-2</v>
      </c>
      <c r="N27">
        <v>9.8210519903165802E-2</v>
      </c>
      <c r="O27">
        <v>0.13404121077042294</v>
      </c>
      <c r="P27">
        <v>0.1097321543983831</v>
      </c>
      <c r="Q27">
        <v>9.239500640059084E-2</v>
      </c>
      <c r="R27">
        <v>7.1133860444974897E-2</v>
      </c>
      <c r="S27">
        <v>5.6911023008658392E-2</v>
      </c>
      <c r="T27">
        <v>6.6662006808086594E-2</v>
      </c>
      <c r="U27">
        <v>9.8943277336001015E-2</v>
      </c>
      <c r="V27">
        <v>0.12696586892461675</v>
      </c>
      <c r="W27">
        <v>0.14203691730632159</v>
      </c>
      <c r="X27">
        <v>0.13526449748858888</v>
      </c>
      <c r="Y27">
        <v>0.11600426612361532</v>
      </c>
      <c r="Z27">
        <v>9.1855622901344497E-2</v>
      </c>
      <c r="AA27">
        <v>0.10080819339315815</v>
      </c>
      <c r="AB27">
        <v>7.4530636503583186E-2</v>
      </c>
      <c r="AC27">
        <v>7.144721062328209E-2</v>
      </c>
      <c r="AD27">
        <v>7.7809927739929466E-2</v>
      </c>
      <c r="AE27">
        <v>8.5695527135768418E-2</v>
      </c>
      <c r="AF27">
        <v>5.6177462284328045E-2</v>
      </c>
      <c r="AG27">
        <v>5.6186574733698993E-2</v>
      </c>
      <c r="AH27">
        <v>5.8679526245889138E-2</v>
      </c>
      <c r="AI27">
        <v>4.3321961918001486E-2</v>
      </c>
      <c r="AJ27">
        <v>5.5663702456297114E-2</v>
      </c>
      <c r="AK27">
        <v>5.2412500828814081E-2</v>
      </c>
      <c r="AL27">
        <v>5.1971368569338434E-2</v>
      </c>
      <c r="AM27">
        <v>5.3562920241590074E-2</v>
      </c>
      <c r="AN27">
        <v>6.7730957725475896E-2</v>
      </c>
      <c r="AO27">
        <v>5.7284553351785651E-2</v>
      </c>
      <c r="AP27">
        <v>5.3387816289122043E-2</v>
      </c>
      <c r="AQ27">
        <v>6.5789245828873133E-2</v>
      </c>
      <c r="AR27">
        <v>6.2249743832038851E-2</v>
      </c>
      <c r="AS27">
        <v>5.4953032134216699E-2</v>
      </c>
      <c r="AT27">
        <v>5.2101279516155702E-2</v>
      </c>
      <c r="AU27">
        <v>8.0326950167209421E-2</v>
      </c>
      <c r="AV27">
        <v>0.13676679913457521</v>
      </c>
      <c r="AW27">
        <v>9.4396568047736579E-2</v>
      </c>
      <c r="AX27">
        <v>8.9612378271685819E-2</v>
      </c>
      <c r="AY27">
        <v>0.11402824898627334</v>
      </c>
      <c r="AZ27">
        <v>0.12298137966579002</v>
      </c>
      <c r="BA27">
        <v>0.13700100294368842</v>
      </c>
      <c r="BB27">
        <v>0.11722883065094822</v>
      </c>
      <c r="BC27">
        <v>0.12537115628950515</v>
      </c>
      <c r="BD27">
        <v>0.10183552325200911</v>
      </c>
      <c r="BE27">
        <v>8.0208811980499173E-2</v>
      </c>
      <c r="BF27">
        <v>9.823172417621516E-2</v>
      </c>
      <c r="BG27">
        <v>7.6650231330935403E-2</v>
      </c>
      <c r="BH27">
        <v>5.9414083786512958E-2</v>
      </c>
      <c r="BI27">
        <v>6.5157415429628204E-2</v>
      </c>
      <c r="BJ27">
        <v>7.7909968883174335E-2</v>
      </c>
      <c r="BK27">
        <v>7.0824549877119544E-2</v>
      </c>
      <c r="BL27">
        <v>6.7413357456402798E-2</v>
      </c>
      <c r="BM27">
        <v>4.9456581511900494E-2</v>
      </c>
      <c r="BN27">
        <v>4.0221901667280235E-2</v>
      </c>
      <c r="BO27">
        <v>4.3602568444204404E-2</v>
      </c>
      <c r="BP27">
        <v>5.7053112911327433E-2</v>
      </c>
      <c r="BQ27">
        <v>5.5309154023289342E-2</v>
      </c>
      <c r="BR27">
        <v>4.8314613264239227E-2</v>
      </c>
      <c r="BS27">
        <v>4.1981009281818249E-2</v>
      </c>
      <c r="BT27">
        <v>3.2739088489615549E-2</v>
      </c>
      <c r="BU27">
        <v>2.9693351473690909E-2</v>
      </c>
      <c r="BV27">
        <v>3.9089334981700273E-2</v>
      </c>
      <c r="BW27">
        <v>3.1331618604715429E-2</v>
      </c>
      <c r="BX27">
        <v>3.0216032840165937E-2</v>
      </c>
      <c r="BY27">
        <v>3.3622265703487343E-2</v>
      </c>
      <c r="BZ27">
        <v>4.6441183219498187E-2</v>
      </c>
      <c r="CA27">
        <v>5.1082618063006971E-2</v>
      </c>
      <c r="CB27">
        <v>5.3588776805064083E-2</v>
      </c>
      <c r="CC27">
        <v>5.4468452578429763E-2</v>
      </c>
      <c r="CD27">
        <v>5.2738091158453015E-2</v>
      </c>
      <c r="CE27">
        <v>1.4875348565438935E-2</v>
      </c>
      <c r="CF27">
        <v>5.4316980205458283E-2</v>
      </c>
      <c r="CG27">
        <v>6.7749782526155225E-2</v>
      </c>
      <c r="CH27">
        <v>6.145830906848708E-2</v>
      </c>
      <c r="CI27">
        <v>5.0997599185059098E-2</v>
      </c>
      <c r="CJ27">
        <v>4.9674204271745195E-2</v>
      </c>
      <c r="CK27">
        <v>4.575212374223233E-2</v>
      </c>
      <c r="CL27">
        <v>3.9659361114116311E-2</v>
      </c>
      <c r="CM27">
        <v>3.9266117848300065E-2</v>
      </c>
      <c r="CN27">
        <v>4.8038174496817354E-2</v>
      </c>
      <c r="CO27">
        <v>4.2689134022444307E-2</v>
      </c>
      <c r="CP27">
        <v>2.8812774184270525E-2</v>
      </c>
      <c r="CQ27">
        <v>3.4314363947399978E-2</v>
      </c>
      <c r="CR27">
        <v>4.9204095010101832E-2</v>
      </c>
      <c r="CS27">
        <v>3.9009574242419756E-2</v>
      </c>
      <c r="CT27">
        <v>3.3166100302972637E-2</v>
      </c>
    </row>
    <row r="28" spans="1:98">
      <c r="A28" t="s">
        <v>1819</v>
      </c>
      <c r="B28">
        <v>3.5014354365832751E-2</v>
      </c>
      <c r="C28">
        <v>4.2854404047788411E-2</v>
      </c>
      <c r="D28">
        <v>6.0650873258032006E-2</v>
      </c>
      <c r="E28">
        <v>0.10154611955746193</v>
      </c>
      <c r="F28">
        <v>9.0781216376594115E-2</v>
      </c>
      <c r="G28">
        <v>4.790561643588738E-2</v>
      </c>
      <c r="H28">
        <v>4.8162084323337628E-2</v>
      </c>
      <c r="I28">
        <v>3.4568752409163031E-2</v>
      </c>
      <c r="J28">
        <v>3.3949156461367348E-2</v>
      </c>
      <c r="K28">
        <v>7.1154793713177997E-2</v>
      </c>
      <c r="L28">
        <v>5.4516128922225501E-2</v>
      </c>
      <c r="M28">
        <v>4.4611843552542871E-2</v>
      </c>
      <c r="N28">
        <v>6.2210142326919904E-2</v>
      </c>
      <c r="O28">
        <v>8.3159772209481161E-2</v>
      </c>
      <c r="P28">
        <v>7.0770260414221936E-2</v>
      </c>
      <c r="Q28">
        <v>5.2181168646729843E-2</v>
      </c>
      <c r="R28">
        <v>4.8658645018065542E-2</v>
      </c>
      <c r="S28">
        <v>3.8136488063765718E-2</v>
      </c>
      <c r="T28">
        <v>5.0082833853140496E-2</v>
      </c>
      <c r="U28">
        <v>5.343037835782951E-2</v>
      </c>
      <c r="V28">
        <v>5.7250219696049737E-2</v>
      </c>
      <c r="W28">
        <v>6.1589404308094932E-2</v>
      </c>
      <c r="X28">
        <v>6.6449389177779608E-2</v>
      </c>
      <c r="Y28">
        <v>6.575929788847365E-2</v>
      </c>
      <c r="Z28">
        <v>5.5323114900350315E-2</v>
      </c>
      <c r="AA28">
        <v>5.7541078739108929E-2</v>
      </c>
      <c r="AB28">
        <v>4.1945150661936839E-2</v>
      </c>
      <c r="AC28">
        <v>3.505788501181905E-2</v>
      </c>
      <c r="AD28">
        <v>3.8676383071975649E-2</v>
      </c>
      <c r="AE28">
        <v>4.3826911786276686E-2</v>
      </c>
      <c r="AF28">
        <v>3.2734329610949069E-2</v>
      </c>
      <c r="AG28">
        <v>3.0623874411648724E-2</v>
      </c>
      <c r="AH28">
        <v>3.4369728089316764E-2</v>
      </c>
      <c r="AI28">
        <v>2.7407676790861989E-2</v>
      </c>
      <c r="AJ28">
        <v>3.3181777230220283E-2</v>
      </c>
      <c r="AK28">
        <v>2.9891818596738316E-2</v>
      </c>
      <c r="AL28">
        <v>2.8681859622501076E-2</v>
      </c>
      <c r="AM28">
        <v>2.8786713872747248E-2</v>
      </c>
      <c r="AN28">
        <v>3.5267713850985143E-2</v>
      </c>
      <c r="AO28">
        <v>3.0988367633604876E-2</v>
      </c>
      <c r="AP28">
        <v>2.8724852891730056E-2</v>
      </c>
      <c r="AQ28">
        <v>3.5283627598629325E-2</v>
      </c>
      <c r="AR28">
        <v>3.6114812376227622E-2</v>
      </c>
      <c r="AS28">
        <v>3.1717314337928321E-2</v>
      </c>
      <c r="AT28">
        <v>2.6692612509766993E-2</v>
      </c>
      <c r="AU28">
        <v>3.558401723793516E-2</v>
      </c>
      <c r="AV28">
        <v>5.5175216097856195E-2</v>
      </c>
      <c r="AW28">
        <v>4.2867437450041602E-2</v>
      </c>
      <c r="AX28">
        <v>3.7175364353214634E-2</v>
      </c>
      <c r="AY28">
        <v>4.7796593697488891E-2</v>
      </c>
      <c r="AZ28">
        <v>5.3094908434613917E-2</v>
      </c>
      <c r="BA28">
        <v>5.2719861867207334E-2</v>
      </c>
      <c r="BB28">
        <v>4.6682449616562288E-2</v>
      </c>
      <c r="BC28">
        <v>5.3583431198656273E-2</v>
      </c>
      <c r="BD28">
        <v>4.9286421630872899E-2</v>
      </c>
      <c r="BE28">
        <v>4.3101838103039483E-2</v>
      </c>
      <c r="BF28">
        <v>4.5061495138223308E-2</v>
      </c>
      <c r="BG28">
        <v>3.8007280890093711E-2</v>
      </c>
      <c r="BH28">
        <v>3.2951329894778739E-2</v>
      </c>
      <c r="BI28">
        <v>3.5979122553826445E-2</v>
      </c>
      <c r="BJ28">
        <v>3.4144667578765615E-2</v>
      </c>
      <c r="BK28">
        <v>3.034971265474851E-2</v>
      </c>
      <c r="BL28">
        <v>3.6261300972648874E-2</v>
      </c>
      <c r="BM28">
        <v>3.1740537094994213E-2</v>
      </c>
      <c r="BN28">
        <v>2.8645196559807275E-2</v>
      </c>
      <c r="BO28">
        <v>2.7094784483845596E-2</v>
      </c>
      <c r="BP28">
        <v>2.8539574466167918E-2</v>
      </c>
      <c r="BQ28">
        <v>2.200755296194248E-2</v>
      </c>
      <c r="BR28">
        <v>1.9574709764772914E-2</v>
      </c>
      <c r="BS28">
        <v>1.5884026498896239E-2</v>
      </c>
      <c r="BT28">
        <v>1.3456478694459869E-2</v>
      </c>
      <c r="BU28">
        <v>1.1680604039826256E-2</v>
      </c>
      <c r="BV28">
        <v>1.2571029518199078E-2</v>
      </c>
      <c r="BW28">
        <v>1.3797815676275133E-2</v>
      </c>
      <c r="BX28">
        <v>1.7764303363060358E-2</v>
      </c>
      <c r="BY28">
        <v>1.5280195503208789E-2</v>
      </c>
      <c r="BZ28">
        <v>1.5652141588520001E-2</v>
      </c>
      <c r="CA28">
        <v>1.6748238991933163E-2</v>
      </c>
      <c r="CB28">
        <v>1.666203630893422E-2</v>
      </c>
      <c r="CC28">
        <v>1.8044665656414393E-2</v>
      </c>
      <c r="CD28">
        <v>3.1722841790124988E-2</v>
      </c>
      <c r="CE28">
        <v>2.2938307287441926E-2</v>
      </c>
      <c r="CF28">
        <v>1.79959993844322E-2</v>
      </c>
      <c r="CG28">
        <v>1.9794714232919303E-2</v>
      </c>
      <c r="CH28">
        <v>2.0194485951513099E-2</v>
      </c>
      <c r="CI28">
        <v>1.8470771916950002E-2</v>
      </c>
      <c r="CJ28">
        <v>1.8112579243466438E-2</v>
      </c>
      <c r="CK28">
        <v>2.0298070285699309E-2</v>
      </c>
      <c r="CL28">
        <v>1.9957694629586631E-2</v>
      </c>
      <c r="CM28">
        <v>1.7893295831413615E-2</v>
      </c>
      <c r="CN28">
        <v>2.0016910413896513E-2</v>
      </c>
      <c r="CO28">
        <v>1.7794761855714703E-2</v>
      </c>
      <c r="CP28">
        <v>1.6095453057752954E-2</v>
      </c>
      <c r="CQ28">
        <v>1.2901998204839326E-2</v>
      </c>
      <c r="CR28">
        <v>1.6590731429603989E-2</v>
      </c>
      <c r="CS28">
        <v>1.4794483328197997E-2</v>
      </c>
      <c r="CT28">
        <v>1.2114331232096208E-2</v>
      </c>
    </row>
    <row r="29" spans="1:98">
      <c r="A29" t="s">
        <v>1820</v>
      </c>
      <c r="B29" t="s">
        <v>1448</v>
      </c>
      <c r="C29" t="s">
        <v>1448</v>
      </c>
      <c r="D29" t="s">
        <v>1448</v>
      </c>
      <c r="E29" t="s">
        <v>1448</v>
      </c>
      <c r="F29" t="s">
        <v>1448</v>
      </c>
      <c r="G29" t="s">
        <v>1448</v>
      </c>
      <c r="H29" t="s">
        <v>1448</v>
      </c>
      <c r="I29" t="s">
        <v>1448</v>
      </c>
      <c r="J29" t="s">
        <v>1448</v>
      </c>
      <c r="K29" t="s">
        <v>1448</v>
      </c>
      <c r="L29" t="s">
        <v>1448</v>
      </c>
      <c r="M29" t="s">
        <v>1448</v>
      </c>
      <c r="N29" t="s">
        <v>1448</v>
      </c>
      <c r="O29" t="s">
        <v>1448</v>
      </c>
      <c r="P29" t="s">
        <v>1448</v>
      </c>
      <c r="Q29" t="s">
        <v>1448</v>
      </c>
      <c r="R29" t="s">
        <v>1448</v>
      </c>
      <c r="S29" t="s">
        <v>1448</v>
      </c>
      <c r="T29" t="s">
        <v>1448</v>
      </c>
      <c r="U29" t="s">
        <v>1448</v>
      </c>
      <c r="V29" t="s">
        <v>1448</v>
      </c>
      <c r="W29" t="s">
        <v>1448</v>
      </c>
      <c r="X29" t="s">
        <v>1448</v>
      </c>
      <c r="Y29" t="s">
        <v>1448</v>
      </c>
      <c r="Z29" t="s">
        <v>1448</v>
      </c>
      <c r="AA29" t="s">
        <v>1448</v>
      </c>
      <c r="AB29" t="s">
        <v>1448</v>
      </c>
      <c r="AC29" t="s">
        <v>1448</v>
      </c>
      <c r="AD29" t="s">
        <v>1448</v>
      </c>
      <c r="AE29" t="s">
        <v>1448</v>
      </c>
      <c r="AF29" t="s">
        <v>1448</v>
      </c>
      <c r="AG29" t="s">
        <v>1448</v>
      </c>
      <c r="AH29" t="s">
        <v>1448</v>
      </c>
      <c r="AI29">
        <f>'rstar estimates'!B22</f>
        <v>5.0535728094789301</v>
      </c>
      <c r="AJ29">
        <f>'rstar estimates'!C22</f>
        <v>3.8952090154988599</v>
      </c>
      <c r="AK29">
        <f>'rstar estimates'!D22</f>
        <v>3.8876290332867001</v>
      </c>
      <c r="AL29">
        <f>'rstar estimates'!E22</f>
        <v>3.9847854478821998</v>
      </c>
      <c r="AM29">
        <f>'rstar estimates'!F22</f>
        <v>4.7193121863918401</v>
      </c>
      <c r="AN29">
        <f>'rstar estimates'!G22</f>
        <v>4.5944173397264301</v>
      </c>
      <c r="AO29">
        <f>'rstar estimates'!H22</f>
        <v>4.3377748082496801</v>
      </c>
      <c r="AP29">
        <f>'rstar estimates'!I22</f>
        <v>4.3117097472979102</v>
      </c>
      <c r="AQ29">
        <f>'rstar estimates'!J22</f>
        <v>4.0112809152860098</v>
      </c>
      <c r="AR29">
        <f>'rstar estimates'!K22</f>
        <v>3.4962688325345099</v>
      </c>
      <c r="AS29">
        <f>'rstar estimates'!L22</f>
        <v>3.4905213424774102</v>
      </c>
      <c r="AT29">
        <f>'rstar estimates'!M22</f>
        <v>3.81230617936746</v>
      </c>
      <c r="AU29">
        <f>'rstar estimates'!N22</f>
        <v>3.7978988081638598</v>
      </c>
      <c r="AV29">
        <f>'rstar estimates'!O22</f>
        <v>3.1014908529503602</v>
      </c>
      <c r="AW29">
        <f>'rstar estimates'!P22</f>
        <v>3.0036726960845499</v>
      </c>
      <c r="AX29">
        <f>'rstar estimates'!Q22</f>
        <v>2.85412350603452</v>
      </c>
      <c r="AY29">
        <f>'rstar estimates'!R22</f>
        <v>2.95052489864511</v>
      </c>
      <c r="AZ29">
        <f>'rstar estimates'!S22</f>
        <v>3.4710657759388202</v>
      </c>
      <c r="BA29">
        <f>'rstar estimates'!T22</f>
        <v>3.3333288177093898</v>
      </c>
      <c r="BB29">
        <f>'rstar estimates'!U22</f>
        <v>3.2449925277211298</v>
      </c>
      <c r="BC29">
        <f>'rstar estimates'!V22</f>
        <v>3.18343228440752</v>
      </c>
      <c r="BD29">
        <f>'rstar estimates'!W22</f>
        <v>2.7955313311358001</v>
      </c>
      <c r="BE29">
        <f>'rstar estimates'!X22</f>
        <v>3.3530235779353998</v>
      </c>
      <c r="BF29">
        <f>'rstar estimates'!Y22</f>
        <v>3.5199227080441999</v>
      </c>
      <c r="BG29">
        <f>'rstar estimates'!Z22</f>
        <v>3.5876108601219499</v>
      </c>
      <c r="BH29">
        <f>'rstar estimates'!AA22</f>
        <v>3.4013328507034299</v>
      </c>
      <c r="BI29">
        <f>'rstar estimates'!AB22</f>
        <v>3.48004258894249</v>
      </c>
      <c r="BJ29">
        <f>'rstar estimates'!AC22</f>
        <v>3.4452900198612402</v>
      </c>
      <c r="BK29">
        <f>'rstar estimates'!AD22</f>
        <v>3.39594371303403</v>
      </c>
      <c r="BL29">
        <f>'rstar estimates'!AE22</f>
        <v>2.9990947711762099</v>
      </c>
      <c r="BM29">
        <f>'rstar estimates'!AF22</f>
        <v>2.7234371608500498</v>
      </c>
      <c r="BN29">
        <f>'rstar estimates'!AG22</f>
        <v>2.72883511143641</v>
      </c>
      <c r="BO29">
        <f>'rstar estimates'!AH22</f>
        <v>2.5442581874832499</v>
      </c>
      <c r="BP29">
        <f>'rstar estimates'!AI22</f>
        <v>2.640236620364</v>
      </c>
      <c r="BQ29">
        <f>'rstar estimates'!AJ22</f>
        <v>2.6609454533749801</v>
      </c>
      <c r="BR29">
        <f>'rstar estimates'!AK22</f>
        <v>2.96663547631172</v>
      </c>
      <c r="BS29">
        <f>'rstar estimates'!AL22</f>
        <v>3.2321380303813001</v>
      </c>
      <c r="BT29">
        <f>'rstar estimates'!AM22</f>
        <v>3.56649654620221</v>
      </c>
      <c r="BU29">
        <f>'rstar estimates'!AN22</f>
        <v>3.7653877625517298</v>
      </c>
      <c r="BV29">
        <f>'rstar estimates'!AO22</f>
        <v>3.6689080635662901</v>
      </c>
      <c r="BW29">
        <f>'rstar estimates'!AP22</f>
        <v>3.2207059422270699</v>
      </c>
      <c r="BX29">
        <f>'rstar estimates'!AQ22</f>
        <v>2.83467993403911</v>
      </c>
      <c r="BY29">
        <f>'rstar estimates'!AR22</f>
        <v>2.8538997786333802</v>
      </c>
      <c r="BZ29">
        <f>'rstar estimates'!AS22</f>
        <v>2.7388818908628698</v>
      </c>
      <c r="CA29">
        <f>'rstar estimates'!AT22</f>
        <v>2.7044272876954398</v>
      </c>
      <c r="CB29">
        <f>'rstar estimates'!AU22</f>
        <v>2.8188218603702899</v>
      </c>
      <c r="CC29">
        <f>'rstar estimates'!AV22</f>
        <v>2.8158905731061599</v>
      </c>
      <c r="CD29">
        <f>'rstar estimates'!AW22</f>
        <v>1.9583531992599099</v>
      </c>
      <c r="CE29">
        <f>'rstar estimates'!AX22</f>
        <v>1.6203989730736801</v>
      </c>
      <c r="CF29">
        <f>'rstar estimates'!AY22</f>
        <v>1.5334699504387499</v>
      </c>
      <c r="CG29">
        <f>'rstar estimates'!AZ22</f>
        <v>1.42173787709586</v>
      </c>
      <c r="CH29">
        <f>'rstar estimates'!BA22</f>
        <v>1.27614312057174</v>
      </c>
      <c r="CI29">
        <f>'rstar estimates'!BB22</f>
        <v>1.4924803428677</v>
      </c>
      <c r="CJ29">
        <f>'rstar estimates'!BC22</f>
        <v>1.62823974426114</v>
      </c>
      <c r="CK29">
        <f>'rstar estimates'!BD22</f>
        <v>1.6767288169772101</v>
      </c>
      <c r="CL29">
        <f>'rstar estimates'!BE22</f>
        <v>1.7817449376769501</v>
      </c>
      <c r="CM29">
        <f>'rstar estimates'!BF22</f>
        <v>1.99615971389811</v>
      </c>
      <c r="CN29">
        <f>'rstar estimates'!BG22</f>
        <v>2.0262659936359699</v>
      </c>
      <c r="CO29">
        <f>'rstar estimates'!BH22</f>
        <v>2.33129535246493</v>
      </c>
      <c r="CP29">
        <f>'rstar estimates'!BI22</f>
        <v>2.3526435356676001</v>
      </c>
      <c r="CQ29">
        <f>'rstar estimates'!BJ22</f>
        <v>2.5275464362856401</v>
      </c>
      <c r="CR29">
        <f>'rstar estimates'!BK22</f>
        <v>2.22676142800406</v>
      </c>
      <c r="CS29">
        <f>'rstar estimates'!BL22</f>
        <v>2.5342488434805501</v>
      </c>
      <c r="CT29">
        <f>'rstar estimates'!BM22</f>
        <v>2.4565513994764401</v>
      </c>
    </row>
    <row r="30" spans="1:98">
      <c r="A30" t="s">
        <v>1821</v>
      </c>
      <c r="B30" t="s">
        <v>1448</v>
      </c>
      <c r="C30" t="s">
        <v>1448</v>
      </c>
      <c r="D30" t="s">
        <v>1448</v>
      </c>
      <c r="E30" t="s">
        <v>1448</v>
      </c>
      <c r="F30" t="s">
        <v>1448</v>
      </c>
      <c r="G30" t="s">
        <v>1448</v>
      </c>
      <c r="H30" t="s">
        <v>1448</v>
      </c>
      <c r="I30" t="s">
        <v>1448</v>
      </c>
      <c r="J30" t="s">
        <v>1448</v>
      </c>
      <c r="K30" t="s">
        <v>1448</v>
      </c>
      <c r="L30" t="s">
        <v>1448</v>
      </c>
      <c r="M30" t="s">
        <v>1448</v>
      </c>
      <c r="N30" t="s">
        <v>1448</v>
      </c>
      <c r="O30" t="s">
        <v>1448</v>
      </c>
      <c r="P30" t="s">
        <v>1448</v>
      </c>
      <c r="Q30" t="s">
        <v>1448</v>
      </c>
      <c r="R30" t="s">
        <v>1448</v>
      </c>
      <c r="S30" t="s">
        <v>1448</v>
      </c>
      <c r="T30" t="s">
        <v>1448</v>
      </c>
      <c r="U30" t="s">
        <v>1448</v>
      </c>
      <c r="V30" t="s">
        <v>1448</v>
      </c>
      <c r="W30" t="s">
        <v>1448</v>
      </c>
      <c r="X30" t="s">
        <v>1448</v>
      </c>
      <c r="Y30" t="s">
        <v>1448</v>
      </c>
      <c r="Z30" t="s">
        <v>1448</v>
      </c>
      <c r="AA30" t="s">
        <v>1448</v>
      </c>
      <c r="AB30" t="s">
        <v>1448</v>
      </c>
      <c r="AC30" t="s">
        <v>1448</v>
      </c>
      <c r="AD30" t="s">
        <v>1448</v>
      </c>
      <c r="AE30" t="s">
        <v>1448</v>
      </c>
      <c r="AF30" t="s">
        <v>1448</v>
      </c>
      <c r="AG30" t="s">
        <v>1448</v>
      </c>
      <c r="AH30" t="s">
        <v>1448</v>
      </c>
      <c r="AI30" t="s">
        <v>1448</v>
      </c>
      <c r="AJ30" t="s">
        <v>1448</v>
      </c>
      <c r="AK30" t="s">
        <v>1448</v>
      </c>
      <c r="AL30" t="s">
        <v>1448</v>
      </c>
      <c r="AM30" t="s">
        <v>1448</v>
      </c>
      <c r="AN30" t="s">
        <v>1448</v>
      </c>
      <c r="AO30" t="s">
        <v>1448</v>
      </c>
      <c r="AP30" t="s">
        <v>1448</v>
      </c>
      <c r="AQ30" t="s">
        <v>1448</v>
      </c>
      <c r="AR30" t="s">
        <v>1448</v>
      </c>
      <c r="AS30">
        <v>2.1150066226115292</v>
      </c>
      <c r="AT30">
        <v>2.1349667826811451</v>
      </c>
      <c r="AU30">
        <v>2.1929507985114438</v>
      </c>
      <c r="AV30">
        <v>1.7969603362590389</v>
      </c>
      <c r="AW30">
        <v>1.7611072753541941</v>
      </c>
      <c r="AX30">
        <v>1.6244953374481399</v>
      </c>
      <c r="AY30">
        <v>1.5726897490308041</v>
      </c>
      <c r="AZ30">
        <v>1.79445724022395</v>
      </c>
      <c r="BA30">
        <v>1.893994480636517</v>
      </c>
      <c r="BB30">
        <v>2.0258099888264911</v>
      </c>
      <c r="BC30">
        <v>2.0749038511289681</v>
      </c>
      <c r="BD30">
        <v>1.978241914383694</v>
      </c>
      <c r="BE30">
        <v>2.2455671346896979</v>
      </c>
      <c r="BF30">
        <v>2.447430849364209</v>
      </c>
      <c r="BG30">
        <v>2.458392933555873</v>
      </c>
      <c r="BH30">
        <v>2.3796120009825019</v>
      </c>
      <c r="BI30">
        <v>2.4438086437705002</v>
      </c>
      <c r="BJ30">
        <v>2.606328274939866</v>
      </c>
      <c r="BK30">
        <v>2.6222987203824468</v>
      </c>
      <c r="BL30">
        <v>2.4927710367305869</v>
      </c>
      <c r="BM30">
        <v>2.3812134473211168</v>
      </c>
      <c r="BN30">
        <v>2.196611540717921</v>
      </c>
      <c r="BO30">
        <v>2.0487370397386102</v>
      </c>
      <c r="BP30">
        <v>2.1657985579779502</v>
      </c>
      <c r="BQ30">
        <v>2.1921595561599299</v>
      </c>
      <c r="BR30">
        <v>2.26920997951945</v>
      </c>
      <c r="BS30">
        <v>2.3776835736075981</v>
      </c>
      <c r="BT30">
        <v>2.5032878826864171</v>
      </c>
      <c r="BU30">
        <v>2.6051737757648228</v>
      </c>
      <c r="BV30">
        <v>2.6927269524420581</v>
      </c>
      <c r="BW30">
        <v>2.4086588487554308</v>
      </c>
      <c r="BX30">
        <v>2.173029263929092</v>
      </c>
      <c r="BY30">
        <v>2.0319014284120418</v>
      </c>
      <c r="BZ30">
        <v>1.8900345846330671</v>
      </c>
      <c r="CA30">
        <v>1.912178577691197</v>
      </c>
      <c r="CB30">
        <v>1.989226465617187</v>
      </c>
      <c r="CC30">
        <v>1.856594439030044</v>
      </c>
      <c r="CD30">
        <v>1.1940393314203961</v>
      </c>
      <c r="CE30">
        <v>1.130064866064322</v>
      </c>
      <c r="CF30">
        <v>0.91496597174328498</v>
      </c>
      <c r="CG30">
        <v>0.84017309470244572</v>
      </c>
      <c r="CH30">
        <v>0.68972431738032491</v>
      </c>
      <c r="CI30">
        <v>0.68480369216769299</v>
      </c>
      <c r="CJ30">
        <v>0.62333976263285584</v>
      </c>
      <c r="CK30">
        <v>0.59253780812310419</v>
      </c>
      <c r="CL30">
        <v>0.52135301295763559</v>
      </c>
      <c r="CM30">
        <v>0.53593274896561449</v>
      </c>
      <c r="CN30" t="s">
        <v>1448</v>
      </c>
      <c r="CO30" t="s">
        <v>1448</v>
      </c>
      <c r="CP30" t="s">
        <v>1448</v>
      </c>
      <c r="CQ30" t="s">
        <v>1448</v>
      </c>
      <c r="CR30" t="s">
        <v>1448</v>
      </c>
      <c r="CS30" t="s">
        <v>1448</v>
      </c>
      <c r="CT30" t="s">
        <v>1448</v>
      </c>
    </row>
    <row r="34" spans="2:98">
      <c r="C34">
        <f>+C1</f>
        <v>1929</v>
      </c>
      <c r="D34">
        <f t="shared" ref="D34:W34" si="4">+D1</f>
        <v>1930</v>
      </c>
      <c r="E34">
        <f t="shared" si="4"/>
        <v>1931</v>
      </c>
      <c r="F34">
        <f t="shared" si="4"/>
        <v>1932</v>
      </c>
      <c r="G34">
        <f t="shared" si="4"/>
        <v>1933</v>
      </c>
      <c r="H34">
        <f t="shared" si="4"/>
        <v>1934</v>
      </c>
      <c r="I34">
        <f t="shared" si="4"/>
        <v>1935</v>
      </c>
      <c r="J34">
        <f t="shared" si="4"/>
        <v>1936</v>
      </c>
      <c r="K34">
        <f t="shared" si="4"/>
        <v>1937</v>
      </c>
      <c r="L34">
        <f t="shared" si="4"/>
        <v>1938</v>
      </c>
      <c r="M34">
        <f t="shared" si="4"/>
        <v>1939</v>
      </c>
      <c r="N34">
        <f t="shared" si="4"/>
        <v>1940</v>
      </c>
      <c r="O34">
        <f t="shared" si="4"/>
        <v>1941</v>
      </c>
      <c r="P34">
        <f t="shared" si="4"/>
        <v>1942</v>
      </c>
      <c r="Q34">
        <f t="shared" si="4"/>
        <v>1943</v>
      </c>
      <c r="R34">
        <f t="shared" si="4"/>
        <v>1944</v>
      </c>
      <c r="S34">
        <f t="shared" si="4"/>
        <v>1945</v>
      </c>
      <c r="T34">
        <f t="shared" si="4"/>
        <v>1946</v>
      </c>
      <c r="U34">
        <f t="shared" si="4"/>
        <v>1947</v>
      </c>
      <c r="V34">
        <f t="shared" si="4"/>
        <v>1948</v>
      </c>
      <c r="W34">
        <f t="shared" si="4"/>
        <v>1949</v>
      </c>
      <c r="X34">
        <f t="shared" ref="X34:CI34" si="5">+X1</f>
        <v>1950</v>
      </c>
      <c r="Y34">
        <f t="shared" si="5"/>
        <v>1951</v>
      </c>
      <c r="Z34">
        <f t="shared" si="5"/>
        <v>1952</v>
      </c>
      <c r="AA34">
        <f t="shared" si="5"/>
        <v>1953</v>
      </c>
      <c r="AB34">
        <f t="shared" si="5"/>
        <v>1954</v>
      </c>
      <c r="AC34">
        <f t="shared" si="5"/>
        <v>1955</v>
      </c>
      <c r="AD34">
        <f t="shared" si="5"/>
        <v>1956</v>
      </c>
      <c r="AE34">
        <f t="shared" si="5"/>
        <v>1957</v>
      </c>
      <c r="AF34">
        <f t="shared" si="5"/>
        <v>1958</v>
      </c>
      <c r="AG34">
        <f t="shared" si="5"/>
        <v>1959</v>
      </c>
      <c r="AH34">
        <f t="shared" si="5"/>
        <v>1960</v>
      </c>
      <c r="AI34">
        <f t="shared" si="5"/>
        <v>1961</v>
      </c>
      <c r="AJ34">
        <f t="shared" si="5"/>
        <v>1962</v>
      </c>
      <c r="AK34">
        <f t="shared" si="5"/>
        <v>1963</v>
      </c>
      <c r="AL34">
        <f t="shared" si="5"/>
        <v>1964</v>
      </c>
      <c r="AM34">
        <f t="shared" si="5"/>
        <v>1965</v>
      </c>
      <c r="AN34">
        <f t="shared" si="5"/>
        <v>1966</v>
      </c>
      <c r="AO34">
        <f t="shared" si="5"/>
        <v>1967</v>
      </c>
      <c r="AP34">
        <f t="shared" si="5"/>
        <v>1968</v>
      </c>
      <c r="AQ34">
        <f t="shared" si="5"/>
        <v>1969</v>
      </c>
      <c r="AR34">
        <f t="shared" si="5"/>
        <v>1970</v>
      </c>
      <c r="AS34">
        <f t="shared" si="5"/>
        <v>1971</v>
      </c>
      <c r="AT34">
        <f t="shared" si="5"/>
        <v>1972</v>
      </c>
      <c r="AU34">
        <f t="shared" si="5"/>
        <v>1973</v>
      </c>
      <c r="AV34">
        <f t="shared" si="5"/>
        <v>1974</v>
      </c>
      <c r="AW34">
        <f t="shared" si="5"/>
        <v>1975</v>
      </c>
      <c r="AX34">
        <f t="shared" si="5"/>
        <v>1976</v>
      </c>
      <c r="AY34">
        <f t="shared" si="5"/>
        <v>1977</v>
      </c>
      <c r="AZ34">
        <f t="shared" si="5"/>
        <v>1978</v>
      </c>
      <c r="BA34">
        <f t="shared" si="5"/>
        <v>1979</v>
      </c>
      <c r="BB34">
        <f t="shared" si="5"/>
        <v>1980</v>
      </c>
      <c r="BC34">
        <f t="shared" si="5"/>
        <v>1981</v>
      </c>
      <c r="BD34">
        <f t="shared" si="5"/>
        <v>1982</v>
      </c>
      <c r="BE34">
        <f t="shared" si="5"/>
        <v>1983</v>
      </c>
      <c r="BF34">
        <f t="shared" si="5"/>
        <v>1984</v>
      </c>
      <c r="BG34">
        <f t="shared" si="5"/>
        <v>1985</v>
      </c>
      <c r="BH34">
        <f t="shared" si="5"/>
        <v>1986</v>
      </c>
      <c r="BI34">
        <f t="shared" si="5"/>
        <v>1987</v>
      </c>
      <c r="BJ34">
        <f t="shared" si="5"/>
        <v>1988</v>
      </c>
      <c r="BK34">
        <f t="shared" si="5"/>
        <v>1989</v>
      </c>
      <c r="BL34">
        <f t="shared" si="5"/>
        <v>1990</v>
      </c>
      <c r="BM34">
        <f t="shared" si="5"/>
        <v>1991</v>
      </c>
      <c r="BN34">
        <f t="shared" si="5"/>
        <v>1992</v>
      </c>
      <c r="BO34">
        <f t="shared" si="5"/>
        <v>1993</v>
      </c>
      <c r="BP34">
        <f t="shared" si="5"/>
        <v>1994</v>
      </c>
      <c r="BQ34">
        <f t="shared" si="5"/>
        <v>1995</v>
      </c>
      <c r="BR34">
        <f t="shared" si="5"/>
        <v>1996</v>
      </c>
      <c r="BS34">
        <f t="shared" si="5"/>
        <v>1997</v>
      </c>
      <c r="BT34">
        <f t="shared" si="5"/>
        <v>1998</v>
      </c>
      <c r="BU34">
        <f t="shared" si="5"/>
        <v>1999</v>
      </c>
      <c r="BV34">
        <f t="shared" si="5"/>
        <v>2000</v>
      </c>
      <c r="BW34">
        <f t="shared" si="5"/>
        <v>2001</v>
      </c>
      <c r="BX34">
        <f t="shared" si="5"/>
        <v>2002</v>
      </c>
      <c r="BY34">
        <f t="shared" si="5"/>
        <v>2003</v>
      </c>
      <c r="BZ34">
        <f t="shared" si="5"/>
        <v>2004</v>
      </c>
      <c r="CA34">
        <f t="shared" si="5"/>
        <v>2005</v>
      </c>
      <c r="CB34">
        <f t="shared" si="5"/>
        <v>2006</v>
      </c>
      <c r="CC34">
        <f t="shared" si="5"/>
        <v>2007</v>
      </c>
      <c r="CD34">
        <f t="shared" si="5"/>
        <v>2008</v>
      </c>
      <c r="CE34">
        <f t="shared" si="5"/>
        <v>2009</v>
      </c>
      <c r="CF34">
        <f t="shared" si="5"/>
        <v>2010</v>
      </c>
      <c r="CG34">
        <f t="shared" si="5"/>
        <v>2011</v>
      </c>
      <c r="CH34">
        <f t="shared" si="5"/>
        <v>2012</v>
      </c>
      <c r="CI34">
        <f t="shared" si="5"/>
        <v>2013</v>
      </c>
      <c r="CJ34">
        <f t="shared" ref="CJ34:CT34" si="6">+CJ1</f>
        <v>2014</v>
      </c>
      <c r="CK34">
        <f t="shared" si="6"/>
        <v>2015</v>
      </c>
      <c r="CL34">
        <f t="shared" si="6"/>
        <v>2016</v>
      </c>
      <c r="CM34">
        <f t="shared" si="6"/>
        <v>2017</v>
      </c>
      <c r="CN34">
        <f t="shared" si="6"/>
        <v>2018</v>
      </c>
      <c r="CO34">
        <f t="shared" si="6"/>
        <v>2019</v>
      </c>
      <c r="CP34">
        <f t="shared" si="6"/>
        <v>2020</v>
      </c>
      <c r="CQ34">
        <f t="shared" si="6"/>
        <v>2021</v>
      </c>
      <c r="CR34">
        <f t="shared" si="6"/>
        <v>2022</v>
      </c>
      <c r="CS34">
        <f t="shared" si="6"/>
        <v>2023</v>
      </c>
      <c r="CT34">
        <f t="shared" si="6"/>
        <v>2024</v>
      </c>
    </row>
    <row r="35" spans="2:98">
      <c r="B35" t="s">
        <v>1835</v>
      </c>
      <c r="C35">
        <f t="shared" ref="C35:W35" si="7">+C8/C6</f>
        <v>0.11064278187565858</v>
      </c>
      <c r="D35">
        <f t="shared" si="7"/>
        <v>9.0997514319680103E-2</v>
      </c>
      <c r="E35">
        <f t="shared" si="7"/>
        <v>0.10198648371902519</v>
      </c>
      <c r="F35">
        <f t="shared" si="7"/>
        <v>0.2298919567827131</v>
      </c>
      <c r="G35">
        <f t="shared" si="7"/>
        <v>0.37240886347390995</v>
      </c>
      <c r="H35">
        <f t="shared" si="7"/>
        <v>0.17460689978878197</v>
      </c>
      <c r="I35">
        <f t="shared" si="7"/>
        <v>0.1653337969401947</v>
      </c>
      <c r="J35">
        <f t="shared" si="7"/>
        <v>0.17976524623628476</v>
      </c>
      <c r="K35">
        <f t="shared" si="7"/>
        <v>0.17825777355803465</v>
      </c>
      <c r="L35">
        <f t="shared" si="7"/>
        <v>0.1623284429720776</v>
      </c>
      <c r="M35">
        <f t="shared" si="7"/>
        <v>0.18166918809884014</v>
      </c>
      <c r="N35">
        <f t="shared" si="7"/>
        <v>0.25593786688341008</v>
      </c>
      <c r="O35">
        <f t="shared" si="7"/>
        <v>0.45511632079421088</v>
      </c>
      <c r="P35">
        <f t="shared" si="7"/>
        <v>0.52314390467461047</v>
      </c>
      <c r="Q35">
        <f t="shared" si="7"/>
        <v>0.54174525578351751</v>
      </c>
      <c r="R35">
        <f t="shared" si="7"/>
        <v>0.49971056998417784</v>
      </c>
      <c r="S35">
        <f t="shared" si="7"/>
        <v>0.49804305283757339</v>
      </c>
      <c r="T35">
        <f t="shared" si="7"/>
        <v>0.50079762363166291</v>
      </c>
      <c r="U35">
        <f t="shared" si="7"/>
        <v>0.46548282458620976</v>
      </c>
      <c r="V35">
        <f t="shared" si="7"/>
        <v>0.39895816376363341</v>
      </c>
      <c r="W35">
        <f t="shared" si="7"/>
        <v>0.35195668225449178</v>
      </c>
      <c r="X35">
        <f t="shared" ref="X35:CI35" si="8">+X8/X6</f>
        <v>0.5014851065033521</v>
      </c>
      <c r="Y35">
        <f t="shared" si="8"/>
        <v>0.55415041367487394</v>
      </c>
      <c r="Z35">
        <f t="shared" si="8"/>
        <v>0.49544924154025671</v>
      </c>
      <c r="AA35">
        <f t="shared" si="8"/>
        <v>0.50579493292079836</v>
      </c>
      <c r="AB35">
        <f t="shared" si="8"/>
        <v>0.452053366687513</v>
      </c>
      <c r="AC35">
        <f t="shared" si="8"/>
        <v>0.44423829717827434</v>
      </c>
      <c r="AD35">
        <f t="shared" si="8"/>
        <v>0.44727792509115016</v>
      </c>
      <c r="AE35">
        <f t="shared" si="8"/>
        <v>0.43692063027056438</v>
      </c>
      <c r="AF35">
        <f t="shared" si="8"/>
        <v>0.42565961081230813</v>
      </c>
      <c r="AG35">
        <f t="shared" si="8"/>
        <v>0.42264374629519857</v>
      </c>
      <c r="AH35">
        <f t="shared" si="8"/>
        <v>0.41403382647848952</v>
      </c>
      <c r="AI35">
        <f t="shared" si="8"/>
        <v>0.40582332620496792</v>
      </c>
      <c r="AJ35">
        <f t="shared" si="8"/>
        <v>0.37046578566544219</v>
      </c>
      <c r="AK35">
        <f t="shared" si="8"/>
        <v>0.36885210319929385</v>
      </c>
      <c r="AL35">
        <f t="shared" si="8"/>
        <v>0.3459935939168251</v>
      </c>
      <c r="AM35">
        <f t="shared" si="8"/>
        <v>0.33463358701395057</v>
      </c>
      <c r="AN35">
        <f t="shared" si="8"/>
        <v>0.33301304900350248</v>
      </c>
      <c r="AO35">
        <f t="shared" si="8"/>
        <v>0.32193125512885767</v>
      </c>
      <c r="AP35">
        <f t="shared" si="8"/>
        <v>0.35703717936401191</v>
      </c>
      <c r="AQ35">
        <f t="shared" si="8"/>
        <v>0.35333033776613543</v>
      </c>
      <c r="AR35">
        <f t="shared" si="8"/>
        <v>0.32788312287620086</v>
      </c>
      <c r="AS35">
        <f t="shared" si="8"/>
        <v>0.31978832673385577</v>
      </c>
      <c r="AT35">
        <f t="shared" si="8"/>
        <v>0.31539813873969774</v>
      </c>
      <c r="AU35">
        <f t="shared" si="8"/>
        <v>0.33057324379342068</v>
      </c>
      <c r="AV35">
        <f t="shared" si="8"/>
        <v>0.34329508041833523</v>
      </c>
      <c r="AW35">
        <f t="shared" si="8"/>
        <v>0.28966778115882141</v>
      </c>
      <c r="AX35">
        <f t="shared" si="8"/>
        <v>0.31591707828010274</v>
      </c>
      <c r="AY35">
        <f t="shared" si="8"/>
        <v>0.31088863575509762</v>
      </c>
      <c r="AZ35">
        <f t="shared" si="8"/>
        <v>0.30624591879282809</v>
      </c>
      <c r="BA35">
        <f t="shared" si="8"/>
        <v>0.30868313496690919</v>
      </c>
      <c r="BB35">
        <f t="shared" si="8"/>
        <v>0.29064054582698023</v>
      </c>
      <c r="BC35">
        <f t="shared" si="8"/>
        <v>0.2230239786856128</v>
      </c>
      <c r="BD35">
        <f t="shared" si="8"/>
        <v>0.16566224203081098</v>
      </c>
      <c r="BE35">
        <f t="shared" si="8"/>
        <v>0.18648693420635165</v>
      </c>
      <c r="BF35">
        <f t="shared" si="8"/>
        <v>0.18733962420329442</v>
      </c>
      <c r="BG35">
        <f t="shared" si="8"/>
        <v>0.1814971233117387</v>
      </c>
      <c r="BH35">
        <f t="shared" si="8"/>
        <v>0.22194922788504282</v>
      </c>
      <c r="BI35">
        <f t="shared" si="8"/>
        <v>0.2545011121523818</v>
      </c>
      <c r="BJ35">
        <f t="shared" si="8"/>
        <v>0.25445677146683376</v>
      </c>
      <c r="BK35">
        <f t="shared" si="8"/>
        <v>0.24583352268124548</v>
      </c>
      <c r="BL35">
        <f t="shared" si="8"/>
        <v>0.24696504018230034</v>
      </c>
      <c r="BM35">
        <f t="shared" si="8"/>
        <v>0.24077226642251484</v>
      </c>
      <c r="BN35">
        <f t="shared" si="8"/>
        <v>0.26296547324774738</v>
      </c>
      <c r="BO35">
        <f t="shared" si="8"/>
        <v>0.28597013163549306</v>
      </c>
      <c r="BP35">
        <f t="shared" si="8"/>
        <v>0.27090788996813514</v>
      </c>
      <c r="BQ35">
        <f t="shared" si="8"/>
        <v>0.27342433932071736</v>
      </c>
      <c r="BR35">
        <f t="shared" si="8"/>
        <v>0.26698241891482266</v>
      </c>
      <c r="BS35">
        <f t="shared" si="8"/>
        <v>0.2555301270704225</v>
      </c>
      <c r="BT35">
        <f t="shared" si="8"/>
        <v>0.25170704139681777</v>
      </c>
      <c r="BU35">
        <f t="shared" si="8"/>
        <v>0.2542864555608737</v>
      </c>
      <c r="BV35">
        <f t="shared" si="8"/>
        <v>0.26260799136069113</v>
      </c>
      <c r="BW35">
        <f t="shared" si="8"/>
        <v>0.20480315074363134</v>
      </c>
      <c r="BX35">
        <f t="shared" si="8"/>
        <v>0.1758533056358777</v>
      </c>
      <c r="BY35">
        <f t="shared" si="8"/>
        <v>0.20809045421801686</v>
      </c>
      <c r="BZ35">
        <f t="shared" si="8"/>
        <v>0.23654450964355084</v>
      </c>
      <c r="CA35">
        <f t="shared" si="8"/>
        <v>0.27436350749832566</v>
      </c>
      <c r="CB35">
        <f t="shared" si="8"/>
        <v>0.27323758464294334</v>
      </c>
      <c r="CC35">
        <f t="shared" si="8"/>
        <v>0.27211165008084548</v>
      </c>
      <c r="CD35">
        <f t="shared" si="8"/>
        <v>0.20861293162476768</v>
      </c>
      <c r="CE35">
        <f t="shared" si="8"/>
        <v>0.15799549409956368</v>
      </c>
      <c r="CF35">
        <f t="shared" si="8"/>
        <v>0.17225852412923928</v>
      </c>
      <c r="CG35">
        <f t="shared" si="8"/>
        <v>0.16997036628961126</v>
      </c>
      <c r="CH35">
        <f t="shared" si="8"/>
        <v>0.18026297925345183</v>
      </c>
      <c r="CI35">
        <f t="shared" si="8"/>
        <v>0.19320108814148612</v>
      </c>
      <c r="CJ35">
        <f t="shared" ref="CJ35:CT35" si="9">+CJ8/CJ6</f>
        <v>0.19741821668115761</v>
      </c>
      <c r="CK35">
        <f t="shared" si="9"/>
        <v>0.18706230136805171</v>
      </c>
      <c r="CL35">
        <f t="shared" si="9"/>
        <v>0.17965925161487598</v>
      </c>
      <c r="CM35">
        <f t="shared" si="9"/>
        <v>0.14105557662630736</v>
      </c>
      <c r="CN35">
        <f t="shared" si="9"/>
        <v>0.13079511917750569</v>
      </c>
      <c r="CO35">
        <f t="shared" si="9"/>
        <v>0.12705142120862475</v>
      </c>
      <c r="CP35">
        <f t="shared" si="9"/>
        <v>0.13065731264942934</v>
      </c>
      <c r="CQ35">
        <f t="shared" si="9"/>
        <v>0.15124598035733813</v>
      </c>
      <c r="CR35">
        <f t="shared" si="9"/>
        <v>0.17923470522139173</v>
      </c>
      <c r="CS35">
        <f t="shared" si="9"/>
        <v>0.1739850846410857</v>
      </c>
      <c r="CT35">
        <f t="shared" si="9"/>
        <v>0.18469093212128221</v>
      </c>
    </row>
    <row r="36" spans="2:98">
      <c r="B36" t="s">
        <v>1837</v>
      </c>
      <c r="C36">
        <f t="shared" ref="C36:W36" si="10">+C14</f>
        <v>0.11</v>
      </c>
      <c r="D36">
        <f t="shared" si="10"/>
        <v>0.12</v>
      </c>
      <c r="E36">
        <f t="shared" si="10"/>
        <v>0.12</v>
      </c>
      <c r="F36">
        <f t="shared" si="10"/>
        <v>0.13750000000000001</v>
      </c>
      <c r="G36">
        <f t="shared" si="10"/>
        <v>0.13750000000000001</v>
      </c>
      <c r="H36">
        <f t="shared" si="10"/>
        <v>0.13750000000000001</v>
      </c>
      <c r="I36">
        <f t="shared" si="10"/>
        <v>0.13750000000000001</v>
      </c>
      <c r="J36">
        <f t="shared" si="10"/>
        <v>0.15</v>
      </c>
      <c r="K36">
        <f t="shared" si="10"/>
        <v>0.15</v>
      </c>
      <c r="L36">
        <f t="shared" si="10"/>
        <v>0.19</v>
      </c>
      <c r="M36">
        <f t="shared" si="10"/>
        <v>0.19</v>
      </c>
      <c r="N36">
        <f t="shared" si="10"/>
        <v>0.24</v>
      </c>
      <c r="O36">
        <f t="shared" si="10"/>
        <v>0.31</v>
      </c>
      <c r="P36">
        <f t="shared" si="10"/>
        <v>0.4</v>
      </c>
      <c r="Q36">
        <f t="shared" si="10"/>
        <v>0.4</v>
      </c>
      <c r="R36">
        <f t="shared" si="10"/>
        <v>0.4</v>
      </c>
      <c r="S36">
        <f t="shared" si="10"/>
        <v>0.4</v>
      </c>
      <c r="T36">
        <f t="shared" si="10"/>
        <v>0.38</v>
      </c>
      <c r="U36">
        <f t="shared" si="10"/>
        <v>0.38</v>
      </c>
      <c r="V36">
        <f t="shared" si="10"/>
        <v>0.38</v>
      </c>
      <c r="W36">
        <f t="shared" si="10"/>
        <v>0.38</v>
      </c>
      <c r="X36">
        <f t="shared" ref="X36:CI36" si="11">+X14</f>
        <v>0.42</v>
      </c>
      <c r="Y36">
        <f t="shared" si="11"/>
        <v>0.50749999999999995</v>
      </c>
      <c r="Z36">
        <f t="shared" si="11"/>
        <v>0.52</v>
      </c>
      <c r="AA36">
        <f t="shared" si="11"/>
        <v>0.52</v>
      </c>
      <c r="AB36">
        <f t="shared" si="11"/>
        <v>0.52</v>
      </c>
      <c r="AC36">
        <f t="shared" si="11"/>
        <v>0.52</v>
      </c>
      <c r="AD36">
        <f t="shared" si="11"/>
        <v>0.52</v>
      </c>
      <c r="AE36">
        <f t="shared" si="11"/>
        <v>0.52</v>
      </c>
      <c r="AF36">
        <f t="shared" si="11"/>
        <v>0.52</v>
      </c>
      <c r="AG36">
        <f t="shared" si="11"/>
        <v>0.52</v>
      </c>
      <c r="AH36">
        <f t="shared" si="11"/>
        <v>0.52</v>
      </c>
      <c r="AI36">
        <f t="shared" si="11"/>
        <v>0.52</v>
      </c>
      <c r="AJ36">
        <f t="shared" si="11"/>
        <v>0.52</v>
      </c>
      <c r="AK36">
        <f t="shared" si="11"/>
        <v>0.52</v>
      </c>
      <c r="AL36">
        <f t="shared" si="11"/>
        <v>0.5</v>
      </c>
      <c r="AM36">
        <f t="shared" si="11"/>
        <v>0.48</v>
      </c>
      <c r="AN36">
        <f t="shared" si="11"/>
        <v>0.48</v>
      </c>
      <c r="AO36">
        <f t="shared" si="11"/>
        <v>0.48</v>
      </c>
      <c r="AP36">
        <f t="shared" si="11"/>
        <v>0.52800000000000002</v>
      </c>
      <c r="AQ36">
        <f t="shared" si="11"/>
        <v>0.52800000000000002</v>
      </c>
      <c r="AR36">
        <f t="shared" si="11"/>
        <v>0.49199999999999999</v>
      </c>
      <c r="AS36">
        <f t="shared" si="11"/>
        <v>0.48</v>
      </c>
      <c r="AT36">
        <f t="shared" si="11"/>
        <v>0.48</v>
      </c>
      <c r="AU36">
        <f t="shared" si="11"/>
        <v>0.48</v>
      </c>
      <c r="AV36">
        <f t="shared" si="11"/>
        <v>0.48</v>
      </c>
      <c r="AW36">
        <f t="shared" si="11"/>
        <v>0.48</v>
      </c>
      <c r="AX36">
        <f t="shared" si="11"/>
        <v>0.48</v>
      </c>
      <c r="AY36">
        <f t="shared" si="11"/>
        <v>0.48</v>
      </c>
      <c r="AZ36">
        <f t="shared" si="11"/>
        <v>0.48</v>
      </c>
      <c r="BA36">
        <f t="shared" si="11"/>
        <v>0.46</v>
      </c>
      <c r="BB36">
        <f t="shared" si="11"/>
        <v>0.46</v>
      </c>
      <c r="BC36">
        <f t="shared" si="11"/>
        <v>0.46</v>
      </c>
      <c r="BD36">
        <f t="shared" si="11"/>
        <v>0.46</v>
      </c>
      <c r="BE36">
        <f t="shared" si="11"/>
        <v>0.46</v>
      </c>
      <c r="BF36">
        <f t="shared" si="11"/>
        <v>0.46</v>
      </c>
      <c r="BG36">
        <f t="shared" si="11"/>
        <v>0.46</v>
      </c>
      <c r="BH36">
        <f t="shared" si="11"/>
        <v>0.46</v>
      </c>
      <c r="BI36">
        <f t="shared" si="11"/>
        <v>0.4</v>
      </c>
      <c r="BJ36">
        <f t="shared" si="11"/>
        <v>0.34</v>
      </c>
      <c r="BK36">
        <f t="shared" si="11"/>
        <v>0.34</v>
      </c>
      <c r="BL36">
        <f t="shared" si="11"/>
        <v>0.34</v>
      </c>
      <c r="BM36">
        <f t="shared" si="11"/>
        <v>0.34</v>
      </c>
      <c r="BN36">
        <f t="shared" si="11"/>
        <v>0.34</v>
      </c>
      <c r="BO36">
        <f t="shared" si="11"/>
        <v>0.35</v>
      </c>
      <c r="BP36">
        <f t="shared" si="11"/>
        <v>0.35</v>
      </c>
      <c r="BQ36">
        <f t="shared" si="11"/>
        <v>0.35</v>
      </c>
      <c r="BR36">
        <f t="shared" si="11"/>
        <v>0.35</v>
      </c>
      <c r="BS36">
        <f t="shared" si="11"/>
        <v>0.35</v>
      </c>
      <c r="BT36">
        <f t="shared" si="11"/>
        <v>0.35</v>
      </c>
      <c r="BU36">
        <f t="shared" si="11"/>
        <v>0.35</v>
      </c>
      <c r="BV36">
        <f t="shared" si="11"/>
        <v>0.35</v>
      </c>
      <c r="BW36">
        <f t="shared" si="11"/>
        <v>0.35</v>
      </c>
      <c r="BX36">
        <f t="shared" si="11"/>
        <v>0.35</v>
      </c>
      <c r="BY36">
        <f t="shared" si="11"/>
        <v>0.35</v>
      </c>
      <c r="BZ36">
        <f t="shared" si="11"/>
        <v>0.35</v>
      </c>
      <c r="CA36">
        <f t="shared" si="11"/>
        <v>0.35</v>
      </c>
      <c r="CB36">
        <f t="shared" si="11"/>
        <v>0.35</v>
      </c>
      <c r="CC36">
        <f t="shared" si="11"/>
        <v>0.35</v>
      </c>
      <c r="CD36">
        <f t="shared" si="11"/>
        <v>0.35</v>
      </c>
      <c r="CE36">
        <f t="shared" si="11"/>
        <v>0.35</v>
      </c>
      <c r="CF36">
        <f t="shared" si="11"/>
        <v>0.35</v>
      </c>
      <c r="CG36">
        <f t="shared" si="11"/>
        <v>0.35</v>
      </c>
      <c r="CH36">
        <f t="shared" si="11"/>
        <v>0.35</v>
      </c>
      <c r="CI36">
        <f t="shared" si="11"/>
        <v>0.35</v>
      </c>
      <c r="CJ36">
        <f t="shared" ref="CJ36:CT36" si="12">+CJ14</f>
        <v>0.35</v>
      </c>
      <c r="CK36">
        <f t="shared" si="12"/>
        <v>0.35</v>
      </c>
      <c r="CL36">
        <f t="shared" si="12"/>
        <v>0.35</v>
      </c>
      <c r="CM36">
        <f t="shared" si="12"/>
        <v>0.35</v>
      </c>
      <c r="CN36">
        <f t="shared" si="12"/>
        <v>0.21</v>
      </c>
      <c r="CO36">
        <f t="shared" si="12"/>
        <v>0.21</v>
      </c>
      <c r="CP36">
        <f t="shared" si="12"/>
        <v>0.21</v>
      </c>
      <c r="CQ36">
        <f t="shared" si="12"/>
        <v>0.21</v>
      </c>
      <c r="CR36">
        <f t="shared" si="12"/>
        <v>0.21</v>
      </c>
      <c r="CS36">
        <f t="shared" si="12"/>
        <v>0.21</v>
      </c>
      <c r="CT36">
        <f t="shared" si="12"/>
        <v>0.21</v>
      </c>
    </row>
    <row r="37" spans="2:98">
      <c r="B37" t="s">
        <v>1836</v>
      </c>
      <c r="C37">
        <f t="shared" ref="C37:W37" si="13">+(C7+C8)/C6</f>
        <v>0.13941801086163572</v>
      </c>
      <c r="D37">
        <f t="shared" si="13"/>
        <v>0.12925537663460498</v>
      </c>
      <c r="E37">
        <f t="shared" si="13"/>
        <v>0.18513209092770838</v>
      </c>
      <c r="F37">
        <f t="shared" si="13"/>
        <v>0.48499399759903961</v>
      </c>
      <c r="G37">
        <f t="shared" si="13"/>
        <v>0.66118656182987845</v>
      </c>
      <c r="H37">
        <f t="shared" si="13"/>
        <v>0.2661347101619338</v>
      </c>
      <c r="I37">
        <f t="shared" si="13"/>
        <v>0.22931154381084839</v>
      </c>
      <c r="J37">
        <f t="shared" si="13"/>
        <v>0.22480224547078337</v>
      </c>
      <c r="K37">
        <f t="shared" si="13"/>
        <v>0.21884642772371232</v>
      </c>
      <c r="L37">
        <f t="shared" si="13"/>
        <v>0.21138980911815744</v>
      </c>
      <c r="M37">
        <f t="shared" si="13"/>
        <v>0.22302067574382248</v>
      </c>
      <c r="N37">
        <f t="shared" si="13"/>
        <v>0.28727535446581776</v>
      </c>
      <c r="O37">
        <f t="shared" si="13"/>
        <v>0.48017463070390526</v>
      </c>
      <c r="P37">
        <f t="shared" si="13"/>
        <v>0.54275893675527043</v>
      </c>
      <c r="Q37">
        <f t="shared" si="13"/>
        <v>0.56199237845952499</v>
      </c>
      <c r="R37">
        <f t="shared" si="13"/>
        <v>0.52564349940184463</v>
      </c>
      <c r="S37">
        <f t="shared" si="13"/>
        <v>0.53294194390084804</v>
      </c>
      <c r="T37">
        <f t="shared" si="13"/>
        <v>0.53226250068760661</v>
      </c>
      <c r="U37">
        <f t="shared" si="13"/>
        <v>0.49006071695916159</v>
      </c>
      <c r="V37">
        <f t="shared" si="13"/>
        <v>0.41774377340061858</v>
      </c>
      <c r="W37">
        <f t="shared" si="13"/>
        <v>0.37147076403783269</v>
      </c>
      <c r="X37">
        <f t="shared" ref="X37:CI37" si="14">+(X7+X8)/X6</f>
        <v>0.52111680009052075</v>
      </c>
      <c r="Y37">
        <f t="shared" si="14"/>
        <v>0.57941812218937117</v>
      </c>
      <c r="Z37">
        <f t="shared" si="14"/>
        <v>0.52236483858420846</v>
      </c>
      <c r="AA37">
        <f t="shared" si="14"/>
        <v>0.53067383530724554</v>
      </c>
      <c r="AB37">
        <f t="shared" si="14"/>
        <v>0.47078903481342504</v>
      </c>
      <c r="AC37">
        <f t="shared" si="14"/>
        <v>0.4665633664981243</v>
      </c>
      <c r="AD37">
        <f t="shared" si="14"/>
        <v>0.47686029168047728</v>
      </c>
      <c r="AE37">
        <f t="shared" si="14"/>
        <v>0.46991985603381531</v>
      </c>
      <c r="AF37">
        <f t="shared" si="14"/>
        <v>0.45871517277994506</v>
      </c>
      <c r="AG37">
        <f t="shared" si="14"/>
        <v>0.44822540011855366</v>
      </c>
      <c r="AH37">
        <f t="shared" si="14"/>
        <v>0.4424495818986719</v>
      </c>
      <c r="AI37">
        <f t="shared" si="14"/>
        <v>0.43598179525141195</v>
      </c>
      <c r="AJ37">
        <f t="shared" si="14"/>
        <v>0.39991730674427112</v>
      </c>
      <c r="AK37">
        <f t="shared" si="14"/>
        <v>0.40193028404404635</v>
      </c>
      <c r="AL37">
        <f t="shared" si="14"/>
        <v>0.38176089164344679</v>
      </c>
      <c r="AM37">
        <f t="shared" si="14"/>
        <v>0.36990905718493206</v>
      </c>
      <c r="AN37">
        <f t="shared" si="14"/>
        <v>0.36270650590459658</v>
      </c>
      <c r="AO37">
        <f t="shared" si="14"/>
        <v>0.3545170304043877</v>
      </c>
      <c r="AP37">
        <f t="shared" si="14"/>
        <v>0.39270823325967913</v>
      </c>
      <c r="AQ37">
        <f t="shared" si="14"/>
        <v>0.39431543322593904</v>
      </c>
      <c r="AR37">
        <f t="shared" si="14"/>
        <v>0.36716029701724212</v>
      </c>
      <c r="AS37">
        <f t="shared" si="14"/>
        <v>0.35114426672301485</v>
      </c>
      <c r="AT37">
        <f t="shared" si="14"/>
        <v>0.34676860050644343</v>
      </c>
      <c r="AU37">
        <f t="shared" si="14"/>
        <v>0.36537500271662354</v>
      </c>
      <c r="AV37">
        <f t="shared" si="14"/>
        <v>0.38895147282201858</v>
      </c>
      <c r="AW37">
        <f t="shared" si="14"/>
        <v>0.34130383059719249</v>
      </c>
      <c r="AX37">
        <f t="shared" si="14"/>
        <v>0.35624013058203646</v>
      </c>
      <c r="AY37">
        <f t="shared" si="14"/>
        <v>0.33814539662081516</v>
      </c>
      <c r="AZ37">
        <f t="shared" si="14"/>
        <v>0.33734570086619936</v>
      </c>
      <c r="BA37">
        <f t="shared" si="14"/>
        <v>0.35006289356268139</v>
      </c>
      <c r="BB37">
        <f t="shared" si="14"/>
        <v>0.33701427713348425</v>
      </c>
      <c r="BC37">
        <f t="shared" si="14"/>
        <v>0.26828850545546817</v>
      </c>
      <c r="BD37">
        <f t="shared" si="14"/>
        <v>0.21937796725123535</v>
      </c>
      <c r="BE37">
        <f t="shared" si="14"/>
        <v>0.24119845349970098</v>
      </c>
      <c r="BF37">
        <f t="shared" si="14"/>
        <v>0.24919984548740445</v>
      </c>
      <c r="BG37">
        <f t="shared" si="14"/>
        <v>0.25016846473582727</v>
      </c>
      <c r="BH37">
        <f t="shared" si="14"/>
        <v>0.2927006629172223</v>
      </c>
      <c r="BI37">
        <f t="shared" si="14"/>
        <v>0.31076360269626385</v>
      </c>
      <c r="BJ37">
        <f t="shared" si="14"/>
        <v>0.30841309039679909</v>
      </c>
      <c r="BK37">
        <f t="shared" si="14"/>
        <v>0.31227982130825904</v>
      </c>
      <c r="BL37">
        <f t="shared" si="14"/>
        <v>0.31587707703161871</v>
      </c>
      <c r="BM37">
        <f t="shared" si="14"/>
        <v>0.30954624136289044</v>
      </c>
      <c r="BN37">
        <f t="shared" si="14"/>
        <v>0.3306554501235946</v>
      </c>
      <c r="BO37">
        <f t="shared" si="14"/>
        <v>0.34453012750401618</v>
      </c>
      <c r="BP37">
        <f t="shared" si="14"/>
        <v>0.32142571374331441</v>
      </c>
      <c r="BQ37">
        <f t="shared" si="14"/>
        <v>0.32530703271547129</v>
      </c>
      <c r="BR37">
        <f t="shared" si="14"/>
        <v>0.32223274729716078</v>
      </c>
      <c r="BS37">
        <f t="shared" si="14"/>
        <v>0.29460283245281044</v>
      </c>
      <c r="BT37">
        <f t="shared" si="14"/>
        <v>0.31165009651578579</v>
      </c>
      <c r="BU37">
        <f t="shared" si="14"/>
        <v>0.31450148286983398</v>
      </c>
      <c r="BV37">
        <f t="shared" si="14"/>
        <v>0.34405822534197267</v>
      </c>
      <c r="BW37">
        <f t="shared" si="14"/>
        <v>0.3068953812524976</v>
      </c>
      <c r="BX37">
        <f t="shared" si="14"/>
        <v>0.24328486278595834</v>
      </c>
      <c r="BY37">
        <f t="shared" si="14"/>
        <v>0.25707318497751297</v>
      </c>
      <c r="BZ37">
        <f t="shared" si="14"/>
        <v>0.28291967430455939</v>
      </c>
      <c r="CA37">
        <f t="shared" si="14"/>
        <v>0.3144586156148107</v>
      </c>
      <c r="CB37">
        <f t="shared" si="14"/>
        <v>0.30280195139303545</v>
      </c>
      <c r="CC37">
        <f t="shared" si="14"/>
        <v>0.31959099420468629</v>
      </c>
      <c r="CD37">
        <f t="shared" si="14"/>
        <v>0.28590514852130816</v>
      </c>
      <c r="CE37">
        <f t="shared" si="14"/>
        <v>0.23279607546608488</v>
      </c>
      <c r="CF37">
        <f t="shared" si="14"/>
        <v>0.23468276041838018</v>
      </c>
      <c r="CG37">
        <f t="shared" si="14"/>
        <v>0.23465116067888137</v>
      </c>
      <c r="CH37">
        <f t="shared" si="14"/>
        <v>0.2089012755668288</v>
      </c>
      <c r="CI37">
        <f t="shared" si="14"/>
        <v>0.22792384715482347</v>
      </c>
      <c r="CJ37">
        <f t="shared" ref="CJ37:CT37" si="15">+(CJ7+CJ8)/CJ6</f>
        <v>0.24448001412867967</v>
      </c>
      <c r="CK37">
        <f t="shared" si="15"/>
        <v>0.24430749760343029</v>
      </c>
      <c r="CL37">
        <f t="shared" si="15"/>
        <v>0.24514629438520047</v>
      </c>
      <c r="CM37">
        <f t="shared" si="15"/>
        <v>0.19397254135576758</v>
      </c>
      <c r="CN37">
        <f t="shared" si="15"/>
        <v>0.18673319375310307</v>
      </c>
      <c r="CO37">
        <f t="shared" si="15"/>
        <v>0.18529128481842499</v>
      </c>
      <c r="CP37">
        <f t="shared" si="15"/>
        <v>0.1833643883121269</v>
      </c>
      <c r="CQ37">
        <f t="shared" si="15"/>
        <v>0.20029683018777847</v>
      </c>
      <c r="CR37">
        <f t="shared" si="15"/>
        <v>0.2379227244171801</v>
      </c>
      <c r="CS37">
        <f t="shared" si="15"/>
        <v>0.23389571509825313</v>
      </c>
      <c r="CT37">
        <f t="shared" si="15"/>
        <v>0.25290735632614514</v>
      </c>
    </row>
    <row r="38" spans="2:98">
      <c r="B38" t="s">
        <v>1838</v>
      </c>
      <c r="C38">
        <f>+(C5+C7)/C2</f>
        <v>6.1197679086231437E-2</v>
      </c>
      <c r="D38">
        <f t="shared" ref="D38:BO38" si="16">+(D5+D7)/D2</f>
        <v>7.038482294823363E-2</v>
      </c>
      <c r="E38">
        <f t="shared" si="16"/>
        <v>8.5821487079215775E-2</v>
      </c>
      <c r="F38">
        <f t="shared" si="16"/>
        <v>0.12084993359893759</v>
      </c>
      <c r="G38">
        <f t="shared" si="16"/>
        <v>0.14403184997767524</v>
      </c>
      <c r="H38">
        <f t="shared" si="16"/>
        <v>0.13373134328358208</v>
      </c>
      <c r="I38">
        <f t="shared" si="16"/>
        <v>0.12175949605620912</v>
      </c>
      <c r="J38">
        <f t="shared" si="16"/>
        <v>0.11040632899541242</v>
      </c>
      <c r="K38">
        <f t="shared" si="16"/>
        <v>0.10267072136370219</v>
      </c>
      <c r="L38">
        <f t="shared" si="16"/>
        <v>0.11362790697674419</v>
      </c>
      <c r="M38">
        <f t="shared" si="16"/>
        <v>0.10732624727933562</v>
      </c>
      <c r="N38">
        <f t="shared" si="16"/>
        <v>0.10133998706219388</v>
      </c>
      <c r="O38">
        <f t="shared" si="16"/>
        <v>9.2502322921878349E-2</v>
      </c>
      <c r="P38">
        <f t="shared" si="16"/>
        <v>7.8293971055579684E-2</v>
      </c>
      <c r="Q38">
        <f t="shared" si="16"/>
        <v>7.0891556019404348E-2</v>
      </c>
      <c r="R38">
        <f t="shared" si="16"/>
        <v>7.6473439859787815E-2</v>
      </c>
      <c r="S38">
        <f t="shared" si="16"/>
        <v>8.9971335336884187E-2</v>
      </c>
      <c r="T38">
        <f t="shared" si="16"/>
        <v>9.7781810277202827E-2</v>
      </c>
      <c r="U38">
        <f t="shared" si="16"/>
        <v>9.5025215092978205E-2</v>
      </c>
      <c r="V38">
        <f t="shared" si="16"/>
        <v>9.1234604246112974E-2</v>
      </c>
      <c r="W38">
        <f t="shared" si="16"/>
        <v>9.736963544070143E-2</v>
      </c>
      <c r="X38">
        <f t="shared" si="16"/>
        <v>9.5704257497810183E-2</v>
      </c>
      <c r="Y38">
        <f t="shared" si="16"/>
        <v>9.0800953759869962E-2</v>
      </c>
      <c r="Z38">
        <f t="shared" si="16"/>
        <v>9.4186958728791403E-2</v>
      </c>
      <c r="AA38">
        <f t="shared" si="16"/>
        <v>9.2975562184488297E-2</v>
      </c>
      <c r="AB38">
        <f t="shared" si="16"/>
        <v>9.0184419790684742E-2</v>
      </c>
      <c r="AC38">
        <f t="shared" si="16"/>
        <v>8.9735723082072158E-2</v>
      </c>
      <c r="AD38">
        <f t="shared" si="16"/>
        <v>9.1764545916265747E-2</v>
      </c>
      <c r="AE38">
        <f t="shared" si="16"/>
        <v>9.319310099709166E-2</v>
      </c>
      <c r="AF38">
        <f t="shared" si="16"/>
        <v>9.566212801414159E-2</v>
      </c>
      <c r="AG38">
        <f t="shared" si="16"/>
        <v>9.370107776765027E-2</v>
      </c>
      <c r="AH38">
        <f t="shared" si="16"/>
        <v>9.7859469986227784E-2</v>
      </c>
      <c r="AI38">
        <f t="shared" si="16"/>
        <v>9.9083662370558004E-2</v>
      </c>
      <c r="AJ38">
        <f t="shared" si="16"/>
        <v>9.8484893585354963E-2</v>
      </c>
      <c r="AK38">
        <f t="shared" si="16"/>
        <v>9.9215921110806404E-2</v>
      </c>
      <c r="AL38">
        <f t="shared" si="16"/>
        <v>9.9318102916716319E-2</v>
      </c>
      <c r="AM38">
        <f t="shared" si="16"/>
        <v>9.6640450048020535E-2</v>
      </c>
      <c r="AN38">
        <f t="shared" si="16"/>
        <v>8.9847126362639487E-2</v>
      </c>
      <c r="AO38">
        <f t="shared" si="16"/>
        <v>9.0652561628105838E-2</v>
      </c>
      <c r="AP38">
        <f t="shared" si="16"/>
        <v>9.5109673111226298E-2</v>
      </c>
      <c r="AQ38">
        <f t="shared" si="16"/>
        <v>9.6813188115526375E-2</v>
      </c>
      <c r="AR38">
        <f t="shared" si="16"/>
        <v>9.9178765190883589E-2</v>
      </c>
      <c r="AS38">
        <f t="shared" si="16"/>
        <v>0.10019034016116879</v>
      </c>
      <c r="AT38">
        <f t="shared" si="16"/>
        <v>9.7120761029441866E-2</v>
      </c>
      <c r="AU38">
        <f t="shared" si="16"/>
        <v>9.6230468368999081E-2</v>
      </c>
      <c r="AV38">
        <f t="shared" si="16"/>
        <v>9.5445148772621655E-2</v>
      </c>
      <c r="AW38">
        <f t="shared" si="16"/>
        <v>9.605455985997545E-2</v>
      </c>
      <c r="AX38">
        <f t="shared" si="16"/>
        <v>9.1047798783785272E-2</v>
      </c>
      <c r="AY38">
        <f t="shared" si="16"/>
        <v>8.6022203308833367E-2</v>
      </c>
      <c r="AZ38">
        <f t="shared" si="16"/>
        <v>8.2883523232093484E-2</v>
      </c>
      <c r="BA38">
        <f t="shared" si="16"/>
        <v>8.0436985211157316E-2</v>
      </c>
      <c r="BB38">
        <f t="shared" si="16"/>
        <v>8.2600780906271862E-2</v>
      </c>
      <c r="BC38">
        <f t="shared" si="16"/>
        <v>8.7164686610201894E-2</v>
      </c>
      <c r="BD38">
        <f t="shared" si="16"/>
        <v>8.8148263741816585E-2</v>
      </c>
      <c r="BE38">
        <f t="shared" si="16"/>
        <v>9.0646338196343865E-2</v>
      </c>
      <c r="BF38">
        <f t="shared" si="16"/>
        <v>9.1394406962116037E-2</v>
      </c>
      <c r="BG38">
        <f t="shared" si="16"/>
        <v>9.2226656000996346E-2</v>
      </c>
      <c r="BH38">
        <f t="shared" si="16"/>
        <v>9.1957874545768911E-2</v>
      </c>
      <c r="BI38">
        <f t="shared" si="16"/>
        <v>8.9212136368173753E-2</v>
      </c>
      <c r="BJ38">
        <f t="shared" si="16"/>
        <v>8.8579386654795159E-2</v>
      </c>
      <c r="BK38">
        <f t="shared" si="16"/>
        <v>9.0711043818240578E-2</v>
      </c>
      <c r="BL38">
        <f t="shared" si="16"/>
        <v>9.1845754736707017E-2</v>
      </c>
      <c r="BM38">
        <f t="shared" si="16"/>
        <v>9.6094828898215509E-2</v>
      </c>
      <c r="BN38">
        <f t="shared" si="16"/>
        <v>9.6156040364849496E-2</v>
      </c>
      <c r="BO38">
        <f t="shared" si="16"/>
        <v>9.5820650020171663E-2</v>
      </c>
      <c r="BP38">
        <f t="shared" ref="BP38:CT38" si="17">+(BP5+BP7)/BP2</f>
        <v>9.6983077538814536E-2</v>
      </c>
      <c r="BQ38">
        <f t="shared" si="17"/>
        <v>9.4239413602155639E-2</v>
      </c>
      <c r="BR38">
        <f t="shared" si="17"/>
        <v>9.2692242786211493E-2</v>
      </c>
      <c r="BS38">
        <f t="shared" si="17"/>
        <v>8.7747129485136938E-2</v>
      </c>
      <c r="BT38">
        <f t="shared" si="17"/>
        <v>8.8337157769023567E-2</v>
      </c>
      <c r="BU38">
        <f t="shared" si="17"/>
        <v>8.7512006509411058E-2</v>
      </c>
      <c r="BV38">
        <f t="shared" si="17"/>
        <v>8.8816622400537948E-2</v>
      </c>
      <c r="BW38">
        <f t="shared" si="17"/>
        <v>8.9354081430137358E-2</v>
      </c>
      <c r="BX38">
        <f t="shared" si="17"/>
        <v>8.8772953732134743E-2</v>
      </c>
      <c r="BY38">
        <f t="shared" si="17"/>
        <v>8.8060751423382558E-2</v>
      </c>
      <c r="BZ38">
        <f t="shared" si="17"/>
        <v>8.9651333734099156E-2</v>
      </c>
      <c r="CA38">
        <f t="shared" si="17"/>
        <v>8.9742704263066672E-2</v>
      </c>
      <c r="CB38">
        <f t="shared" si="17"/>
        <v>8.7313165903546458E-2</v>
      </c>
      <c r="CC38">
        <f t="shared" si="17"/>
        <v>9.0819437563740529E-2</v>
      </c>
      <c r="CD38">
        <f t="shared" si="17"/>
        <v>9.6164556281407285E-2</v>
      </c>
      <c r="CE38">
        <f t="shared" si="17"/>
        <v>9.6196953003305344E-2</v>
      </c>
      <c r="CF38">
        <f t="shared" si="17"/>
        <v>9.5133393355244247E-2</v>
      </c>
      <c r="CG38">
        <f t="shared" si="17"/>
        <v>9.5733816814147804E-2</v>
      </c>
      <c r="CH38">
        <f t="shared" si="17"/>
        <v>8.6804722130840728E-2</v>
      </c>
      <c r="CI38">
        <f t="shared" si="17"/>
        <v>8.9013138603698597E-2</v>
      </c>
      <c r="CJ38">
        <f t="shared" si="17"/>
        <v>9.0571633219569139E-2</v>
      </c>
      <c r="CK38">
        <f t="shared" si="17"/>
        <v>9.1144737496894515E-2</v>
      </c>
      <c r="CL38">
        <f t="shared" si="17"/>
        <v>9.2545719060640283E-2</v>
      </c>
      <c r="CM38">
        <f t="shared" si="17"/>
        <v>8.9475664625203774E-2</v>
      </c>
      <c r="CN38">
        <f t="shared" si="17"/>
        <v>9.1161765390291527E-2</v>
      </c>
      <c r="CO38">
        <f t="shared" si="17"/>
        <v>9.1592691733976314E-2</v>
      </c>
      <c r="CP38">
        <f t="shared" si="17"/>
        <v>5.8195273451370967E-2</v>
      </c>
      <c r="CQ38">
        <f t="shared" si="17"/>
        <v>6.6357431924117527E-2</v>
      </c>
      <c r="CR38">
        <f t="shared" si="17"/>
        <v>8.983815929909536E-2</v>
      </c>
      <c r="CS38">
        <f t="shared" si="17"/>
        <v>8.716980504935902E-2</v>
      </c>
      <c r="CT38">
        <f t="shared" si="17"/>
        <v>8.8558870576571219E-2</v>
      </c>
    </row>
    <row r="41" spans="2:98">
      <c r="B41" t="s">
        <v>1847</v>
      </c>
      <c r="C41">
        <f>(C9-C3)/C11</f>
        <v>2.7637337760338061E-2</v>
      </c>
      <c r="D41">
        <f t="shared" ref="D41:BO41" si="18">(D9-D3)/D11</f>
        <v>1.6630019215150255E-2</v>
      </c>
      <c r="E41">
        <f t="shared" si="18"/>
        <v>-4.0882894200359237E-3</v>
      </c>
      <c r="F41">
        <f t="shared" si="18"/>
        <v>-1.8325132453066186E-2</v>
      </c>
      <c r="G41">
        <f t="shared" si="18"/>
        <v>-1.7783857729138167E-2</v>
      </c>
      <c r="H41">
        <f t="shared" si="18"/>
        <v>-1.1745856098854231E-2</v>
      </c>
      <c r="I41">
        <f t="shared" si="18"/>
        <v>-7.0677109885526257E-3</v>
      </c>
      <c r="J41">
        <f t="shared" si="18"/>
        <v>3.6870437283386182E-3</v>
      </c>
      <c r="K41">
        <f t="shared" si="18"/>
        <v>1.2166983462253891E-2</v>
      </c>
      <c r="L41">
        <f t="shared" si="18"/>
        <v>-1.9331818322039301E-3</v>
      </c>
      <c r="M41">
        <f t="shared" si="18"/>
        <v>1.7971470290913175E-3</v>
      </c>
      <c r="N41">
        <f t="shared" si="18"/>
        <v>1.119083984131101E-2</v>
      </c>
      <c r="O41">
        <f t="shared" si="18"/>
        <v>1.7622502053107034E-2</v>
      </c>
      <c r="P41">
        <f t="shared" si="18"/>
        <v>-2.0117486118934576E-3</v>
      </c>
      <c r="Q41">
        <f t="shared" si="18"/>
        <v>-9.8020434227330776E-3</v>
      </c>
      <c r="R41">
        <f t="shared" si="18"/>
        <v>-2.3669199270988663E-5</v>
      </c>
      <c r="S41">
        <f t="shared" si="18"/>
        <v>1.5688753519912647E-2</v>
      </c>
      <c r="T41">
        <f t="shared" si="18"/>
        <v>3.5092304402575492E-2</v>
      </c>
      <c r="U41">
        <f t="shared" si="18"/>
        <v>4.05584510059891E-2</v>
      </c>
      <c r="V41">
        <f t="shared" si="18"/>
        <v>3.7939009843290447E-2</v>
      </c>
      <c r="W41">
        <f t="shared" si="18"/>
        <v>2.5129874194154096E-2</v>
      </c>
      <c r="X41">
        <f t="shared" si="18"/>
        <v>2.6034752867171336E-2</v>
      </c>
      <c r="Y41">
        <f t="shared" si="18"/>
        <v>3.1740555459720543E-2</v>
      </c>
      <c r="Z41">
        <f t="shared" si="18"/>
        <v>3.1864749837106458E-2</v>
      </c>
      <c r="AA41">
        <f t="shared" si="18"/>
        <v>3.5612122490409841E-2</v>
      </c>
      <c r="AB41">
        <f t="shared" si="18"/>
        <v>3.0497920668966023E-2</v>
      </c>
      <c r="AC41">
        <f t="shared" si="18"/>
        <v>3.3088640970096811E-2</v>
      </c>
      <c r="AD41">
        <f t="shared" si="18"/>
        <v>3.9932996398948428E-2</v>
      </c>
      <c r="AE41">
        <f t="shared" si="18"/>
        <v>3.8282097561212924E-2</v>
      </c>
      <c r="AF41">
        <f t="shared" si="18"/>
        <v>2.1378367825068332E-2</v>
      </c>
      <c r="AG41">
        <f t="shared" si="18"/>
        <v>2.6268966257591644E-2</v>
      </c>
      <c r="AH41">
        <f t="shared" si="18"/>
        <v>3.128877898101113E-2</v>
      </c>
      <c r="AI41">
        <f t="shared" si="18"/>
        <v>2.8209047914775714E-2</v>
      </c>
      <c r="AJ41">
        <f t="shared" si="18"/>
        <v>3.1614172319177389E-2</v>
      </c>
      <c r="AK41">
        <f t="shared" si="18"/>
        <v>3.3096888340610642E-2</v>
      </c>
      <c r="AL41">
        <f t="shared" si="18"/>
        <v>3.9203567171427312E-2</v>
      </c>
      <c r="AM41">
        <f t="shared" si="18"/>
        <v>5.0327819796767856E-2</v>
      </c>
      <c r="AN41">
        <f t="shared" si="18"/>
        <v>5.716333602940693E-2</v>
      </c>
      <c r="AO41">
        <f t="shared" si="18"/>
        <v>4.9636959503706023E-2</v>
      </c>
      <c r="AP41">
        <f t="shared" si="18"/>
        <v>4.8786344488810217E-2</v>
      </c>
      <c r="AQ41">
        <f t="shared" si="18"/>
        <v>4.8738490764016838E-2</v>
      </c>
      <c r="AR41">
        <f t="shared" si="18"/>
        <v>4.1143444567452156E-2</v>
      </c>
      <c r="AS41">
        <f t="shared" si="18"/>
        <v>3.5865880056375116E-2</v>
      </c>
      <c r="AT41">
        <f t="shared" si="18"/>
        <v>3.9805686798300238E-2</v>
      </c>
      <c r="AU41">
        <f t="shared" si="18"/>
        <v>4.5162073059045266E-2</v>
      </c>
      <c r="AV41">
        <f t="shared" si="18"/>
        <v>3.9778188233654421E-2</v>
      </c>
      <c r="AW41">
        <f t="shared" si="18"/>
        <v>2.7288505982633455E-2</v>
      </c>
      <c r="AX41">
        <f t="shared" si="18"/>
        <v>2.8980635169172281E-2</v>
      </c>
      <c r="AY41">
        <f t="shared" si="18"/>
        <v>3.4953222055823616E-2</v>
      </c>
      <c r="AZ41">
        <f t="shared" si="18"/>
        <v>4.2613379960099632E-2</v>
      </c>
      <c r="BA41">
        <f t="shared" si="18"/>
        <v>4.5689519662208751E-2</v>
      </c>
      <c r="BB41">
        <f t="shared" si="18"/>
        <v>4.0577738532650579E-2</v>
      </c>
      <c r="BC41">
        <f t="shared" si="18"/>
        <v>4.0670508701976804E-2</v>
      </c>
      <c r="BD41">
        <f t="shared" si="18"/>
        <v>3.3375917163244555E-2</v>
      </c>
      <c r="BE41">
        <f t="shared" si="18"/>
        <v>2.9445370408011165E-2</v>
      </c>
      <c r="BF41">
        <f t="shared" si="18"/>
        <v>4.0551892864436348E-2</v>
      </c>
      <c r="BG41">
        <f t="shared" si="18"/>
        <v>4.0809318839053588E-2</v>
      </c>
      <c r="BH41">
        <f t="shared" si="18"/>
        <v>3.3884145079481683E-2</v>
      </c>
      <c r="BI41">
        <f t="shared" si="18"/>
        <v>2.7104216480051815E-2</v>
      </c>
      <c r="BJ41">
        <f t="shared" si="18"/>
        <v>2.6931324284652676E-2</v>
      </c>
      <c r="BK41">
        <f t="shared" si="18"/>
        <v>2.9481244833499894E-2</v>
      </c>
      <c r="BL41">
        <f t="shared" si="18"/>
        <v>2.8957448394339721E-2</v>
      </c>
      <c r="BM41">
        <f t="shared" si="18"/>
        <v>2.2126677349621138E-2</v>
      </c>
      <c r="BN41">
        <f t="shared" si="18"/>
        <v>2.2397477530354933E-2</v>
      </c>
      <c r="BO41">
        <f t="shared" si="18"/>
        <v>2.5332494713951898E-2</v>
      </c>
      <c r="BP41">
        <f t="shared" ref="BP41:CT41" si="19">(BP9-BP3)/BP11</f>
        <v>2.8816326669463401E-2</v>
      </c>
      <c r="BQ41">
        <f t="shared" si="19"/>
        <v>3.3261769358196434E-2</v>
      </c>
      <c r="BR41">
        <f t="shared" si="19"/>
        <v>3.6622202171048258E-2</v>
      </c>
      <c r="BS41">
        <f t="shared" si="19"/>
        <v>4.0057514396942627E-2</v>
      </c>
      <c r="BT41">
        <f t="shared" si="19"/>
        <v>4.2407428833693396E-2</v>
      </c>
      <c r="BU41">
        <f t="shared" si="19"/>
        <v>4.4480743697177874E-2</v>
      </c>
      <c r="BV41">
        <f t="shared" si="19"/>
        <v>4.6033601798969134E-2</v>
      </c>
      <c r="BW41">
        <f t="shared" si="19"/>
        <v>3.4406028008613226E-2</v>
      </c>
      <c r="BX41">
        <f t="shared" si="19"/>
        <v>1.8827752181847707E-2</v>
      </c>
      <c r="BY41">
        <f t="shared" si="19"/>
        <v>1.8339177282537152E-2</v>
      </c>
      <c r="BZ41">
        <f t="shared" si="19"/>
        <v>2.0033013273204298E-2</v>
      </c>
      <c r="CA41">
        <f t="shared" si="19"/>
        <v>2.3578512329322742E-2</v>
      </c>
      <c r="CB41">
        <f t="shared" si="19"/>
        <v>2.6512814578375413E-2</v>
      </c>
      <c r="CC41">
        <f t="shared" si="19"/>
        <v>2.8737551166525623E-2</v>
      </c>
      <c r="CD41">
        <f t="shared" si="19"/>
        <v>2.3785286741881871E-2</v>
      </c>
      <c r="CE41">
        <f t="shared" si="19"/>
        <v>6.0402690255400128E-3</v>
      </c>
      <c r="CF41">
        <f t="shared" si="19"/>
        <v>9.2103795910444437E-3</v>
      </c>
      <c r="CG41">
        <f t="shared" si="19"/>
        <v>1.5401497458103777E-2</v>
      </c>
      <c r="CH41">
        <f t="shared" si="19"/>
        <v>2.1859588080737881E-2</v>
      </c>
      <c r="CI41">
        <f t="shared" si="19"/>
        <v>2.0654309706349603E-2</v>
      </c>
      <c r="CJ41">
        <f t="shared" si="19"/>
        <v>2.6331739212110961E-2</v>
      </c>
      <c r="CK41">
        <f t="shared" si="19"/>
        <v>2.5412545927211594E-2</v>
      </c>
      <c r="CL41">
        <f t="shared" si="19"/>
        <v>2.4560892655916024E-2</v>
      </c>
      <c r="CM41">
        <f t="shared" si="19"/>
        <v>2.4564145756575517E-2</v>
      </c>
      <c r="CN41">
        <f t="shared" si="19"/>
        <v>2.8352445660528178E-2</v>
      </c>
      <c r="CO41">
        <f t="shared" si="19"/>
        <v>2.6290685877896111E-2</v>
      </c>
      <c r="CP41">
        <f t="shared" si="19"/>
        <v>1.7672307046270139E-2</v>
      </c>
      <c r="CQ41">
        <f t="shared" si="19"/>
        <v>2.0274923564158311E-2</v>
      </c>
      <c r="CR41">
        <f t="shared" si="19"/>
        <v>2.2426175904720725E-2</v>
      </c>
      <c r="CS41">
        <f t="shared" si="19"/>
        <v>2.7022112991773227E-2</v>
      </c>
      <c r="CT41">
        <f t="shared" si="19"/>
        <v>2.626344390155437E-2</v>
      </c>
    </row>
    <row r="42" spans="2:98">
      <c r="B42" t="s">
        <v>1848</v>
      </c>
      <c r="C42">
        <f>C12/C11 - 1</f>
        <v>0.54919569208411434</v>
      </c>
      <c r="D42">
        <f t="shared" ref="D42:BO42" si="20">D12/D11 - 1</f>
        <v>0.30999635940485049</v>
      </c>
      <c r="E42">
        <f t="shared" si="20"/>
        <v>-5.9102578746333179E-2</v>
      </c>
      <c r="F42">
        <f t="shared" si="20"/>
        <v>-0.13334591376345961</v>
      </c>
      <c r="G42">
        <f t="shared" si="20"/>
        <v>0.12782534543502644</v>
      </c>
      <c r="H42">
        <f t="shared" si="20"/>
        <v>-2.9814928247463124E-2</v>
      </c>
      <c r="I42">
        <f t="shared" si="20"/>
        <v>0.28861021461142222</v>
      </c>
      <c r="J42">
        <f t="shared" si="20"/>
        <v>0.49244022722822445</v>
      </c>
      <c r="K42">
        <f t="shared" si="20"/>
        <v>1.6955805136474211E-2</v>
      </c>
      <c r="L42">
        <f t="shared" si="20"/>
        <v>0.23551723236282718</v>
      </c>
      <c r="M42">
        <f t="shared" si="20"/>
        <v>0.22375267615918615</v>
      </c>
      <c r="N42">
        <f t="shared" si="20"/>
        <v>5.811682343245228E-2</v>
      </c>
      <c r="O42">
        <f t="shared" si="20"/>
        <v>-0.15509209885732855</v>
      </c>
      <c r="P42">
        <f t="shared" si="20"/>
        <v>-0.11481063395255198</v>
      </c>
      <c r="Q42">
        <f t="shared" si="20"/>
        <v>1.4987027325779279E-2</v>
      </c>
      <c r="R42">
        <f t="shared" si="20"/>
        <v>0.11236753460061299</v>
      </c>
      <c r="S42">
        <f t="shared" si="20"/>
        <v>9.4247457042698768E-2</v>
      </c>
      <c r="T42">
        <f t="shared" si="20"/>
        <v>-5.6576540188647884E-2</v>
      </c>
      <c r="U42">
        <f t="shared" si="20"/>
        <v>-0.19321069467558227</v>
      </c>
      <c r="V42">
        <f t="shared" si="20"/>
        <v>-0.24779413773322045</v>
      </c>
      <c r="W42">
        <f t="shared" si="20"/>
        <v>-0.23574513362959248</v>
      </c>
      <c r="X42">
        <f t="shared" si="20"/>
        <v>-0.20544772519802124</v>
      </c>
      <c r="Y42">
        <f t="shared" si="20"/>
        <v>-9.5574012970758848E-2</v>
      </c>
      <c r="Z42">
        <f t="shared" si="20"/>
        <v>-0.16721888733312074</v>
      </c>
      <c r="AA42">
        <f t="shared" si="20"/>
        <v>-0.22107792087952649</v>
      </c>
      <c r="AB42">
        <f t="shared" si="20"/>
        <v>5.8585671315460663E-2</v>
      </c>
      <c r="AC42">
        <f t="shared" si="20"/>
        <v>0.24760002090725886</v>
      </c>
      <c r="AD42">
        <f t="shared" si="20"/>
        <v>0.26067902557321521</v>
      </c>
      <c r="AE42">
        <f t="shared" si="20"/>
        <v>7.8695032424727529E-2</v>
      </c>
      <c r="AF42">
        <f t="shared" si="20"/>
        <v>0.41148179541147223</v>
      </c>
      <c r="AG42">
        <f t="shared" si="20"/>
        <v>0.52254252347441965</v>
      </c>
      <c r="AH42">
        <f t="shared" si="20"/>
        <v>0.51088712917250678</v>
      </c>
      <c r="AI42">
        <f t="shared" si="20"/>
        <v>0.80543986658733702</v>
      </c>
      <c r="AJ42">
        <f t="shared" si="20"/>
        <v>0.71330381641568885</v>
      </c>
      <c r="AK42">
        <f t="shared" si="20"/>
        <v>0.75859886051909675</v>
      </c>
      <c r="AL42">
        <f t="shared" si="20"/>
        <v>0.83154213366143725</v>
      </c>
      <c r="AM42">
        <f t="shared" si="20"/>
        <v>0.86087682612380645</v>
      </c>
      <c r="AN42">
        <f t="shared" si="20"/>
        <v>0.63150756544554265</v>
      </c>
      <c r="AO42">
        <f t="shared" si="20"/>
        <v>0.75358465626469817</v>
      </c>
      <c r="AP42">
        <f t="shared" si="20"/>
        <v>0.83211075892918407</v>
      </c>
      <c r="AQ42">
        <f t="shared" si="20"/>
        <v>0.50886549951886861</v>
      </c>
      <c r="AR42">
        <f t="shared" si="20"/>
        <v>0.38800863062289603</v>
      </c>
      <c r="AS42">
        <f t="shared" si="20"/>
        <v>0.39923773913510008</v>
      </c>
      <c r="AT42">
        <f t="shared" si="20"/>
        <v>0.46205378787158602</v>
      </c>
      <c r="AU42">
        <f t="shared" si="20"/>
        <v>9.9473166720448036E-2</v>
      </c>
      <c r="AV42">
        <f t="shared" si="20"/>
        <v>-0.31438581917111064</v>
      </c>
      <c r="AW42">
        <f t="shared" si="20"/>
        <v>-0.17168504562719411</v>
      </c>
      <c r="AX42">
        <f t="shared" si="20"/>
        <v>-0.16272433050203206</v>
      </c>
      <c r="AY42">
        <f t="shared" si="20"/>
        <v>-0.28682979393645291</v>
      </c>
      <c r="AZ42">
        <f t="shared" si="20"/>
        <v>-0.3455890243896963</v>
      </c>
      <c r="BA42">
        <f t="shared" si="20"/>
        <v>-0.35498119145187668</v>
      </c>
      <c r="BB42">
        <f t="shared" si="20"/>
        <v>-0.30656343151687682</v>
      </c>
      <c r="BC42">
        <f t="shared" si="20"/>
        <v>-0.37617328260842275</v>
      </c>
      <c r="BD42">
        <f t="shared" si="20"/>
        <v>-0.38060362578899154</v>
      </c>
      <c r="BE42">
        <f t="shared" si="20"/>
        <v>-0.33165575836416117</v>
      </c>
      <c r="BF42">
        <f t="shared" si="20"/>
        <v>-0.35735131809713883</v>
      </c>
      <c r="BG42">
        <f t="shared" si="20"/>
        <v>-0.29693907819330267</v>
      </c>
      <c r="BH42">
        <f t="shared" si="20"/>
        <v>-0.24515383747803154</v>
      </c>
      <c r="BI42">
        <f t="shared" si="20"/>
        <v>-0.26057702547693995</v>
      </c>
      <c r="BJ42">
        <f t="shared" si="20"/>
        <v>-0.22736517671674972</v>
      </c>
      <c r="BK42">
        <f t="shared" si="20"/>
        <v>-0.13754090788515871</v>
      </c>
      <c r="BL42">
        <f t="shared" si="20"/>
        <v>-0.17404719986456318</v>
      </c>
      <c r="BM42">
        <f t="shared" si="20"/>
        <v>6.2952490445267184E-3</v>
      </c>
      <c r="BN42">
        <f t="shared" si="20"/>
        <v>0.1040285598308297</v>
      </c>
      <c r="BO42">
        <f t="shared" si="20"/>
        <v>9.8659985171605236E-2</v>
      </c>
      <c r="BP42">
        <f t="shared" ref="BP42:CT42" si="21">BP12/BP11 - 1</f>
        <v>4.1484210065682037E-2</v>
      </c>
      <c r="BQ42">
        <f t="shared" si="21"/>
        <v>0.249768835996514</v>
      </c>
      <c r="BR42">
        <f t="shared" si="21"/>
        <v>0.35838500002011586</v>
      </c>
      <c r="BS42">
        <f t="shared" si="21"/>
        <v>0.6297802880855996</v>
      </c>
      <c r="BT42">
        <f t="shared" si="21"/>
        <v>0.86099099645416333</v>
      </c>
      <c r="BU42">
        <f t="shared" si="21"/>
        <v>1.1568817487022116</v>
      </c>
      <c r="BV42">
        <f t="shared" si="21"/>
        <v>0.82613026690205871</v>
      </c>
      <c r="BW42">
        <f t="shared" si="21"/>
        <v>0.62387513946489226</v>
      </c>
      <c r="BX42">
        <f t="shared" si="21"/>
        <v>0.27517132846512471</v>
      </c>
      <c r="BY42">
        <f t="shared" si="21"/>
        <v>0.48322783637412803</v>
      </c>
      <c r="BZ42">
        <f t="shared" si="21"/>
        <v>0.4870241758767011</v>
      </c>
      <c r="CA42">
        <f t="shared" si="21"/>
        <v>0.39633158998095608</v>
      </c>
      <c r="CB42">
        <f t="shared" si="21"/>
        <v>0.44097882524247844</v>
      </c>
      <c r="CC42">
        <f t="shared" si="21"/>
        <v>0.35863843489640068</v>
      </c>
      <c r="CD42">
        <f t="shared" si="21"/>
        <v>-9.0623187760818791E-3</v>
      </c>
      <c r="CE42">
        <f t="shared" si="21"/>
        <v>8.7948493685385376E-2</v>
      </c>
      <c r="CF42">
        <f t="shared" si="21"/>
        <v>0.33301091566892027</v>
      </c>
      <c r="CG42">
        <f t="shared" si="21"/>
        <v>0.29615180914123873</v>
      </c>
      <c r="CH42">
        <f t="shared" si="21"/>
        <v>0.40506537143042931</v>
      </c>
      <c r="CI42">
        <f t="shared" si="21"/>
        <v>0.77548478517776598</v>
      </c>
      <c r="CJ42">
        <f t="shared" si="21"/>
        <v>0.89146729637102995</v>
      </c>
      <c r="CK42">
        <f t="shared" si="21"/>
        <v>0.85196030148509716</v>
      </c>
      <c r="CL42">
        <f t="shared" si="21"/>
        <v>0.93815012817090992</v>
      </c>
      <c r="CM42">
        <f t="shared" si="21"/>
        <v>1.0903702739103589</v>
      </c>
      <c r="CN42">
        <f t="shared" si="21"/>
        <v>0.93451071417591547</v>
      </c>
      <c r="CO42">
        <f t="shared" si="21"/>
        <v>1.2088307347526936</v>
      </c>
      <c r="CP42">
        <f t="shared" si="21"/>
        <v>1.548920137444822</v>
      </c>
      <c r="CQ42">
        <f t="shared" si="21"/>
        <v>1.8636056921819275</v>
      </c>
      <c r="CR42">
        <f t="shared" si="21"/>
        <v>1.1761831550085202</v>
      </c>
      <c r="CS42">
        <f t="shared" si="21"/>
        <v>1.493094178021642</v>
      </c>
      <c r="CT42">
        <f t="shared" si="21"/>
        <v>1.939389644813533</v>
      </c>
    </row>
    <row r="44" spans="2:98">
      <c r="B44" t="s">
        <v>1849</v>
      </c>
      <c r="C44">
        <f>3*C41+1</f>
        <v>1.0829120132810142</v>
      </c>
      <c r="D44">
        <f t="shared" ref="D44:BO44" si="22">3*D41+1</f>
        <v>1.0498900576454508</v>
      </c>
      <c r="E44">
        <f t="shared" si="22"/>
        <v>0.98773513173989225</v>
      </c>
      <c r="F44">
        <f t="shared" si="22"/>
        <v>0.94502460264080146</v>
      </c>
      <c r="G44">
        <f t="shared" si="22"/>
        <v>0.94664842681258554</v>
      </c>
      <c r="H44">
        <f t="shared" si="22"/>
        <v>0.96476243170343734</v>
      </c>
      <c r="I44">
        <f t="shared" si="22"/>
        <v>0.9787968670343421</v>
      </c>
      <c r="J44">
        <f t="shared" si="22"/>
        <v>1.0110611311850159</v>
      </c>
      <c r="K44">
        <f t="shared" si="22"/>
        <v>1.0365009503867617</v>
      </c>
      <c r="L44">
        <f t="shared" si="22"/>
        <v>0.99420045450338823</v>
      </c>
      <c r="M44">
        <f t="shared" si="22"/>
        <v>1.005391441087274</v>
      </c>
      <c r="N44">
        <f t="shared" si="22"/>
        <v>1.0335725195239331</v>
      </c>
      <c r="O44">
        <f t="shared" si="22"/>
        <v>1.0528675061593211</v>
      </c>
      <c r="P44">
        <f t="shared" si="22"/>
        <v>0.99396475416431962</v>
      </c>
      <c r="Q44">
        <f t="shared" si="22"/>
        <v>0.97059386973180073</v>
      </c>
      <c r="R44">
        <f t="shared" si="22"/>
        <v>0.99992899240218702</v>
      </c>
      <c r="S44">
        <f t="shared" si="22"/>
        <v>1.0470662605597378</v>
      </c>
      <c r="T44">
        <f t="shared" si="22"/>
        <v>1.1052769132077265</v>
      </c>
      <c r="U44">
        <f t="shared" si="22"/>
        <v>1.1216753530179673</v>
      </c>
      <c r="V44">
        <f t="shared" si="22"/>
        <v>1.1138170295298713</v>
      </c>
      <c r="W44">
        <f t="shared" si="22"/>
        <v>1.0753896225824624</v>
      </c>
      <c r="X44">
        <f t="shared" si="22"/>
        <v>1.0781042586015139</v>
      </c>
      <c r="Y44">
        <f t="shared" si="22"/>
        <v>1.0952216663791616</v>
      </c>
      <c r="Z44">
        <f t="shared" si="22"/>
        <v>1.0955942495113193</v>
      </c>
      <c r="AA44">
        <f t="shared" si="22"/>
        <v>1.1068363674712296</v>
      </c>
      <c r="AB44">
        <f t="shared" si="22"/>
        <v>1.0914937620068981</v>
      </c>
      <c r="AC44">
        <f t="shared" si="22"/>
        <v>1.0992659229102903</v>
      </c>
      <c r="AD44">
        <f t="shared" si="22"/>
        <v>1.1197989891968452</v>
      </c>
      <c r="AE44">
        <f t="shared" si="22"/>
        <v>1.1148462926836387</v>
      </c>
      <c r="AF44">
        <f t="shared" si="22"/>
        <v>1.0641351034752049</v>
      </c>
      <c r="AG44">
        <f t="shared" si="22"/>
        <v>1.078806898772775</v>
      </c>
      <c r="AH44">
        <f t="shared" si="22"/>
        <v>1.0938663369430335</v>
      </c>
      <c r="AI44">
        <f t="shared" si="22"/>
        <v>1.0846271437443271</v>
      </c>
      <c r="AJ44">
        <f t="shared" si="22"/>
        <v>1.0948425169575322</v>
      </c>
      <c r="AK44">
        <f t="shared" si="22"/>
        <v>1.0992906650218319</v>
      </c>
      <c r="AL44">
        <f t="shared" si="22"/>
        <v>1.117610701514282</v>
      </c>
      <c r="AM44">
        <f t="shared" si="22"/>
        <v>1.1509834593903037</v>
      </c>
      <c r="AN44">
        <f t="shared" si="22"/>
        <v>1.1714900080882207</v>
      </c>
      <c r="AO44">
        <f t="shared" si="22"/>
        <v>1.148910878511118</v>
      </c>
      <c r="AP44">
        <f t="shared" si="22"/>
        <v>1.1463590334664306</v>
      </c>
      <c r="AQ44">
        <f t="shared" si="22"/>
        <v>1.1462154722920506</v>
      </c>
      <c r="AR44">
        <f t="shared" si="22"/>
        <v>1.1234303337023566</v>
      </c>
      <c r="AS44">
        <f t="shared" si="22"/>
        <v>1.1075976401691254</v>
      </c>
      <c r="AT44">
        <f t="shared" si="22"/>
        <v>1.1194170603949007</v>
      </c>
      <c r="AU44">
        <f t="shared" si="22"/>
        <v>1.1354862191771358</v>
      </c>
      <c r="AV44">
        <f t="shared" si="22"/>
        <v>1.1193345647009632</v>
      </c>
      <c r="AW44">
        <f t="shared" si="22"/>
        <v>1.0818655179479004</v>
      </c>
      <c r="AX44">
        <f t="shared" si="22"/>
        <v>1.0869419055075169</v>
      </c>
      <c r="AY44">
        <f t="shared" si="22"/>
        <v>1.1048596661674708</v>
      </c>
      <c r="AZ44">
        <f t="shared" si="22"/>
        <v>1.1278401398802989</v>
      </c>
      <c r="BA44">
        <f t="shared" si="22"/>
        <v>1.1370685589866263</v>
      </c>
      <c r="BB44">
        <f t="shared" si="22"/>
        <v>1.1217332155979518</v>
      </c>
      <c r="BC44">
        <f t="shared" si="22"/>
        <v>1.1220115261059305</v>
      </c>
      <c r="BD44">
        <f t="shared" si="22"/>
        <v>1.1001277514897336</v>
      </c>
      <c r="BE44">
        <f t="shared" si="22"/>
        <v>1.0883361112240335</v>
      </c>
      <c r="BF44">
        <f t="shared" si="22"/>
        <v>1.1216556785933089</v>
      </c>
      <c r="BG44">
        <f t="shared" si="22"/>
        <v>1.1224279565171607</v>
      </c>
      <c r="BH44">
        <f t="shared" si="22"/>
        <v>1.1016524352384451</v>
      </c>
      <c r="BI44">
        <f t="shared" si="22"/>
        <v>1.0813126494401555</v>
      </c>
      <c r="BJ44">
        <f t="shared" si="22"/>
        <v>1.080793972853958</v>
      </c>
      <c r="BK44">
        <f t="shared" si="22"/>
        <v>1.0884437345004996</v>
      </c>
      <c r="BL44">
        <f t="shared" si="22"/>
        <v>1.0868723451830191</v>
      </c>
      <c r="BM44">
        <f t="shared" si="22"/>
        <v>1.0663800320488634</v>
      </c>
      <c r="BN44">
        <f t="shared" si="22"/>
        <v>1.0671924325910649</v>
      </c>
      <c r="BO44">
        <f t="shared" si="22"/>
        <v>1.0759974841418556</v>
      </c>
      <c r="BP44">
        <f t="shared" ref="BP44:CT44" si="23">3*BP41+1</f>
        <v>1.0864489800083903</v>
      </c>
      <c r="BQ44">
        <f t="shared" si="23"/>
        <v>1.0997853080745892</v>
      </c>
      <c r="BR44">
        <f t="shared" si="23"/>
        <v>1.1098666065131448</v>
      </c>
      <c r="BS44">
        <f t="shared" si="23"/>
        <v>1.1201725431908278</v>
      </c>
      <c r="BT44">
        <f t="shared" si="23"/>
        <v>1.1272222865010801</v>
      </c>
      <c r="BU44">
        <f t="shared" si="23"/>
        <v>1.1334422310915335</v>
      </c>
      <c r="BV44">
        <f t="shared" si="23"/>
        <v>1.1381008053969075</v>
      </c>
      <c r="BW44">
        <f t="shared" si="23"/>
        <v>1.1032180840258397</v>
      </c>
      <c r="BX44">
        <f t="shared" si="23"/>
        <v>1.0564832565455431</v>
      </c>
      <c r="BY44">
        <f t="shared" si="23"/>
        <v>1.0550175318476114</v>
      </c>
      <c r="BZ44">
        <f t="shared" si="23"/>
        <v>1.0600990398196128</v>
      </c>
      <c r="CA44">
        <f t="shared" si="23"/>
        <v>1.0707355369879683</v>
      </c>
      <c r="CB44">
        <f t="shared" si="23"/>
        <v>1.0795384437351263</v>
      </c>
      <c r="CC44">
        <f t="shared" si="23"/>
        <v>1.0862126534995769</v>
      </c>
      <c r="CD44">
        <f t="shared" si="23"/>
        <v>1.0713558602256457</v>
      </c>
      <c r="CE44">
        <f t="shared" si="23"/>
        <v>1.0181208070766201</v>
      </c>
      <c r="CF44">
        <f t="shared" si="23"/>
        <v>1.0276311387731334</v>
      </c>
      <c r="CG44">
        <f t="shared" si="23"/>
        <v>1.0462044923743112</v>
      </c>
      <c r="CH44">
        <f t="shared" si="23"/>
        <v>1.0655787642422136</v>
      </c>
      <c r="CI44">
        <f t="shared" si="23"/>
        <v>1.0619629291190489</v>
      </c>
      <c r="CJ44">
        <f t="shared" si="23"/>
        <v>1.0789952176363329</v>
      </c>
      <c r="CK44">
        <f t="shared" si="23"/>
        <v>1.0762376377816347</v>
      </c>
      <c r="CL44">
        <f t="shared" si="23"/>
        <v>1.073682677967748</v>
      </c>
      <c r="CM44">
        <f t="shared" si="23"/>
        <v>1.0736924372697265</v>
      </c>
      <c r="CN44">
        <f t="shared" si="23"/>
        <v>1.0850573369815846</v>
      </c>
      <c r="CO44">
        <f t="shared" si="23"/>
        <v>1.0788720576336883</v>
      </c>
      <c r="CP44">
        <f t="shared" si="23"/>
        <v>1.0530169211388105</v>
      </c>
      <c r="CQ44">
        <f t="shared" si="23"/>
        <v>1.0608247706924749</v>
      </c>
      <c r="CR44">
        <f t="shared" si="23"/>
        <v>1.0672785277141621</v>
      </c>
      <c r="CS44">
        <f t="shared" si="23"/>
        <v>1.0810663389753197</v>
      </c>
      <c r="CT44">
        <f t="shared" si="23"/>
        <v>1.0787903317046632</v>
      </c>
    </row>
    <row r="45" spans="2:98">
      <c r="B45" t="s">
        <v>1853</v>
      </c>
      <c r="C45">
        <f>8*C41+1</f>
        <v>1.2210987020827044</v>
      </c>
      <c r="D45">
        <f t="shared" ref="D45:BO45" si="24">8*D41+1</f>
        <v>1.133040153721202</v>
      </c>
      <c r="E45">
        <f t="shared" si="24"/>
        <v>0.96729368463971266</v>
      </c>
      <c r="F45">
        <f t="shared" si="24"/>
        <v>0.85339894037547048</v>
      </c>
      <c r="G45">
        <f t="shared" si="24"/>
        <v>0.85772913816689467</v>
      </c>
      <c r="H45">
        <f t="shared" si="24"/>
        <v>0.90603315120916617</v>
      </c>
      <c r="I45">
        <f t="shared" si="24"/>
        <v>0.94345831209157904</v>
      </c>
      <c r="J45">
        <f t="shared" si="24"/>
        <v>1.0294963498267089</v>
      </c>
      <c r="K45">
        <f t="shared" si="24"/>
        <v>1.0973358676980312</v>
      </c>
      <c r="L45">
        <f t="shared" si="24"/>
        <v>0.98453454534236851</v>
      </c>
      <c r="M45">
        <f t="shared" si="24"/>
        <v>1.0143771762327305</v>
      </c>
      <c r="N45">
        <f t="shared" si="24"/>
        <v>1.089526718730488</v>
      </c>
      <c r="O45">
        <f t="shared" si="24"/>
        <v>1.1409800164248562</v>
      </c>
      <c r="P45">
        <f t="shared" si="24"/>
        <v>0.98390601110485232</v>
      </c>
      <c r="Q45">
        <f t="shared" si="24"/>
        <v>0.92158365261813535</v>
      </c>
      <c r="R45">
        <f t="shared" si="24"/>
        <v>0.99981064640583206</v>
      </c>
      <c r="S45">
        <f t="shared" si="24"/>
        <v>1.1255100281593011</v>
      </c>
      <c r="T45">
        <f t="shared" si="24"/>
        <v>1.2807384352206039</v>
      </c>
      <c r="U45">
        <f t="shared" si="24"/>
        <v>1.3244676080479127</v>
      </c>
      <c r="V45">
        <f t="shared" si="24"/>
        <v>1.3035120787463237</v>
      </c>
      <c r="W45">
        <f t="shared" si="24"/>
        <v>1.2010389935532328</v>
      </c>
      <c r="X45">
        <f t="shared" si="24"/>
        <v>1.2082780229373706</v>
      </c>
      <c r="Y45">
        <f t="shared" si="24"/>
        <v>1.2539244436777643</v>
      </c>
      <c r="Z45">
        <f t="shared" si="24"/>
        <v>1.2549179986968517</v>
      </c>
      <c r="AA45">
        <f t="shared" si="24"/>
        <v>1.2848969799232788</v>
      </c>
      <c r="AB45">
        <f t="shared" si="24"/>
        <v>1.2439833653517283</v>
      </c>
      <c r="AC45">
        <f t="shared" si="24"/>
        <v>1.2647091277607745</v>
      </c>
      <c r="AD45">
        <f t="shared" si="24"/>
        <v>1.3194639711915874</v>
      </c>
      <c r="AE45">
        <f t="shared" si="24"/>
        <v>1.3062567804897034</v>
      </c>
      <c r="AF45">
        <f t="shared" si="24"/>
        <v>1.1710269426005466</v>
      </c>
      <c r="AG45">
        <f t="shared" si="24"/>
        <v>1.2101517300607332</v>
      </c>
      <c r="AH45">
        <f t="shared" si="24"/>
        <v>1.250310231848089</v>
      </c>
      <c r="AI45">
        <f t="shared" si="24"/>
        <v>1.2256723833182057</v>
      </c>
      <c r="AJ45">
        <f t="shared" si="24"/>
        <v>1.2529133785534192</v>
      </c>
      <c r="AK45">
        <f t="shared" si="24"/>
        <v>1.2647751067248851</v>
      </c>
      <c r="AL45">
        <f t="shared" si="24"/>
        <v>1.3136285373714185</v>
      </c>
      <c r="AM45">
        <f t="shared" si="24"/>
        <v>1.402622558374143</v>
      </c>
      <c r="AN45">
        <f t="shared" si="24"/>
        <v>1.4573066882352554</v>
      </c>
      <c r="AO45">
        <f t="shared" si="24"/>
        <v>1.3970956760296482</v>
      </c>
      <c r="AP45">
        <f t="shared" si="24"/>
        <v>1.3902907559104818</v>
      </c>
      <c r="AQ45">
        <f t="shared" si="24"/>
        <v>1.3899079261121348</v>
      </c>
      <c r="AR45">
        <f t="shared" si="24"/>
        <v>1.3291475565396174</v>
      </c>
      <c r="AS45">
        <f t="shared" si="24"/>
        <v>1.2869270404510009</v>
      </c>
      <c r="AT45">
        <f t="shared" si="24"/>
        <v>1.3184454943864019</v>
      </c>
      <c r="AU45">
        <f t="shared" si="24"/>
        <v>1.3612965844723621</v>
      </c>
      <c r="AV45">
        <f t="shared" si="24"/>
        <v>1.3182255058692354</v>
      </c>
      <c r="AW45">
        <f t="shared" si="24"/>
        <v>1.2183080478610677</v>
      </c>
      <c r="AX45">
        <f t="shared" si="24"/>
        <v>1.2318450813533783</v>
      </c>
      <c r="AY45">
        <f t="shared" si="24"/>
        <v>1.279625776446589</v>
      </c>
      <c r="AZ45">
        <f t="shared" si="24"/>
        <v>1.3409070396807969</v>
      </c>
      <c r="BA45">
        <f t="shared" si="24"/>
        <v>1.36551615729767</v>
      </c>
      <c r="BB45">
        <f t="shared" si="24"/>
        <v>1.3246219082612045</v>
      </c>
      <c r="BC45">
        <f t="shared" si="24"/>
        <v>1.3253640696158144</v>
      </c>
      <c r="BD45">
        <f t="shared" si="24"/>
        <v>1.2670073373059565</v>
      </c>
      <c r="BE45">
        <f t="shared" si="24"/>
        <v>1.2355629632640892</v>
      </c>
      <c r="BF45">
        <f t="shared" si="24"/>
        <v>1.3244151429154907</v>
      </c>
      <c r="BG45">
        <f t="shared" si="24"/>
        <v>1.3264745507124287</v>
      </c>
      <c r="BH45">
        <f t="shared" si="24"/>
        <v>1.2710731606358534</v>
      </c>
      <c r="BI45">
        <f t="shared" si="24"/>
        <v>1.2168337318404145</v>
      </c>
      <c r="BJ45">
        <f t="shared" si="24"/>
        <v>1.2154505942772214</v>
      </c>
      <c r="BK45">
        <f t="shared" si="24"/>
        <v>1.2358499586679992</v>
      </c>
      <c r="BL45">
        <f t="shared" si="24"/>
        <v>1.2316595871547178</v>
      </c>
      <c r="BM45">
        <f t="shared" si="24"/>
        <v>1.1770134187969692</v>
      </c>
      <c r="BN45">
        <f t="shared" si="24"/>
        <v>1.1791798202428394</v>
      </c>
      <c r="BO45">
        <f t="shared" si="24"/>
        <v>1.2026599577116153</v>
      </c>
      <c r="BP45">
        <f t="shared" ref="BP45:CT45" si="25">8*BP41+1</f>
        <v>1.2305306133557072</v>
      </c>
      <c r="BQ45">
        <f t="shared" si="25"/>
        <v>1.2660941548655715</v>
      </c>
      <c r="BR45">
        <f t="shared" si="25"/>
        <v>1.292977617368386</v>
      </c>
      <c r="BS45">
        <f t="shared" si="25"/>
        <v>1.3204601151755411</v>
      </c>
      <c r="BT45">
        <f t="shared" si="25"/>
        <v>1.3392594306695471</v>
      </c>
      <c r="BU45">
        <f t="shared" si="25"/>
        <v>1.3558459495774229</v>
      </c>
      <c r="BV45">
        <f t="shared" si="25"/>
        <v>1.3682688143917532</v>
      </c>
      <c r="BW45">
        <f t="shared" si="25"/>
        <v>1.2752482240689058</v>
      </c>
      <c r="BX45">
        <f t="shared" si="25"/>
        <v>1.1506220174547817</v>
      </c>
      <c r="BY45">
        <f t="shared" si="25"/>
        <v>1.1467134182602972</v>
      </c>
      <c r="BZ45">
        <f t="shared" si="25"/>
        <v>1.1602641061856345</v>
      </c>
      <c r="CA45">
        <f t="shared" si="25"/>
        <v>1.1886280986345819</v>
      </c>
      <c r="CB45">
        <f t="shared" si="25"/>
        <v>1.2121025166270032</v>
      </c>
      <c r="CC45">
        <f t="shared" si="25"/>
        <v>1.229900409332205</v>
      </c>
      <c r="CD45">
        <f t="shared" si="25"/>
        <v>1.190282293935055</v>
      </c>
      <c r="CE45">
        <f t="shared" si="25"/>
        <v>1.04832215220432</v>
      </c>
      <c r="CF45">
        <f t="shared" si="25"/>
        <v>1.0736830367283556</v>
      </c>
      <c r="CG45">
        <f t="shared" si="25"/>
        <v>1.1232119796648301</v>
      </c>
      <c r="CH45">
        <f t="shared" si="25"/>
        <v>1.174876704645903</v>
      </c>
      <c r="CI45">
        <f t="shared" si="25"/>
        <v>1.1652344776507968</v>
      </c>
      <c r="CJ45">
        <f t="shared" si="25"/>
        <v>1.2106539136968877</v>
      </c>
      <c r="CK45">
        <f t="shared" si="25"/>
        <v>1.2033003674176928</v>
      </c>
      <c r="CL45">
        <f t="shared" si="25"/>
        <v>1.1964871412473281</v>
      </c>
      <c r="CM45">
        <f t="shared" si="25"/>
        <v>1.196513166052604</v>
      </c>
      <c r="CN45">
        <f t="shared" si="25"/>
        <v>1.2268195652842255</v>
      </c>
      <c r="CO45">
        <f t="shared" si="25"/>
        <v>1.210325487023169</v>
      </c>
      <c r="CP45">
        <f t="shared" si="25"/>
        <v>1.1413784563701612</v>
      </c>
      <c r="CQ45">
        <f t="shared" si="25"/>
        <v>1.1621993885132664</v>
      </c>
      <c r="CR45">
        <f t="shared" si="25"/>
        <v>1.1794094072377659</v>
      </c>
      <c r="CS45">
        <f t="shared" si="25"/>
        <v>1.2161769039341859</v>
      </c>
      <c r="CT45">
        <f t="shared" si="25"/>
        <v>1.2101075512124351</v>
      </c>
    </row>
    <row r="47" spans="2:98">
      <c r="B47" t="s">
        <v>1850</v>
      </c>
      <c r="C47">
        <f>C12/C2-C11/C2</f>
        <v>1.0623568677150212</v>
      </c>
      <c r="D47">
        <f t="shared" ref="D47:BO47" si="26">D12/D2-D11/D2</f>
        <v>0.64962954955026175</v>
      </c>
      <c r="E47">
        <f t="shared" si="26"/>
        <v>-0.14171594655957032</v>
      </c>
      <c r="F47">
        <f t="shared" si="26"/>
        <v>-0.4056087776358317</v>
      </c>
      <c r="G47">
        <f t="shared" si="26"/>
        <v>0.40677624345220664</v>
      </c>
      <c r="H47">
        <f t="shared" si="26"/>
        <v>-7.721087418449013E-2</v>
      </c>
      <c r="I47">
        <f t="shared" si="26"/>
        <v>0.67056210199161814</v>
      </c>
      <c r="J47">
        <f t="shared" si="26"/>
        <v>1.0941361635168443</v>
      </c>
      <c r="K47">
        <f t="shared" si="26"/>
        <v>3.4508969261496603E-2</v>
      </c>
      <c r="L47">
        <f t="shared" si="26"/>
        <v>0.53264686814075768</v>
      </c>
      <c r="M47">
        <f t="shared" si="26"/>
        <v>0.46304695041095378</v>
      </c>
      <c r="N47">
        <f t="shared" si="26"/>
        <v>0.11182211754530225</v>
      </c>
      <c r="O47">
        <f t="shared" si="26"/>
        <v>-0.25916154653743528</v>
      </c>
      <c r="P47">
        <f t="shared" si="26"/>
        <v>-0.16309835022844199</v>
      </c>
      <c r="Q47">
        <f t="shared" si="26"/>
        <v>1.8143974636880111E-2</v>
      </c>
      <c r="R47">
        <f t="shared" si="26"/>
        <v>0.13277504435724174</v>
      </c>
      <c r="S47">
        <f t="shared" si="26"/>
        <v>0.13013161940468754</v>
      </c>
      <c r="T47">
        <f t="shared" si="26"/>
        <v>-9.0022399274150233E-2</v>
      </c>
      <c r="U47">
        <f t="shared" si="26"/>
        <v>-0.30412617742327641</v>
      </c>
      <c r="V47">
        <f t="shared" si="26"/>
        <v>-0.3726200338210226</v>
      </c>
      <c r="W47">
        <f t="shared" si="26"/>
        <v>-0.36869152997440935</v>
      </c>
      <c r="X47">
        <f t="shared" si="26"/>
        <v>-0.31791208655637404</v>
      </c>
      <c r="Y47">
        <f t="shared" si="26"/>
        <v>-0.14015748879116852</v>
      </c>
      <c r="Z47">
        <f t="shared" si="26"/>
        <v>-0.24739138683361794</v>
      </c>
      <c r="AA47">
        <f t="shared" si="26"/>
        <v>-0.32068896282698489</v>
      </c>
      <c r="AB47">
        <f t="shared" si="26"/>
        <v>8.8598844657143516E-2</v>
      </c>
      <c r="AC47">
        <f t="shared" si="26"/>
        <v>0.36587699688051112</v>
      </c>
      <c r="AD47">
        <f t="shared" si="26"/>
        <v>0.39892742738539444</v>
      </c>
      <c r="AE47">
        <f t="shared" si="26"/>
        <v>0.12364089413401325</v>
      </c>
      <c r="AF47">
        <f t="shared" si="26"/>
        <v>0.67290942292791778</v>
      </c>
      <c r="AG47">
        <f t="shared" si="26"/>
        <v>0.79589905582265885</v>
      </c>
      <c r="AH47">
        <f t="shared" si="26"/>
        <v>0.76332120621984179</v>
      </c>
      <c r="AI47">
        <f t="shared" si="26"/>
        <v>1.2014614759222491</v>
      </c>
      <c r="AJ47">
        <f t="shared" si="26"/>
        <v>1.0113796695936894</v>
      </c>
      <c r="AK47">
        <f t="shared" si="26"/>
        <v>1.0462220381573866</v>
      </c>
      <c r="AL47">
        <f t="shared" si="26"/>
        <v>1.1223606282158236</v>
      </c>
      <c r="AM47">
        <f t="shared" si="26"/>
        <v>1.1337071148269018</v>
      </c>
      <c r="AN47">
        <f t="shared" si="26"/>
        <v>0.82594981616461327</v>
      </c>
      <c r="AO47">
        <f t="shared" si="26"/>
        <v>1.014483724642284</v>
      </c>
      <c r="AP47">
        <f t="shared" si="26"/>
        <v>1.1186528220235339</v>
      </c>
      <c r="AQ47">
        <f t="shared" si="26"/>
        <v>0.69297540180105743</v>
      </c>
      <c r="AR47">
        <f t="shared" si="26"/>
        <v>0.56111395184332657</v>
      </c>
      <c r="AS47">
        <f t="shared" si="26"/>
        <v>0.58546999494645369</v>
      </c>
      <c r="AT47">
        <f t="shared" si="26"/>
        <v>0.66317051938731231</v>
      </c>
      <c r="AU47">
        <f t="shared" si="26"/>
        <v>0.14394519438971565</v>
      </c>
      <c r="AV47">
        <f t="shared" si="26"/>
        <v>-0.51220970818780587</v>
      </c>
      <c r="AW47">
        <f t="shared" si="26"/>
        <v>-0.28551750565742662</v>
      </c>
      <c r="AX47">
        <f t="shared" si="26"/>
        <v>-0.26399235543194766</v>
      </c>
      <c r="AY47">
        <f t="shared" si="26"/>
        <v>-0.45655198824521181</v>
      </c>
      <c r="AZ47">
        <f t="shared" si="26"/>
        <v>-0.54705271911805453</v>
      </c>
      <c r="BA47">
        <f t="shared" si="26"/>
        <v>-0.58320521876428288</v>
      </c>
      <c r="BB47">
        <f t="shared" si="26"/>
        <v>-0.53186683826945913</v>
      </c>
      <c r="BC47">
        <f t="shared" si="26"/>
        <v>-0.6502601892379325</v>
      </c>
      <c r="BD47">
        <f t="shared" si="26"/>
        <v>-0.67302167628983955</v>
      </c>
      <c r="BE47">
        <f t="shared" si="26"/>
        <v>-0.56330766957551237</v>
      </c>
      <c r="BF47">
        <f t="shared" si="26"/>
        <v>-0.57567202253019478</v>
      </c>
      <c r="BG47">
        <f t="shared" si="26"/>
        <v>-0.47368376543776969</v>
      </c>
      <c r="BH47">
        <f t="shared" si="26"/>
        <v>-0.39428921239025683</v>
      </c>
      <c r="BI47">
        <f t="shared" si="26"/>
        <v>-0.41327876819475984</v>
      </c>
      <c r="BJ47">
        <f t="shared" si="26"/>
        <v>-0.35380585813309429</v>
      </c>
      <c r="BK47">
        <f t="shared" si="26"/>
        <v>-0.21488837693029872</v>
      </c>
      <c r="BL47">
        <f t="shared" si="26"/>
        <v>-0.27544843518148676</v>
      </c>
      <c r="BM47">
        <f t="shared" si="26"/>
        <v>9.974127190024884E-3</v>
      </c>
      <c r="BN47">
        <f t="shared" si="26"/>
        <v>0.16216109331933137</v>
      </c>
      <c r="BO47">
        <f t="shared" si="26"/>
        <v>0.15402452190852278</v>
      </c>
      <c r="BP47">
        <f t="shared" ref="BP47:CT47" si="27">BP12/BP2-BP11/BP2</f>
        <v>6.3723416510593101E-2</v>
      </c>
      <c r="BQ47">
        <f t="shared" si="27"/>
        <v>0.38227901458842539</v>
      </c>
      <c r="BR47">
        <f t="shared" si="27"/>
        <v>0.54155303598063398</v>
      </c>
      <c r="BS47">
        <f t="shared" si="27"/>
        <v>0.93456155503024041</v>
      </c>
      <c r="BT47">
        <f t="shared" si="27"/>
        <v>1.2682340824989413</v>
      </c>
      <c r="BU47">
        <f t="shared" si="27"/>
        <v>1.7055130926751716</v>
      </c>
      <c r="BV47">
        <f t="shared" si="27"/>
        <v>1.2168775407444108</v>
      </c>
      <c r="BW47">
        <f t="shared" si="27"/>
        <v>0.96551490642703786</v>
      </c>
      <c r="BX47">
        <f t="shared" si="27"/>
        <v>0.43262660870614456</v>
      </c>
      <c r="BY47">
        <f t="shared" si="27"/>
        <v>0.75541820243833313</v>
      </c>
      <c r="BZ47">
        <f t="shared" si="27"/>
        <v>0.77297267474405218</v>
      </c>
      <c r="CA47">
        <f t="shared" si="27"/>
        <v>0.63651174220649609</v>
      </c>
      <c r="CB47">
        <f t="shared" si="27"/>
        <v>0.71331841965118814</v>
      </c>
      <c r="CC47">
        <f t="shared" si="27"/>
        <v>0.59931215727081666</v>
      </c>
      <c r="CD47">
        <f t="shared" si="27"/>
        <v>-1.6297996691984062E-2</v>
      </c>
      <c r="CE47">
        <f t="shared" si="27"/>
        <v>0.15919410919600874</v>
      </c>
      <c r="CF47">
        <f t="shared" si="27"/>
        <v>0.58733770774574023</v>
      </c>
      <c r="CG47">
        <f t="shared" si="27"/>
        <v>0.52298845509417591</v>
      </c>
      <c r="CH47">
        <f t="shared" si="27"/>
        <v>0.69531198734160937</v>
      </c>
      <c r="CI47">
        <f t="shared" si="27"/>
        <v>1.3402427909828349</v>
      </c>
      <c r="CJ47">
        <f t="shared" si="27"/>
        <v>1.5190879182745214</v>
      </c>
      <c r="CK47">
        <f t="shared" si="27"/>
        <v>1.4168195018377401</v>
      </c>
      <c r="CL47">
        <f t="shared" si="27"/>
        <v>1.5764774085244408</v>
      </c>
      <c r="CM47">
        <f t="shared" si="27"/>
        <v>1.8261690804111095</v>
      </c>
      <c r="CN47">
        <f t="shared" si="27"/>
        <v>1.5460798930245281</v>
      </c>
      <c r="CO47">
        <f t="shared" si="27"/>
        <v>2.000387835254914</v>
      </c>
      <c r="CP47">
        <f t="shared" si="27"/>
        <v>2.6671713257097074</v>
      </c>
      <c r="CQ47">
        <f t="shared" si="27"/>
        <v>3.1206095821039734</v>
      </c>
      <c r="CR47">
        <f t="shared" si="27"/>
        <v>1.9824814303684011</v>
      </c>
      <c r="CS47">
        <f t="shared" si="27"/>
        <v>2.4743970703577491</v>
      </c>
      <c r="CT47">
        <f t="shared" si="27"/>
        <v>3.1562817436319945</v>
      </c>
    </row>
    <row r="48" spans="2:98">
      <c r="B48" t="s">
        <v>1851</v>
      </c>
      <c r="C48">
        <f>C12/C2-C44*C11/C2</f>
        <v>0.90197296814198191</v>
      </c>
      <c r="D48">
        <f t="shared" ref="D48:BO48" si="28">D12/D2-D44*D11/D2</f>
        <v>0.54507975503824335</v>
      </c>
      <c r="E48">
        <f t="shared" si="28"/>
        <v>-0.11230729042682208</v>
      </c>
      <c r="F48">
        <f t="shared" si="28"/>
        <v>-0.23838577774350922</v>
      </c>
      <c r="G48">
        <f t="shared" si="28"/>
        <v>0.57655597257856472</v>
      </c>
      <c r="H48">
        <f t="shared" si="28"/>
        <v>1.4042857158793609E-2</v>
      </c>
      <c r="I48">
        <f t="shared" si="28"/>
        <v>0.71982583795952904</v>
      </c>
      <c r="J48">
        <f t="shared" si="28"/>
        <v>1.0695598129878676</v>
      </c>
      <c r="K48">
        <f t="shared" si="28"/>
        <v>-3.9778872853565517E-2</v>
      </c>
      <c r="L48">
        <f t="shared" si="28"/>
        <v>0.5457631472105251</v>
      </c>
      <c r="M48">
        <f t="shared" si="28"/>
        <v>0.45188958507063326</v>
      </c>
      <c r="N48">
        <f t="shared" si="28"/>
        <v>4.7225499857472819E-2</v>
      </c>
      <c r="O48">
        <f t="shared" si="28"/>
        <v>-0.34750405243408311</v>
      </c>
      <c r="P48">
        <f t="shared" si="28"/>
        <v>-0.15452476601298204</v>
      </c>
      <c r="Q48">
        <f t="shared" si="28"/>
        <v>5.3744368908347662E-2</v>
      </c>
      <c r="R48">
        <f t="shared" si="28"/>
        <v>0.1328589479240756</v>
      </c>
      <c r="S48">
        <f t="shared" si="28"/>
        <v>6.5145158250761614E-2</v>
      </c>
      <c r="T48">
        <f t="shared" si="28"/>
        <v>-0.25753494570302538</v>
      </c>
      <c r="U48">
        <f t="shared" si="28"/>
        <v>-0.49565108271962233</v>
      </c>
      <c r="V48">
        <f t="shared" si="28"/>
        <v>-0.54377220788289993</v>
      </c>
      <c r="W48">
        <f t="shared" si="28"/>
        <v>-0.48659646767630171</v>
      </c>
      <c r="X48">
        <f t="shared" si="28"/>
        <v>-0.43877148179676029</v>
      </c>
      <c r="Y48">
        <f t="shared" si="28"/>
        <v>-0.27979826794624074</v>
      </c>
      <c r="Z48">
        <f t="shared" si="28"/>
        <v>-0.38881795853907408</v>
      </c>
      <c r="AA48">
        <f t="shared" si="28"/>
        <v>-0.47566257457549321</v>
      </c>
      <c r="AB48">
        <f t="shared" si="28"/>
        <v>-4.9766756096971454E-2</v>
      </c>
      <c r="AC48">
        <f t="shared" si="28"/>
        <v>0.21919236561954292</v>
      </c>
      <c r="AD48">
        <f t="shared" si="28"/>
        <v>0.21559429400967023</v>
      </c>
      <c r="AE48">
        <f t="shared" si="28"/>
        <v>-5.679868226445639E-2</v>
      </c>
      <c r="AF48">
        <f t="shared" si="28"/>
        <v>0.56802722412792894</v>
      </c>
      <c r="AG48">
        <f t="shared" si="28"/>
        <v>0.6758660757150905</v>
      </c>
      <c r="AH48">
        <f t="shared" si="28"/>
        <v>0.62307464010484193</v>
      </c>
      <c r="AI48">
        <f t="shared" si="28"/>
        <v>1.0752245496859705</v>
      </c>
      <c r="AJ48">
        <f t="shared" si="28"/>
        <v>0.87690430123530283</v>
      </c>
      <c r="AK48">
        <f t="shared" si="28"/>
        <v>0.90928526256289133</v>
      </c>
      <c r="AL48">
        <f t="shared" si="28"/>
        <v>0.96361747438999745</v>
      </c>
      <c r="AM48">
        <f t="shared" si="28"/>
        <v>0.93487376615531259</v>
      </c>
      <c r="AN48">
        <f t="shared" si="28"/>
        <v>0.60165774366251723</v>
      </c>
      <c r="AO48">
        <f t="shared" si="28"/>
        <v>0.81401830723249713</v>
      </c>
      <c r="AP48">
        <f t="shared" si="28"/>
        <v>0.92189422461451609</v>
      </c>
      <c r="AQ48">
        <f t="shared" si="28"/>
        <v>0.49385849221116285</v>
      </c>
      <c r="AR48">
        <f t="shared" si="28"/>
        <v>0.38261667921852793</v>
      </c>
      <c r="AS48">
        <f t="shared" si="28"/>
        <v>0.42768133002078934</v>
      </c>
      <c r="AT48">
        <f t="shared" si="28"/>
        <v>0.49177516230000728</v>
      </c>
      <c r="AU48">
        <f t="shared" si="28"/>
        <v>-5.2113610206191652E-2</v>
      </c>
      <c r="AV48">
        <f t="shared" si="28"/>
        <v>-0.70663426182497546</v>
      </c>
      <c r="AW48">
        <f t="shared" si="28"/>
        <v>-0.42166237720665545</v>
      </c>
      <c r="AX48">
        <f t="shared" si="28"/>
        <v>-0.40504070603729581</v>
      </c>
      <c r="AY48">
        <f t="shared" si="28"/>
        <v>-0.62345894870586172</v>
      </c>
      <c r="AZ48">
        <f t="shared" si="28"/>
        <v>-0.74941822032994754</v>
      </c>
      <c r="BA48">
        <f t="shared" si="28"/>
        <v>-0.80839771023840501</v>
      </c>
      <c r="BB48">
        <f t="shared" si="28"/>
        <v>-0.74306574145270665</v>
      </c>
      <c r="BC48">
        <f t="shared" si="28"/>
        <v>-0.86117160087435995</v>
      </c>
      <c r="BD48">
        <f t="shared" si="28"/>
        <v>-0.85007765417511938</v>
      </c>
      <c r="BE48">
        <f t="shared" si="28"/>
        <v>-0.71334398795095311</v>
      </c>
      <c r="BF48">
        <f t="shared" si="28"/>
        <v>-0.77165218827021942</v>
      </c>
      <c r="BG48">
        <f t="shared" si="28"/>
        <v>-0.66898354137412586</v>
      </c>
      <c r="BH48">
        <f t="shared" si="28"/>
        <v>-0.55778026372372702</v>
      </c>
      <c r="BI48">
        <f t="shared" si="28"/>
        <v>-0.54224175538740349</v>
      </c>
      <c r="BJ48">
        <f t="shared" si="28"/>
        <v>-0.47953039216403814</v>
      </c>
      <c r="BK48">
        <f t="shared" si="28"/>
        <v>-0.35306930687105109</v>
      </c>
      <c r="BL48">
        <f t="shared" si="28"/>
        <v>-0.41293327584441664</v>
      </c>
      <c r="BM48">
        <f t="shared" si="28"/>
        <v>-9.5197706021075801E-2</v>
      </c>
      <c r="BN48">
        <f t="shared" si="28"/>
        <v>5.7420641759956315E-2</v>
      </c>
      <c r="BO48">
        <f t="shared" si="28"/>
        <v>3.5379904834642151E-2</v>
      </c>
      <c r="BP48">
        <f t="shared" ref="BP48:CT48" si="29">BP12/BP2-BP44*BP11/BP2</f>
        <v>-6.9069864385161051E-2</v>
      </c>
      <c r="BQ48">
        <f t="shared" si="29"/>
        <v>0.22955447996438294</v>
      </c>
      <c r="BR48">
        <f t="shared" si="29"/>
        <v>0.37553438479059076</v>
      </c>
      <c r="BS48">
        <f t="shared" si="29"/>
        <v>0.75623168196013602</v>
      </c>
      <c r="BT48">
        <f t="shared" si="29"/>
        <v>1.0808364901215575</v>
      </c>
      <c r="BU48">
        <f t="shared" si="29"/>
        <v>1.5087881702725978</v>
      </c>
      <c r="BV48">
        <f t="shared" si="29"/>
        <v>1.0134571176234957</v>
      </c>
      <c r="BW48">
        <f t="shared" si="29"/>
        <v>0.80577364982677402</v>
      </c>
      <c r="BX48">
        <f t="shared" si="29"/>
        <v>0.34382317171916021</v>
      </c>
      <c r="BY48">
        <f t="shared" si="29"/>
        <v>0.66941064682488016</v>
      </c>
      <c r="BZ48">
        <f t="shared" si="29"/>
        <v>0.67758743955466727</v>
      </c>
      <c r="CA48">
        <f t="shared" si="29"/>
        <v>0.52290989712953095</v>
      </c>
      <c r="CB48">
        <f t="shared" si="29"/>
        <v>0.58465864340125617</v>
      </c>
      <c r="CC48">
        <f t="shared" si="29"/>
        <v>0.45524424283270526</v>
      </c>
      <c r="CD48">
        <f t="shared" si="29"/>
        <v>-0.14462691588434673</v>
      </c>
      <c r="CE48">
        <f t="shared" si="29"/>
        <v>0.12639393696344392</v>
      </c>
      <c r="CF48">
        <f t="shared" si="29"/>
        <v>0.53860414092911602</v>
      </c>
      <c r="CG48">
        <f t="shared" si="29"/>
        <v>0.44139376163165078</v>
      </c>
      <c r="CH48">
        <f t="shared" si="29"/>
        <v>0.58274324138428701</v>
      </c>
      <c r="CI48">
        <f t="shared" si="29"/>
        <v>1.2331544629494888</v>
      </c>
      <c r="CJ48">
        <f t="shared" si="29"/>
        <v>1.3844776177045326</v>
      </c>
      <c r="CK48">
        <f t="shared" si="29"/>
        <v>1.2900354582681335</v>
      </c>
      <c r="CL48">
        <f t="shared" si="29"/>
        <v>1.4526602563142623</v>
      </c>
      <c r="CM48">
        <f t="shared" si="29"/>
        <v>1.702747841202626</v>
      </c>
      <c r="CN48">
        <f t="shared" si="29"/>
        <v>1.40535872582271</v>
      </c>
      <c r="CO48">
        <f t="shared" si="29"/>
        <v>1.8698693928493009</v>
      </c>
      <c r="CP48">
        <f t="shared" si="29"/>
        <v>2.575878554429635</v>
      </c>
      <c r="CQ48">
        <f t="shared" si="29"/>
        <v>3.0187584431809205</v>
      </c>
      <c r="CR48">
        <f t="shared" si="29"/>
        <v>1.8690820577554803</v>
      </c>
      <c r="CS48">
        <f t="shared" si="29"/>
        <v>2.3400516857076377</v>
      </c>
      <c r="CT48">
        <f t="shared" si="29"/>
        <v>3.0280535218307749</v>
      </c>
    </row>
    <row r="49" spans="2:98">
      <c r="B49" t="s">
        <v>1852</v>
      </c>
      <c r="C49">
        <f>C12/C2-C45*C11/C2</f>
        <v>0.6346664688535828</v>
      </c>
      <c r="D49">
        <f t="shared" ref="D49:BO49" si="30">D12/D2-D45*D11/D2</f>
        <v>0.37083009751821372</v>
      </c>
      <c r="E49">
        <f t="shared" si="30"/>
        <v>-6.3292863538907618E-2</v>
      </c>
      <c r="F49">
        <f t="shared" si="30"/>
        <v>4.0319222077028538E-2</v>
      </c>
      <c r="G49">
        <f t="shared" si="30"/>
        <v>0.85952218778916167</v>
      </c>
      <c r="H49">
        <f t="shared" si="30"/>
        <v>0.16613240939759955</v>
      </c>
      <c r="I49">
        <f t="shared" si="30"/>
        <v>0.8019320645727146</v>
      </c>
      <c r="J49">
        <f t="shared" si="30"/>
        <v>1.0285992287729067</v>
      </c>
      <c r="K49">
        <f t="shared" si="30"/>
        <v>-0.16359194304533631</v>
      </c>
      <c r="L49">
        <f t="shared" si="30"/>
        <v>0.56762361232680414</v>
      </c>
      <c r="M49">
        <f t="shared" si="30"/>
        <v>0.43329397617009846</v>
      </c>
      <c r="N49">
        <f t="shared" si="30"/>
        <v>-6.0435529622242079E-2</v>
      </c>
      <c r="O49">
        <f t="shared" si="30"/>
        <v>-0.49474156226182964</v>
      </c>
      <c r="P49">
        <f t="shared" si="30"/>
        <v>-0.14023545898721546</v>
      </c>
      <c r="Q49">
        <f t="shared" si="30"/>
        <v>0.11307835936079336</v>
      </c>
      <c r="R49">
        <f t="shared" si="30"/>
        <v>0.1329987872021321</v>
      </c>
      <c r="S49">
        <f t="shared" si="30"/>
        <v>-4.3165610339115812E-2</v>
      </c>
      <c r="T49">
        <f t="shared" si="30"/>
        <v>-0.53672252308448387</v>
      </c>
      <c r="U49">
        <f t="shared" si="30"/>
        <v>-0.81485925821353233</v>
      </c>
      <c r="V49">
        <f t="shared" si="30"/>
        <v>-0.82902583131936236</v>
      </c>
      <c r="W49">
        <f t="shared" si="30"/>
        <v>-0.68310469717945477</v>
      </c>
      <c r="X49">
        <f t="shared" si="30"/>
        <v>-0.64020380719740433</v>
      </c>
      <c r="Y49">
        <f t="shared" si="30"/>
        <v>-0.51253289987136075</v>
      </c>
      <c r="Z49">
        <f t="shared" si="30"/>
        <v>-0.62452891138150091</v>
      </c>
      <c r="AA49">
        <f t="shared" si="30"/>
        <v>-0.73395192748967419</v>
      </c>
      <c r="AB49">
        <f t="shared" si="30"/>
        <v>-0.28037609068716307</v>
      </c>
      <c r="AC49">
        <f t="shared" si="30"/>
        <v>-2.5282019815405121E-2</v>
      </c>
      <c r="AD49">
        <f t="shared" si="30"/>
        <v>-8.99609282832039E-2</v>
      </c>
      <c r="AE49">
        <f t="shared" si="30"/>
        <v>-0.35753130959523971</v>
      </c>
      <c r="AF49">
        <f t="shared" si="30"/>
        <v>0.39322355946128007</v>
      </c>
      <c r="AG49">
        <f t="shared" si="30"/>
        <v>0.47581110886914413</v>
      </c>
      <c r="AH49">
        <f t="shared" si="30"/>
        <v>0.38933036324650927</v>
      </c>
      <c r="AI49">
        <f t="shared" si="30"/>
        <v>0.86482967262550647</v>
      </c>
      <c r="AJ49">
        <f t="shared" si="30"/>
        <v>0.65277868730465838</v>
      </c>
      <c r="AK49">
        <f t="shared" si="30"/>
        <v>0.68105730323873259</v>
      </c>
      <c r="AL49">
        <f t="shared" si="30"/>
        <v>0.69904555134695401</v>
      </c>
      <c r="AM49">
        <f t="shared" si="30"/>
        <v>0.60348485170266408</v>
      </c>
      <c r="AN49">
        <f t="shared" si="30"/>
        <v>0.22783762282568953</v>
      </c>
      <c r="AO49">
        <f t="shared" si="30"/>
        <v>0.4799092782161849</v>
      </c>
      <c r="AP49">
        <f t="shared" si="30"/>
        <v>0.59396322893282005</v>
      </c>
      <c r="AQ49">
        <f t="shared" si="30"/>
        <v>0.16199697622800513</v>
      </c>
      <c r="AR49">
        <f t="shared" si="30"/>
        <v>8.5121224843863974E-2</v>
      </c>
      <c r="AS49">
        <f t="shared" si="30"/>
        <v>0.16470022181134869</v>
      </c>
      <c r="AT49">
        <f t="shared" si="30"/>
        <v>0.20611623382116573</v>
      </c>
      <c r="AU49">
        <f t="shared" si="30"/>
        <v>-0.37887828453270389</v>
      </c>
      <c r="AV49">
        <f t="shared" si="30"/>
        <v>-1.0306751845535922</v>
      </c>
      <c r="AW49">
        <f t="shared" si="30"/>
        <v>-0.64857049645537002</v>
      </c>
      <c r="AX49">
        <f t="shared" si="30"/>
        <v>-0.64012129037954302</v>
      </c>
      <c r="AY49">
        <f t="shared" si="30"/>
        <v>-0.90163721614027881</v>
      </c>
      <c r="AZ49">
        <f t="shared" si="30"/>
        <v>-1.0866940556831022</v>
      </c>
      <c r="BA49">
        <f t="shared" si="30"/>
        <v>-1.1837185293619417</v>
      </c>
      <c r="BB49">
        <f t="shared" si="30"/>
        <v>-1.0950639134247855</v>
      </c>
      <c r="BC49">
        <f t="shared" si="30"/>
        <v>-1.2126906202684058</v>
      </c>
      <c r="BD49">
        <f t="shared" si="30"/>
        <v>-1.1451709506505858</v>
      </c>
      <c r="BE49">
        <f t="shared" si="30"/>
        <v>-0.96340451857668818</v>
      </c>
      <c r="BF49">
        <f t="shared" si="30"/>
        <v>-1.0982857978369269</v>
      </c>
      <c r="BG49">
        <f t="shared" si="30"/>
        <v>-0.99448316793472058</v>
      </c>
      <c r="BH49">
        <f t="shared" si="30"/>
        <v>-0.83026534927951068</v>
      </c>
      <c r="BI49">
        <f t="shared" si="30"/>
        <v>-0.75718006737514298</v>
      </c>
      <c r="BJ49">
        <f t="shared" si="30"/>
        <v>-0.68907128221561109</v>
      </c>
      <c r="BK49">
        <f t="shared" si="30"/>
        <v>-0.58337085677230571</v>
      </c>
      <c r="BL49">
        <f t="shared" si="30"/>
        <v>-0.64207467694929976</v>
      </c>
      <c r="BM49">
        <f t="shared" si="30"/>
        <v>-0.27048409470624346</v>
      </c>
      <c r="BN49">
        <f t="shared" si="30"/>
        <v>-0.11714677750566826</v>
      </c>
      <c r="BO49">
        <f t="shared" si="30"/>
        <v>-0.16236112362182631</v>
      </c>
      <c r="BP49">
        <f t="shared" ref="BP49:CT49" si="31">BP12/BP2-BP45*BP11/BP2</f>
        <v>-0.29039199921141723</v>
      </c>
      <c r="BQ49">
        <f t="shared" si="31"/>
        <v>-2.4986411075688553E-2</v>
      </c>
      <c r="BR49">
        <f t="shared" si="31"/>
        <v>9.8836632807185465E-2</v>
      </c>
      <c r="BS49">
        <f t="shared" si="31"/>
        <v>0.45901522684329521</v>
      </c>
      <c r="BT49">
        <f t="shared" si="31"/>
        <v>0.76850716949258424</v>
      </c>
      <c r="BU49">
        <f t="shared" si="31"/>
        <v>1.1809132996016416</v>
      </c>
      <c r="BV49">
        <f t="shared" si="31"/>
        <v>0.67442307908863741</v>
      </c>
      <c r="BW49">
        <f t="shared" si="31"/>
        <v>0.53953822215966785</v>
      </c>
      <c r="BX49">
        <f t="shared" si="31"/>
        <v>0.19581744340751994</v>
      </c>
      <c r="BY49">
        <f t="shared" si="31"/>
        <v>0.52606472080245847</v>
      </c>
      <c r="BZ49">
        <f t="shared" si="31"/>
        <v>0.51861204757235924</v>
      </c>
      <c r="CA49">
        <f t="shared" si="31"/>
        <v>0.33357348866792336</v>
      </c>
      <c r="CB49">
        <f t="shared" si="31"/>
        <v>0.37022568298470282</v>
      </c>
      <c r="CC49">
        <f t="shared" si="31"/>
        <v>0.21513105210251959</v>
      </c>
      <c r="CD49">
        <f t="shared" si="31"/>
        <v>-0.35850844787161762</v>
      </c>
      <c r="CE49">
        <f t="shared" si="31"/>
        <v>7.1726983242503373E-2</v>
      </c>
      <c r="CF49">
        <f t="shared" si="31"/>
        <v>0.45738152956807521</v>
      </c>
      <c r="CG49">
        <f t="shared" si="31"/>
        <v>0.30540260586077483</v>
      </c>
      <c r="CH49">
        <f t="shared" si="31"/>
        <v>0.39512866478874953</v>
      </c>
      <c r="CI49">
        <f t="shared" si="31"/>
        <v>1.0546739162272454</v>
      </c>
      <c r="CJ49">
        <f t="shared" si="31"/>
        <v>1.160127116754551</v>
      </c>
      <c r="CK49">
        <f t="shared" si="31"/>
        <v>1.0787287189854555</v>
      </c>
      <c r="CL49">
        <f t="shared" si="31"/>
        <v>1.2462983359639641</v>
      </c>
      <c r="CM49">
        <f t="shared" si="31"/>
        <v>1.4970457758551539</v>
      </c>
      <c r="CN49">
        <f t="shared" si="31"/>
        <v>1.1708234471530128</v>
      </c>
      <c r="CO49">
        <f t="shared" si="31"/>
        <v>1.6523386555066115</v>
      </c>
      <c r="CP49">
        <f t="shared" si="31"/>
        <v>2.423723935629515</v>
      </c>
      <c r="CQ49">
        <f t="shared" si="31"/>
        <v>2.8490065449758317</v>
      </c>
      <c r="CR49">
        <f t="shared" si="31"/>
        <v>1.6800831034006112</v>
      </c>
      <c r="CS49">
        <f t="shared" si="31"/>
        <v>2.1161427112907858</v>
      </c>
      <c r="CT49">
        <f t="shared" si="31"/>
        <v>2.814339818828743</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4A0F4-CE41-A646-9C5E-A207005651EE}">
  <dimension ref="A1:CH38"/>
  <sheetViews>
    <sheetView workbookViewId="0">
      <selection activeCell="A16" sqref="A16:A17"/>
    </sheetView>
  </sheetViews>
  <sheetFormatPr baseColWidth="10" defaultColWidth="11.5" defaultRowHeight="16"/>
  <cols>
    <col min="1" max="1" width="48" customWidth="1"/>
  </cols>
  <sheetData>
    <row r="1" spans="1:86" ht="18">
      <c r="A1" s="1" t="s">
        <v>113</v>
      </c>
      <c r="B1" s="2"/>
      <c r="C1" s="2"/>
      <c r="D1" s="2"/>
      <c r="E1" s="2"/>
      <c r="F1" s="2" t="s">
        <v>0</v>
      </c>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row>
    <row r="2" spans="1:86" ht="17" thickBot="1">
      <c r="A2" s="22" t="s">
        <v>1</v>
      </c>
      <c r="B2" s="22" t="s">
        <v>2</v>
      </c>
      <c r="C2" s="22" t="s">
        <v>3</v>
      </c>
      <c r="D2" s="22" t="s">
        <v>4</v>
      </c>
      <c r="E2" s="22" t="s">
        <v>5</v>
      </c>
      <c r="F2" s="22" t="s">
        <v>6</v>
      </c>
      <c r="G2" s="22" t="s">
        <v>7</v>
      </c>
      <c r="H2" s="22" t="s">
        <v>8</v>
      </c>
      <c r="I2" s="22" t="s">
        <v>9</v>
      </c>
      <c r="J2" s="22" t="s">
        <v>10</v>
      </c>
      <c r="K2" s="22" t="s">
        <v>11</v>
      </c>
      <c r="L2" s="22" t="s">
        <v>12</v>
      </c>
      <c r="M2" s="22" t="s">
        <v>13</v>
      </c>
      <c r="N2" s="22" t="s">
        <v>14</v>
      </c>
      <c r="O2" s="22" t="s">
        <v>15</v>
      </c>
      <c r="P2" s="22" t="s">
        <v>16</v>
      </c>
      <c r="Q2" s="22" t="s">
        <v>17</v>
      </c>
      <c r="R2" s="22" t="s">
        <v>18</v>
      </c>
      <c r="S2" s="22" t="s">
        <v>19</v>
      </c>
      <c r="T2" s="22" t="s">
        <v>20</v>
      </c>
      <c r="U2" s="22" t="s">
        <v>21</v>
      </c>
      <c r="V2" s="22" t="s">
        <v>22</v>
      </c>
      <c r="W2" s="22" t="s">
        <v>23</v>
      </c>
      <c r="X2" s="22" t="s">
        <v>24</v>
      </c>
      <c r="Y2" s="22" t="s">
        <v>25</v>
      </c>
      <c r="Z2" s="22" t="s">
        <v>26</v>
      </c>
      <c r="AA2" s="22" t="s">
        <v>27</v>
      </c>
      <c r="AB2" s="22" t="s">
        <v>28</v>
      </c>
      <c r="AC2" s="22" t="s">
        <v>29</v>
      </c>
      <c r="AD2" s="22" t="s">
        <v>30</v>
      </c>
      <c r="AE2" s="22" t="s">
        <v>31</v>
      </c>
      <c r="AF2" s="22" t="s">
        <v>32</v>
      </c>
      <c r="AG2" s="22" t="s">
        <v>33</v>
      </c>
      <c r="AH2" s="22" t="s">
        <v>34</v>
      </c>
      <c r="AI2" s="22" t="s">
        <v>35</v>
      </c>
      <c r="AJ2" s="22" t="s">
        <v>36</v>
      </c>
      <c r="AK2" s="22" t="s">
        <v>37</v>
      </c>
      <c r="AL2" s="22" t="s">
        <v>38</v>
      </c>
      <c r="AM2" s="22" t="s">
        <v>39</v>
      </c>
      <c r="AN2" s="22" t="s">
        <v>40</v>
      </c>
      <c r="AO2" s="22" t="s">
        <v>41</v>
      </c>
      <c r="AP2" s="22" t="s">
        <v>42</v>
      </c>
      <c r="AQ2" s="22" t="s">
        <v>43</v>
      </c>
      <c r="AR2" s="22" t="s">
        <v>44</v>
      </c>
      <c r="AS2" s="22" t="s">
        <v>45</v>
      </c>
      <c r="AT2" s="22" t="s">
        <v>46</v>
      </c>
      <c r="AU2" s="22" t="s">
        <v>47</v>
      </c>
      <c r="AV2" s="22" t="s">
        <v>48</v>
      </c>
      <c r="AW2" s="22" t="s">
        <v>49</v>
      </c>
      <c r="AX2" s="22" t="s">
        <v>50</v>
      </c>
      <c r="AY2" s="22" t="s">
        <v>51</v>
      </c>
      <c r="AZ2" s="22" t="s">
        <v>52</v>
      </c>
      <c r="BA2" s="22" t="s">
        <v>53</v>
      </c>
      <c r="BB2" s="22" t="s">
        <v>54</v>
      </c>
      <c r="BC2" s="22" t="s">
        <v>55</v>
      </c>
      <c r="BD2" s="22" t="s">
        <v>56</v>
      </c>
      <c r="BE2" s="22" t="s">
        <v>57</v>
      </c>
      <c r="BF2" s="22" t="s">
        <v>58</v>
      </c>
      <c r="BG2" s="22" t="s">
        <v>59</v>
      </c>
      <c r="BH2" s="22" t="s">
        <v>60</v>
      </c>
      <c r="BI2" s="22" t="s">
        <v>61</v>
      </c>
      <c r="BJ2" s="22" t="s">
        <v>62</v>
      </c>
      <c r="BK2" s="22" t="s">
        <v>63</v>
      </c>
      <c r="BL2" s="22" t="s">
        <v>64</v>
      </c>
      <c r="BM2" s="22" t="s">
        <v>65</v>
      </c>
      <c r="BN2" s="22" t="s">
        <v>66</v>
      </c>
      <c r="BO2" s="22" t="s">
        <v>67</v>
      </c>
      <c r="BP2" s="22" t="s">
        <v>68</v>
      </c>
      <c r="BQ2" s="22" t="s">
        <v>69</v>
      </c>
      <c r="BR2" s="22" t="s">
        <v>70</v>
      </c>
      <c r="BS2" s="22" t="s">
        <v>71</v>
      </c>
      <c r="BT2" s="22" t="s">
        <v>72</v>
      </c>
      <c r="BU2" s="22" t="s">
        <v>73</v>
      </c>
      <c r="BV2" s="22" t="s">
        <v>74</v>
      </c>
      <c r="BW2" s="22" t="s">
        <v>75</v>
      </c>
      <c r="BX2" s="22" t="s">
        <v>76</v>
      </c>
      <c r="BY2" s="22" t="s">
        <v>77</v>
      </c>
      <c r="BZ2" s="22" t="s">
        <v>78</v>
      </c>
      <c r="CA2" s="22" t="s">
        <v>79</v>
      </c>
      <c r="CB2" s="22" t="s">
        <v>80</v>
      </c>
      <c r="CC2" s="22" t="s">
        <v>81</v>
      </c>
      <c r="CD2" s="22" t="s">
        <v>82</v>
      </c>
      <c r="CE2" s="22" t="s">
        <v>83</v>
      </c>
      <c r="CF2" s="22" t="s">
        <v>84</v>
      </c>
      <c r="CG2" s="22" t="s">
        <v>85</v>
      </c>
      <c r="CH2" s="22" t="s">
        <v>86</v>
      </c>
    </row>
    <row r="3" spans="1:86">
      <c r="A3" t="s">
        <v>1459</v>
      </c>
      <c r="B3" t="s">
        <v>88</v>
      </c>
      <c r="C3">
        <v>1000000</v>
      </c>
      <c r="D3" t="s">
        <v>89</v>
      </c>
      <c r="E3" t="s">
        <v>1460</v>
      </c>
      <c r="F3" s="23" t="s">
        <v>1461</v>
      </c>
      <c r="G3">
        <v>733273</v>
      </c>
      <c r="H3">
        <v>817833</v>
      </c>
      <c r="I3">
        <v>934935</v>
      </c>
      <c r="J3">
        <v>991725</v>
      </c>
      <c r="K3">
        <v>1013747</v>
      </c>
      <c r="L3">
        <v>1120186</v>
      </c>
      <c r="M3">
        <v>1269077</v>
      </c>
      <c r="N3">
        <v>1317785</v>
      </c>
      <c r="O3">
        <v>1351999</v>
      </c>
      <c r="P3">
        <v>1497113</v>
      </c>
      <c r="Q3">
        <v>1679481</v>
      </c>
      <c r="R3">
        <v>1832498</v>
      </c>
      <c r="S3">
        <v>1866771</v>
      </c>
      <c r="T3">
        <v>2080972</v>
      </c>
      <c r="U3">
        <v>2210496</v>
      </c>
      <c r="V3">
        <v>2287245</v>
      </c>
      <c r="W3">
        <v>2521742</v>
      </c>
      <c r="X3">
        <v>2598968</v>
      </c>
      <c r="Y3">
        <v>2726472</v>
      </c>
      <c r="Z3">
        <v>2911977</v>
      </c>
      <c r="AA3">
        <v>3124583</v>
      </c>
      <c r="AB3">
        <v>3243599</v>
      </c>
      <c r="AC3">
        <v>3557415</v>
      </c>
      <c r="AD3">
        <v>3974923</v>
      </c>
      <c r="AE3">
        <v>4088663</v>
      </c>
      <c r="AF3">
        <v>4322288</v>
      </c>
      <c r="AG3">
        <v>4718697</v>
      </c>
      <c r="AH3">
        <v>5294069</v>
      </c>
      <c r="AI3">
        <v>5599547</v>
      </c>
      <c r="AJ3">
        <v>5835321</v>
      </c>
      <c r="AK3">
        <v>6602817</v>
      </c>
      <c r="AL3">
        <v>7288342</v>
      </c>
      <c r="AM3">
        <v>7903176</v>
      </c>
      <c r="AN3">
        <v>8888113</v>
      </c>
      <c r="AO3">
        <v>10272149</v>
      </c>
      <c r="AP3">
        <v>11792350</v>
      </c>
      <c r="AQ3">
        <v>12769304</v>
      </c>
      <c r="AR3">
        <v>13335352</v>
      </c>
      <c r="AS3">
        <v>14148311</v>
      </c>
      <c r="AT3">
        <v>15109572</v>
      </c>
      <c r="AU3">
        <v>16485542</v>
      </c>
      <c r="AV3">
        <v>17875263</v>
      </c>
      <c r="AW3">
        <v>19004781</v>
      </c>
      <c r="AX3">
        <v>20533955</v>
      </c>
      <c r="AY3">
        <v>22293729</v>
      </c>
      <c r="AZ3">
        <v>22775596</v>
      </c>
      <c r="BA3">
        <v>24130502</v>
      </c>
      <c r="BB3">
        <v>25093678</v>
      </c>
      <c r="BC3">
        <v>26414440</v>
      </c>
      <c r="BD3">
        <v>27452078</v>
      </c>
      <c r="BE3">
        <v>29810038</v>
      </c>
      <c r="BF3">
        <v>31995017</v>
      </c>
      <c r="BG3">
        <v>35684048</v>
      </c>
      <c r="BH3">
        <v>39569603</v>
      </c>
      <c r="BI3">
        <v>45125576</v>
      </c>
      <c r="BJ3">
        <v>45817440</v>
      </c>
      <c r="BK3">
        <v>46537331</v>
      </c>
      <c r="BL3">
        <v>45990464</v>
      </c>
      <c r="BM3">
        <v>51334751</v>
      </c>
      <c r="BN3">
        <v>57772107</v>
      </c>
      <c r="BO3">
        <v>63513873</v>
      </c>
      <c r="BP3">
        <v>68590785</v>
      </c>
      <c r="BQ3">
        <v>69637948</v>
      </c>
      <c r="BR3">
        <v>59655182</v>
      </c>
      <c r="BS3">
        <v>58484178</v>
      </c>
      <c r="BT3">
        <v>63014150</v>
      </c>
      <c r="BU3">
        <v>61929247</v>
      </c>
      <c r="BV3">
        <v>65945859</v>
      </c>
      <c r="BW3">
        <v>75557851</v>
      </c>
      <c r="BX3">
        <v>80021752</v>
      </c>
      <c r="BY3">
        <v>82238878</v>
      </c>
      <c r="BZ3">
        <v>87161969</v>
      </c>
      <c r="CA3">
        <v>95332022</v>
      </c>
      <c r="CB3">
        <v>94848037</v>
      </c>
      <c r="CC3">
        <v>103033483</v>
      </c>
      <c r="CD3">
        <v>113914917</v>
      </c>
      <c r="CE3">
        <v>136205372</v>
      </c>
      <c r="CF3">
        <v>135285879</v>
      </c>
      <c r="CG3">
        <v>144557112</v>
      </c>
      <c r="CH3">
        <v>156707266</v>
      </c>
    </row>
    <row r="4" spans="1:86">
      <c r="A4" t="s">
        <v>1462</v>
      </c>
      <c r="B4" t="s">
        <v>88</v>
      </c>
      <c r="C4">
        <v>1000000</v>
      </c>
      <c r="D4" t="s">
        <v>89</v>
      </c>
      <c r="E4" t="s">
        <v>1463</v>
      </c>
      <c r="F4" s="23" t="s">
        <v>1464</v>
      </c>
      <c r="G4">
        <v>189327</v>
      </c>
      <c r="H4">
        <v>220716</v>
      </c>
      <c r="I4">
        <v>280815</v>
      </c>
      <c r="J4">
        <v>313686</v>
      </c>
      <c r="K4">
        <v>340071</v>
      </c>
      <c r="L4">
        <v>387297</v>
      </c>
      <c r="M4">
        <v>430932</v>
      </c>
      <c r="N4">
        <v>463998</v>
      </c>
      <c r="O4">
        <v>493418</v>
      </c>
      <c r="P4">
        <v>520894</v>
      </c>
      <c r="Q4">
        <v>565453</v>
      </c>
      <c r="R4">
        <v>608073</v>
      </c>
      <c r="S4">
        <v>643776</v>
      </c>
      <c r="T4">
        <v>670313</v>
      </c>
      <c r="U4">
        <v>706020</v>
      </c>
      <c r="V4">
        <v>737552</v>
      </c>
      <c r="W4">
        <v>769614</v>
      </c>
      <c r="X4">
        <v>803569</v>
      </c>
      <c r="Y4">
        <v>839163</v>
      </c>
      <c r="Z4">
        <v>884104</v>
      </c>
      <c r="AA4">
        <v>930933</v>
      </c>
      <c r="AB4">
        <v>1005985</v>
      </c>
      <c r="AC4">
        <v>1074444</v>
      </c>
      <c r="AD4">
        <v>1200814</v>
      </c>
      <c r="AE4">
        <v>1308558</v>
      </c>
      <c r="AF4">
        <v>1390677</v>
      </c>
      <c r="AG4">
        <v>1517841</v>
      </c>
      <c r="AH4">
        <v>1714199</v>
      </c>
      <c r="AI4">
        <v>1943148</v>
      </c>
      <c r="AJ4">
        <v>2064417</v>
      </c>
      <c r="AK4">
        <v>2286518</v>
      </c>
      <c r="AL4">
        <v>2543119</v>
      </c>
      <c r="AM4">
        <v>2947334</v>
      </c>
      <c r="AN4">
        <v>3407984</v>
      </c>
      <c r="AO4">
        <v>3961948</v>
      </c>
      <c r="AP4">
        <v>4451130</v>
      </c>
      <c r="AQ4">
        <v>4916768</v>
      </c>
      <c r="AR4">
        <v>5148139</v>
      </c>
      <c r="AS4">
        <v>5444411</v>
      </c>
      <c r="AT4">
        <v>6150304</v>
      </c>
      <c r="AU4">
        <v>6937161</v>
      </c>
      <c r="AV4">
        <v>7644160</v>
      </c>
      <c r="AW4">
        <v>8330141</v>
      </c>
      <c r="AX4">
        <v>9094409</v>
      </c>
      <c r="AY4">
        <v>9817681</v>
      </c>
      <c r="AZ4">
        <v>10083770</v>
      </c>
      <c r="BA4">
        <v>10308657</v>
      </c>
      <c r="BB4">
        <v>10665051</v>
      </c>
      <c r="BC4">
        <v>11136594</v>
      </c>
      <c r="BD4">
        <v>11662709</v>
      </c>
      <c r="BE4">
        <v>11929586</v>
      </c>
      <c r="BF4">
        <v>12484792</v>
      </c>
      <c r="BG4">
        <v>13201651</v>
      </c>
      <c r="BH4">
        <v>14292512</v>
      </c>
      <c r="BI4">
        <v>15542198</v>
      </c>
      <c r="BJ4">
        <v>17549453</v>
      </c>
      <c r="BK4">
        <v>19536847</v>
      </c>
      <c r="BL4">
        <v>21309764</v>
      </c>
      <c r="BM4">
        <v>23178254</v>
      </c>
      <c r="BN4">
        <v>26438362</v>
      </c>
      <c r="BO4">
        <v>29769560</v>
      </c>
      <c r="BP4">
        <v>31090978</v>
      </c>
      <c r="BQ4">
        <v>30587677</v>
      </c>
      <c r="BR4">
        <v>28105337</v>
      </c>
      <c r="BS4">
        <v>26046008</v>
      </c>
      <c r="BT4">
        <v>25650841</v>
      </c>
      <c r="BU4">
        <v>25220683</v>
      </c>
      <c r="BV4">
        <v>25840518</v>
      </c>
      <c r="BW4">
        <v>27969505</v>
      </c>
      <c r="BX4">
        <v>29654637</v>
      </c>
      <c r="BY4">
        <v>31556587</v>
      </c>
      <c r="BZ4">
        <v>33665006</v>
      </c>
      <c r="CA4">
        <v>35879789</v>
      </c>
      <c r="CB4">
        <v>37209025</v>
      </c>
      <c r="CC4">
        <v>38517398</v>
      </c>
      <c r="CD4">
        <v>42808158</v>
      </c>
      <c r="CE4">
        <v>51375030</v>
      </c>
      <c r="CF4">
        <v>54832175</v>
      </c>
      <c r="CG4">
        <v>57680864</v>
      </c>
      <c r="CH4">
        <v>60080508</v>
      </c>
    </row>
    <row r="5" spans="1:86">
      <c r="A5" t="s">
        <v>1465</v>
      </c>
      <c r="B5" t="s">
        <v>88</v>
      </c>
      <c r="C5">
        <v>1000000</v>
      </c>
      <c r="D5" t="s">
        <v>89</v>
      </c>
      <c r="E5" t="s">
        <v>1466</v>
      </c>
      <c r="F5" s="23" t="s">
        <v>1467</v>
      </c>
      <c r="G5">
        <v>134635</v>
      </c>
      <c r="H5">
        <v>158074</v>
      </c>
      <c r="I5">
        <v>206381</v>
      </c>
      <c r="J5">
        <v>229359</v>
      </c>
      <c r="K5">
        <v>246931</v>
      </c>
      <c r="L5">
        <v>278126</v>
      </c>
      <c r="M5">
        <v>308963</v>
      </c>
      <c r="N5">
        <v>334895</v>
      </c>
      <c r="O5">
        <v>355919</v>
      </c>
      <c r="P5">
        <v>379599</v>
      </c>
      <c r="Q5">
        <v>414487</v>
      </c>
      <c r="R5">
        <v>445773</v>
      </c>
      <c r="S5">
        <v>471674</v>
      </c>
      <c r="T5">
        <v>493819</v>
      </c>
      <c r="U5">
        <v>521544</v>
      </c>
      <c r="V5">
        <v>547589</v>
      </c>
      <c r="W5">
        <v>576368</v>
      </c>
      <c r="X5">
        <v>603604</v>
      </c>
      <c r="Y5">
        <v>628622</v>
      </c>
      <c r="Z5">
        <v>662499</v>
      </c>
      <c r="AA5">
        <v>696286</v>
      </c>
      <c r="AB5">
        <v>748935</v>
      </c>
      <c r="AC5">
        <v>794221</v>
      </c>
      <c r="AD5">
        <v>889605</v>
      </c>
      <c r="AE5">
        <v>968674</v>
      </c>
      <c r="AF5">
        <v>1025204</v>
      </c>
      <c r="AG5">
        <v>1127739</v>
      </c>
      <c r="AH5">
        <v>1290675</v>
      </c>
      <c r="AI5">
        <v>1472632</v>
      </c>
      <c r="AJ5">
        <v>1517696</v>
      </c>
      <c r="AK5">
        <v>1684206</v>
      </c>
      <c r="AL5">
        <v>1880025</v>
      </c>
      <c r="AM5">
        <v>2211304</v>
      </c>
      <c r="AN5">
        <v>2577511</v>
      </c>
      <c r="AO5">
        <v>3025997</v>
      </c>
      <c r="AP5">
        <v>3413722</v>
      </c>
      <c r="AQ5">
        <v>3803851</v>
      </c>
      <c r="AR5">
        <v>3989640</v>
      </c>
      <c r="AS5">
        <v>4209413</v>
      </c>
      <c r="AT5">
        <v>4816923</v>
      </c>
      <c r="AU5">
        <v>5492906</v>
      </c>
      <c r="AV5">
        <v>6049418</v>
      </c>
      <c r="AW5">
        <v>6598723</v>
      </c>
      <c r="AX5">
        <v>7207766</v>
      </c>
      <c r="AY5">
        <v>7797521</v>
      </c>
      <c r="AZ5">
        <v>7941478</v>
      </c>
      <c r="BA5">
        <v>8080372</v>
      </c>
      <c r="BB5">
        <v>8353177</v>
      </c>
      <c r="BC5">
        <v>8711537</v>
      </c>
      <c r="BD5">
        <v>9110695</v>
      </c>
      <c r="BE5">
        <v>9267737</v>
      </c>
      <c r="BF5">
        <v>9721072</v>
      </c>
      <c r="BG5">
        <v>10341382</v>
      </c>
      <c r="BH5">
        <v>11303625</v>
      </c>
      <c r="BI5">
        <v>12381006</v>
      </c>
      <c r="BJ5">
        <v>14160428</v>
      </c>
      <c r="BK5">
        <v>15970953</v>
      </c>
      <c r="BL5">
        <v>17564511</v>
      </c>
      <c r="BM5">
        <v>19264275</v>
      </c>
      <c r="BN5">
        <v>22283537</v>
      </c>
      <c r="BO5">
        <v>25388489</v>
      </c>
      <c r="BP5">
        <v>26497066</v>
      </c>
      <c r="BQ5">
        <v>25795258</v>
      </c>
      <c r="BR5">
        <v>23190081</v>
      </c>
      <c r="BS5">
        <v>21115293</v>
      </c>
      <c r="BT5">
        <v>20719405</v>
      </c>
      <c r="BU5">
        <v>20146017</v>
      </c>
      <c r="BV5">
        <v>20652228</v>
      </c>
      <c r="BW5">
        <v>22690165</v>
      </c>
      <c r="BX5">
        <v>24266395</v>
      </c>
      <c r="BY5">
        <v>25995204</v>
      </c>
      <c r="BZ5">
        <v>27920752</v>
      </c>
      <c r="CA5">
        <v>29972160</v>
      </c>
      <c r="CB5">
        <v>31057948</v>
      </c>
      <c r="CC5">
        <v>32126419</v>
      </c>
      <c r="CD5">
        <v>36020399</v>
      </c>
      <c r="CE5">
        <v>43564200</v>
      </c>
      <c r="CF5">
        <v>46325329</v>
      </c>
      <c r="CG5">
        <v>48912521</v>
      </c>
      <c r="CH5">
        <v>51011988</v>
      </c>
    </row>
    <row r="6" spans="1:86">
      <c r="A6" t="s">
        <v>1468</v>
      </c>
      <c r="B6" t="s">
        <v>88</v>
      </c>
      <c r="C6">
        <v>1000000</v>
      </c>
      <c r="D6" t="s">
        <v>89</v>
      </c>
      <c r="E6" t="s">
        <v>1469</v>
      </c>
      <c r="F6" s="23" t="s">
        <v>1470</v>
      </c>
      <c r="G6">
        <v>436</v>
      </c>
      <c r="H6">
        <v>590</v>
      </c>
      <c r="I6">
        <v>768</v>
      </c>
      <c r="J6">
        <v>944</v>
      </c>
      <c r="K6">
        <v>1043</v>
      </c>
      <c r="L6">
        <v>1346</v>
      </c>
      <c r="M6">
        <v>1592</v>
      </c>
      <c r="N6">
        <v>1728</v>
      </c>
      <c r="O6">
        <v>1980</v>
      </c>
      <c r="P6">
        <v>2160</v>
      </c>
      <c r="Q6">
        <v>2412</v>
      </c>
      <c r="R6">
        <v>2726</v>
      </c>
      <c r="S6">
        <v>3050</v>
      </c>
      <c r="T6">
        <v>3263</v>
      </c>
      <c r="U6">
        <v>3550</v>
      </c>
      <c r="V6">
        <v>3760</v>
      </c>
      <c r="W6">
        <v>3989</v>
      </c>
      <c r="X6">
        <v>4245</v>
      </c>
      <c r="Y6">
        <v>4529</v>
      </c>
      <c r="Z6">
        <v>4873</v>
      </c>
      <c r="AA6">
        <v>5257</v>
      </c>
      <c r="AB6">
        <v>5795</v>
      </c>
      <c r="AC6">
        <v>6317</v>
      </c>
      <c r="AD6">
        <v>6876</v>
      </c>
      <c r="AE6">
        <v>7605</v>
      </c>
      <c r="AF6">
        <v>8354</v>
      </c>
      <c r="AG6">
        <v>9063</v>
      </c>
      <c r="AH6">
        <v>10558</v>
      </c>
      <c r="AI6">
        <v>12517</v>
      </c>
      <c r="AJ6">
        <v>16435</v>
      </c>
      <c r="AK6">
        <v>19180</v>
      </c>
      <c r="AL6">
        <v>21838</v>
      </c>
      <c r="AM6">
        <v>24480</v>
      </c>
      <c r="AN6">
        <v>27912</v>
      </c>
      <c r="AO6">
        <v>31525</v>
      </c>
      <c r="AP6">
        <v>36150</v>
      </c>
      <c r="AQ6">
        <v>40085</v>
      </c>
      <c r="AR6">
        <v>42670</v>
      </c>
      <c r="AS6">
        <v>45262</v>
      </c>
      <c r="AT6">
        <v>48100</v>
      </c>
      <c r="AU6">
        <v>50419</v>
      </c>
      <c r="AV6">
        <v>54289</v>
      </c>
      <c r="AW6">
        <v>58601</v>
      </c>
      <c r="AX6">
        <v>63306</v>
      </c>
      <c r="AY6">
        <v>68558</v>
      </c>
      <c r="AZ6">
        <v>74319</v>
      </c>
      <c r="BA6">
        <v>78767</v>
      </c>
      <c r="BB6">
        <v>82840</v>
      </c>
      <c r="BC6">
        <v>85114</v>
      </c>
      <c r="BD6">
        <v>87566</v>
      </c>
      <c r="BE6">
        <v>90118</v>
      </c>
      <c r="BF6">
        <v>91444</v>
      </c>
      <c r="BG6">
        <v>94611</v>
      </c>
      <c r="BH6">
        <v>103614</v>
      </c>
      <c r="BI6">
        <v>114288</v>
      </c>
      <c r="BJ6">
        <v>127343</v>
      </c>
      <c r="BK6">
        <v>140201</v>
      </c>
      <c r="BL6">
        <v>154827</v>
      </c>
      <c r="BM6">
        <v>167565</v>
      </c>
      <c r="BN6">
        <v>183824</v>
      </c>
      <c r="BO6">
        <v>197724</v>
      </c>
      <c r="BP6">
        <v>215065</v>
      </c>
      <c r="BQ6">
        <v>231681</v>
      </c>
      <c r="BR6">
        <v>255136</v>
      </c>
      <c r="BS6">
        <v>268585</v>
      </c>
      <c r="BT6">
        <v>284802</v>
      </c>
      <c r="BU6">
        <v>307356</v>
      </c>
      <c r="BV6">
        <v>326848</v>
      </c>
      <c r="BW6">
        <v>354638</v>
      </c>
      <c r="BX6">
        <v>380723</v>
      </c>
      <c r="BY6">
        <v>407721</v>
      </c>
      <c r="BZ6">
        <v>434808</v>
      </c>
      <c r="CA6">
        <v>457951</v>
      </c>
      <c r="CB6">
        <v>485525</v>
      </c>
      <c r="CC6">
        <v>514573</v>
      </c>
      <c r="CD6">
        <v>543747</v>
      </c>
      <c r="CE6">
        <v>581703</v>
      </c>
      <c r="CF6">
        <v>622277</v>
      </c>
      <c r="CG6">
        <v>653471</v>
      </c>
      <c r="CH6">
        <v>681682</v>
      </c>
    </row>
    <row r="7" spans="1:86">
      <c r="A7" t="s">
        <v>1471</v>
      </c>
      <c r="B7" t="s">
        <v>88</v>
      </c>
      <c r="C7">
        <v>1000000</v>
      </c>
      <c r="D7" t="s">
        <v>89</v>
      </c>
      <c r="E7" t="s">
        <v>1472</v>
      </c>
      <c r="F7" s="23" t="s">
        <v>1473</v>
      </c>
      <c r="G7">
        <v>257</v>
      </c>
      <c r="H7">
        <v>292</v>
      </c>
      <c r="I7">
        <v>310</v>
      </c>
      <c r="J7">
        <v>310</v>
      </c>
      <c r="K7">
        <v>315</v>
      </c>
      <c r="L7">
        <v>345</v>
      </c>
      <c r="M7">
        <v>366</v>
      </c>
      <c r="N7">
        <v>375</v>
      </c>
      <c r="O7">
        <v>394</v>
      </c>
      <c r="P7">
        <v>417</v>
      </c>
      <c r="Q7">
        <v>455</v>
      </c>
      <c r="R7">
        <v>502</v>
      </c>
      <c r="S7">
        <v>555</v>
      </c>
      <c r="T7">
        <v>628</v>
      </c>
      <c r="U7">
        <v>710</v>
      </c>
      <c r="V7">
        <v>784</v>
      </c>
      <c r="W7">
        <v>882</v>
      </c>
      <c r="X7">
        <v>1011</v>
      </c>
      <c r="Y7">
        <v>1168</v>
      </c>
      <c r="Z7">
        <v>1334</v>
      </c>
      <c r="AA7">
        <v>1522</v>
      </c>
      <c r="AB7">
        <v>1738</v>
      </c>
      <c r="AC7">
        <v>1984</v>
      </c>
      <c r="AD7">
        <v>2274</v>
      </c>
      <c r="AE7">
        <v>2568</v>
      </c>
      <c r="AF7">
        <v>2862</v>
      </c>
      <c r="AG7">
        <v>3143</v>
      </c>
      <c r="AH7">
        <v>3458</v>
      </c>
      <c r="AI7">
        <v>3967</v>
      </c>
      <c r="AJ7">
        <v>4615</v>
      </c>
      <c r="AK7">
        <v>5136</v>
      </c>
      <c r="AL7">
        <v>5735</v>
      </c>
      <c r="AM7">
        <v>6434</v>
      </c>
      <c r="AN7">
        <v>7463</v>
      </c>
      <c r="AO7">
        <v>8850</v>
      </c>
      <c r="AP7">
        <v>10389</v>
      </c>
      <c r="AQ7">
        <v>12053</v>
      </c>
      <c r="AR7">
        <v>13405</v>
      </c>
      <c r="AS7">
        <v>14644</v>
      </c>
      <c r="AT7">
        <v>15698</v>
      </c>
      <c r="AU7">
        <v>16706</v>
      </c>
      <c r="AV7">
        <v>18069</v>
      </c>
      <c r="AW7">
        <v>20155</v>
      </c>
      <c r="AX7">
        <v>23011</v>
      </c>
      <c r="AY7">
        <v>26019</v>
      </c>
      <c r="AZ7">
        <v>28931</v>
      </c>
      <c r="BA7">
        <v>32071</v>
      </c>
      <c r="BB7">
        <v>35566</v>
      </c>
      <c r="BC7">
        <v>37695</v>
      </c>
      <c r="BD7">
        <v>40312</v>
      </c>
      <c r="BE7">
        <v>42425</v>
      </c>
      <c r="BF7">
        <v>44347</v>
      </c>
      <c r="BG7">
        <v>47697</v>
      </c>
      <c r="BH7">
        <v>51510</v>
      </c>
      <c r="BI7">
        <v>55811</v>
      </c>
      <c r="BJ7">
        <v>59926</v>
      </c>
      <c r="BK7">
        <v>61393</v>
      </c>
      <c r="BL7">
        <v>64242</v>
      </c>
      <c r="BM7">
        <v>68813</v>
      </c>
      <c r="BN7">
        <v>72782</v>
      </c>
      <c r="BO7">
        <v>77077</v>
      </c>
      <c r="BP7">
        <v>80588</v>
      </c>
      <c r="BQ7">
        <v>85949</v>
      </c>
      <c r="BR7">
        <v>93873</v>
      </c>
      <c r="BS7">
        <v>101997</v>
      </c>
      <c r="BT7">
        <v>111132</v>
      </c>
      <c r="BU7">
        <v>122656</v>
      </c>
      <c r="BV7">
        <v>134002</v>
      </c>
      <c r="BW7">
        <v>147368</v>
      </c>
      <c r="BX7">
        <v>155759</v>
      </c>
      <c r="BY7">
        <v>163037</v>
      </c>
      <c r="BZ7">
        <v>172718</v>
      </c>
      <c r="CA7">
        <v>182042</v>
      </c>
      <c r="CB7">
        <v>193947</v>
      </c>
      <c r="CC7">
        <v>205063</v>
      </c>
      <c r="CD7">
        <v>221738</v>
      </c>
      <c r="CE7">
        <v>233171</v>
      </c>
      <c r="CF7">
        <v>245254</v>
      </c>
      <c r="CG7">
        <v>258301</v>
      </c>
      <c r="CH7">
        <v>275648</v>
      </c>
    </row>
    <row r="8" spans="1:86">
      <c r="A8" t="s">
        <v>195</v>
      </c>
      <c r="B8" t="s">
        <v>88</v>
      </c>
      <c r="C8">
        <v>1000000</v>
      </c>
      <c r="D8" t="s">
        <v>89</v>
      </c>
      <c r="E8" t="s">
        <v>1474</v>
      </c>
      <c r="F8" s="23" t="s">
        <v>1475</v>
      </c>
      <c r="G8">
        <v>53999</v>
      </c>
      <c r="H8">
        <v>61760</v>
      </c>
      <c r="I8">
        <v>73356</v>
      </c>
      <c r="J8">
        <v>83073</v>
      </c>
      <c r="K8">
        <v>91782</v>
      </c>
      <c r="L8">
        <v>107480</v>
      </c>
      <c r="M8">
        <v>120011</v>
      </c>
      <c r="N8">
        <v>127000</v>
      </c>
      <c r="O8">
        <v>135125</v>
      </c>
      <c r="P8">
        <v>138718</v>
      </c>
      <c r="Q8">
        <v>148099</v>
      </c>
      <c r="R8">
        <v>159072</v>
      </c>
      <c r="S8">
        <v>168497</v>
      </c>
      <c r="T8">
        <v>172603</v>
      </c>
      <c r="U8">
        <v>180216</v>
      </c>
      <c r="V8">
        <v>185419</v>
      </c>
      <c r="W8">
        <v>188375</v>
      </c>
      <c r="X8">
        <v>194709</v>
      </c>
      <c r="Y8">
        <v>204844</v>
      </c>
      <c r="Z8">
        <v>215398</v>
      </c>
      <c r="AA8">
        <v>227868</v>
      </c>
      <c r="AB8">
        <v>249517</v>
      </c>
      <c r="AC8">
        <v>271922</v>
      </c>
      <c r="AD8">
        <v>302059</v>
      </c>
      <c r="AE8">
        <v>329711</v>
      </c>
      <c r="AF8">
        <v>354257</v>
      </c>
      <c r="AG8">
        <v>377896</v>
      </c>
      <c r="AH8">
        <v>409508</v>
      </c>
      <c r="AI8">
        <v>454032</v>
      </c>
      <c r="AJ8">
        <v>525671</v>
      </c>
      <c r="AK8">
        <v>577996</v>
      </c>
      <c r="AL8">
        <v>635521</v>
      </c>
      <c r="AM8">
        <v>705116</v>
      </c>
      <c r="AN8">
        <v>795098</v>
      </c>
      <c r="AO8">
        <v>895576</v>
      </c>
      <c r="AP8">
        <v>990869</v>
      </c>
      <c r="AQ8">
        <v>1060779</v>
      </c>
      <c r="AR8">
        <v>1102424</v>
      </c>
      <c r="AS8">
        <v>1175092</v>
      </c>
      <c r="AT8">
        <v>1269583</v>
      </c>
      <c r="AU8">
        <v>1377130</v>
      </c>
      <c r="AV8">
        <v>1522384</v>
      </c>
      <c r="AW8">
        <v>1652662</v>
      </c>
      <c r="AX8">
        <v>1800326</v>
      </c>
      <c r="AY8">
        <v>1925583</v>
      </c>
      <c r="AZ8">
        <v>2039042</v>
      </c>
      <c r="BA8">
        <v>2117447</v>
      </c>
      <c r="BB8">
        <v>2193468</v>
      </c>
      <c r="BC8">
        <v>2302248</v>
      </c>
      <c r="BD8">
        <v>2424136</v>
      </c>
      <c r="BE8">
        <v>2529306</v>
      </c>
      <c r="BF8">
        <v>2627929</v>
      </c>
      <c r="BG8">
        <v>2717961</v>
      </c>
      <c r="BH8">
        <v>2833763</v>
      </c>
      <c r="BI8">
        <v>2991093</v>
      </c>
      <c r="BJ8">
        <v>3201756</v>
      </c>
      <c r="BK8">
        <v>3364300</v>
      </c>
      <c r="BL8">
        <v>3526184</v>
      </c>
      <c r="BM8">
        <v>3677601</v>
      </c>
      <c r="BN8">
        <v>3898219</v>
      </c>
      <c r="BO8">
        <v>4106270</v>
      </c>
      <c r="BP8">
        <v>4298259</v>
      </c>
      <c r="BQ8">
        <v>4474789</v>
      </c>
      <c r="BR8">
        <v>4566247</v>
      </c>
      <c r="BS8">
        <v>4560133</v>
      </c>
      <c r="BT8">
        <v>4535502</v>
      </c>
      <c r="BU8">
        <v>4644654</v>
      </c>
      <c r="BV8">
        <v>4727440</v>
      </c>
      <c r="BW8">
        <v>4777334</v>
      </c>
      <c r="BX8">
        <v>4851760</v>
      </c>
      <c r="BY8">
        <v>4990625</v>
      </c>
      <c r="BZ8">
        <v>5136728</v>
      </c>
      <c r="CA8">
        <v>5267636</v>
      </c>
      <c r="CB8">
        <v>5471605</v>
      </c>
      <c r="CC8">
        <v>5671343</v>
      </c>
      <c r="CD8">
        <v>6022274</v>
      </c>
      <c r="CE8">
        <v>6995956</v>
      </c>
      <c r="CF8">
        <v>7639315</v>
      </c>
      <c r="CG8">
        <v>7856571</v>
      </c>
      <c r="CH8">
        <v>8111190</v>
      </c>
    </row>
    <row r="9" spans="1:86">
      <c r="A9" t="s">
        <v>1476</v>
      </c>
      <c r="B9" t="s">
        <v>88</v>
      </c>
      <c r="C9">
        <v>1000000</v>
      </c>
      <c r="D9" t="s">
        <v>89</v>
      </c>
      <c r="E9" t="s">
        <v>1477</v>
      </c>
      <c r="F9" s="23" t="s">
        <v>1478</v>
      </c>
      <c r="G9">
        <v>188688</v>
      </c>
      <c r="H9">
        <v>227819</v>
      </c>
      <c r="I9">
        <v>262959</v>
      </c>
      <c r="J9">
        <v>281246</v>
      </c>
      <c r="K9">
        <v>284459</v>
      </c>
      <c r="L9">
        <v>304098</v>
      </c>
      <c r="M9">
        <v>333808</v>
      </c>
      <c r="N9">
        <v>336953</v>
      </c>
      <c r="O9">
        <v>337207</v>
      </c>
      <c r="P9">
        <v>344489</v>
      </c>
      <c r="Q9">
        <v>359453</v>
      </c>
      <c r="R9">
        <v>378823</v>
      </c>
      <c r="S9">
        <v>393645</v>
      </c>
      <c r="T9">
        <v>409859</v>
      </c>
      <c r="U9">
        <v>419022</v>
      </c>
      <c r="V9">
        <v>434722</v>
      </c>
      <c r="W9">
        <v>457533</v>
      </c>
      <c r="X9">
        <v>482177</v>
      </c>
      <c r="Y9">
        <v>495124</v>
      </c>
      <c r="Z9">
        <v>521651</v>
      </c>
      <c r="AA9">
        <v>556908</v>
      </c>
      <c r="AB9">
        <v>597837</v>
      </c>
      <c r="AC9">
        <v>631468</v>
      </c>
      <c r="AD9">
        <v>685644</v>
      </c>
      <c r="AE9">
        <v>734613</v>
      </c>
      <c r="AF9">
        <v>778637</v>
      </c>
      <c r="AG9">
        <v>861877</v>
      </c>
      <c r="AH9">
        <v>969757</v>
      </c>
      <c r="AI9">
        <v>1137615</v>
      </c>
      <c r="AJ9">
        <v>1292563</v>
      </c>
      <c r="AK9">
        <v>1413727</v>
      </c>
      <c r="AL9">
        <v>1568517</v>
      </c>
      <c r="AM9">
        <v>1762657</v>
      </c>
      <c r="AN9">
        <v>2038862</v>
      </c>
      <c r="AO9">
        <v>2378693</v>
      </c>
      <c r="AP9">
        <v>2689173</v>
      </c>
      <c r="AQ9">
        <v>2883132</v>
      </c>
      <c r="AR9">
        <v>3005164</v>
      </c>
      <c r="AS9">
        <v>3120880</v>
      </c>
      <c r="AT9">
        <v>3221698</v>
      </c>
      <c r="AU9">
        <v>3353925</v>
      </c>
      <c r="AV9">
        <v>3498188</v>
      </c>
      <c r="AW9">
        <v>3669597</v>
      </c>
      <c r="AX9">
        <v>3877704</v>
      </c>
      <c r="AY9">
        <v>4070053</v>
      </c>
      <c r="AZ9">
        <v>4158524</v>
      </c>
      <c r="BA9">
        <v>4084665</v>
      </c>
      <c r="BB9">
        <v>4031762</v>
      </c>
      <c r="BC9">
        <v>4147907</v>
      </c>
      <c r="BD9">
        <v>4349727</v>
      </c>
      <c r="BE9">
        <v>4528496</v>
      </c>
      <c r="BF9">
        <v>4760461</v>
      </c>
      <c r="BG9">
        <v>5203809</v>
      </c>
      <c r="BH9">
        <v>5510571</v>
      </c>
      <c r="BI9">
        <v>5909950</v>
      </c>
      <c r="BJ9">
        <v>6393538</v>
      </c>
      <c r="BK9">
        <v>6634585</v>
      </c>
      <c r="BL9">
        <v>7078073</v>
      </c>
      <c r="BM9">
        <v>7562615</v>
      </c>
      <c r="BN9">
        <v>8602156</v>
      </c>
      <c r="BO9">
        <v>9734904</v>
      </c>
      <c r="BP9">
        <v>10511942</v>
      </c>
      <c r="BQ9">
        <v>10699790</v>
      </c>
      <c r="BR9">
        <v>9807562</v>
      </c>
      <c r="BS9">
        <v>8552329</v>
      </c>
      <c r="BT9">
        <v>9021884</v>
      </c>
      <c r="BU9">
        <v>9197054</v>
      </c>
      <c r="BV9">
        <v>9733116</v>
      </c>
      <c r="BW9">
        <v>10604929</v>
      </c>
      <c r="BX9">
        <v>11335238</v>
      </c>
      <c r="BY9">
        <v>11957273</v>
      </c>
      <c r="BZ9">
        <v>12599108</v>
      </c>
      <c r="CA9">
        <v>13363327</v>
      </c>
      <c r="CB9">
        <v>13874943</v>
      </c>
      <c r="CC9">
        <v>14670219</v>
      </c>
      <c r="CD9">
        <v>15673569</v>
      </c>
      <c r="CE9">
        <v>18261928</v>
      </c>
      <c r="CF9">
        <v>19102278</v>
      </c>
      <c r="CG9">
        <v>18758406</v>
      </c>
      <c r="CH9">
        <v>19036293</v>
      </c>
    </row>
    <row r="10" spans="1:86">
      <c r="A10" t="s">
        <v>1479</v>
      </c>
      <c r="B10" t="s">
        <v>88</v>
      </c>
      <c r="C10">
        <v>1000000</v>
      </c>
      <c r="D10" t="s">
        <v>89</v>
      </c>
      <c r="E10" t="s">
        <v>1480</v>
      </c>
      <c r="F10" s="23" t="s">
        <v>1481</v>
      </c>
      <c r="G10">
        <v>151676</v>
      </c>
      <c r="H10">
        <v>179671</v>
      </c>
      <c r="I10">
        <v>206256</v>
      </c>
      <c r="J10">
        <v>218473</v>
      </c>
      <c r="K10">
        <v>223629</v>
      </c>
      <c r="L10">
        <v>236563</v>
      </c>
      <c r="M10">
        <v>255779</v>
      </c>
      <c r="N10">
        <v>262603</v>
      </c>
      <c r="O10">
        <v>264204</v>
      </c>
      <c r="P10">
        <v>271288</v>
      </c>
      <c r="Q10">
        <v>287208</v>
      </c>
      <c r="R10">
        <v>302998</v>
      </c>
      <c r="S10">
        <v>313203</v>
      </c>
      <c r="T10">
        <v>323570</v>
      </c>
      <c r="U10">
        <v>334803</v>
      </c>
      <c r="V10">
        <v>349081</v>
      </c>
      <c r="W10">
        <v>370084</v>
      </c>
      <c r="X10">
        <v>391707</v>
      </c>
      <c r="Y10">
        <v>405397</v>
      </c>
      <c r="Z10">
        <v>430762</v>
      </c>
      <c r="AA10">
        <v>458451</v>
      </c>
      <c r="AB10">
        <v>493570</v>
      </c>
      <c r="AC10">
        <v>522958</v>
      </c>
      <c r="AD10">
        <v>569262</v>
      </c>
      <c r="AE10">
        <v>609003</v>
      </c>
      <c r="AF10">
        <v>648063</v>
      </c>
      <c r="AG10">
        <v>719630</v>
      </c>
      <c r="AH10">
        <v>812021</v>
      </c>
      <c r="AI10">
        <v>952736</v>
      </c>
      <c r="AJ10">
        <v>1092686</v>
      </c>
      <c r="AK10">
        <v>1196958</v>
      </c>
      <c r="AL10">
        <v>1341057</v>
      </c>
      <c r="AM10">
        <v>1512676</v>
      </c>
      <c r="AN10">
        <v>1742627</v>
      </c>
      <c r="AO10">
        <v>2033457</v>
      </c>
      <c r="AP10">
        <v>2313816</v>
      </c>
      <c r="AQ10">
        <v>2485585</v>
      </c>
      <c r="AR10">
        <v>2589754</v>
      </c>
      <c r="AS10">
        <v>2704845</v>
      </c>
      <c r="AT10">
        <v>2789414</v>
      </c>
      <c r="AU10">
        <v>2912260</v>
      </c>
      <c r="AV10">
        <v>3054746</v>
      </c>
      <c r="AW10">
        <v>3208385</v>
      </c>
      <c r="AX10">
        <v>3388668</v>
      </c>
      <c r="AY10">
        <v>3557102</v>
      </c>
      <c r="AZ10">
        <v>3627015</v>
      </c>
      <c r="BA10">
        <v>3558666</v>
      </c>
      <c r="BB10">
        <v>3491595</v>
      </c>
      <c r="BC10">
        <v>3598151</v>
      </c>
      <c r="BD10">
        <v>3775833</v>
      </c>
      <c r="BE10">
        <v>3938765</v>
      </c>
      <c r="BF10">
        <v>4118650</v>
      </c>
      <c r="BG10">
        <v>4544029</v>
      </c>
      <c r="BH10">
        <v>4844518</v>
      </c>
      <c r="BI10">
        <v>5209030</v>
      </c>
      <c r="BJ10">
        <v>5648078</v>
      </c>
      <c r="BK10">
        <v>5875493</v>
      </c>
      <c r="BL10">
        <v>6287628</v>
      </c>
      <c r="BM10">
        <v>6736988</v>
      </c>
      <c r="BN10">
        <v>7724369</v>
      </c>
      <c r="BO10">
        <v>8800140</v>
      </c>
      <c r="BP10">
        <v>9518182</v>
      </c>
      <c r="BQ10">
        <v>9635008</v>
      </c>
      <c r="BR10">
        <v>8706511</v>
      </c>
      <c r="BS10">
        <v>7476211</v>
      </c>
      <c r="BT10">
        <v>7903416</v>
      </c>
      <c r="BU10">
        <v>8019481</v>
      </c>
      <c r="BV10">
        <v>8528165</v>
      </c>
      <c r="BW10">
        <v>9340514</v>
      </c>
      <c r="BX10">
        <v>10018388</v>
      </c>
      <c r="BY10">
        <v>10641128</v>
      </c>
      <c r="BZ10">
        <v>11275644</v>
      </c>
      <c r="CA10">
        <v>11987975</v>
      </c>
      <c r="CB10">
        <v>12451733</v>
      </c>
      <c r="CC10">
        <v>13198031</v>
      </c>
      <c r="CD10">
        <v>14164755</v>
      </c>
      <c r="CE10">
        <v>16605068</v>
      </c>
      <c r="CF10">
        <v>17293612</v>
      </c>
      <c r="CG10">
        <v>16866688</v>
      </c>
      <c r="CH10">
        <v>17050499</v>
      </c>
    </row>
    <row r="11" spans="1:86">
      <c r="A11" t="s">
        <v>1482</v>
      </c>
      <c r="B11" t="s">
        <v>88</v>
      </c>
      <c r="C11">
        <v>1000000</v>
      </c>
      <c r="D11" t="s">
        <v>89</v>
      </c>
      <c r="E11" t="s">
        <v>1483</v>
      </c>
      <c r="F11" s="23" t="s">
        <v>1484</v>
      </c>
      <c r="G11">
        <v>10964</v>
      </c>
      <c r="H11">
        <v>13074</v>
      </c>
      <c r="I11">
        <v>17090</v>
      </c>
      <c r="J11">
        <v>21750</v>
      </c>
      <c r="K11">
        <v>23749</v>
      </c>
      <c r="L11">
        <v>28420</v>
      </c>
      <c r="M11">
        <v>31385</v>
      </c>
      <c r="N11">
        <v>32717</v>
      </c>
      <c r="O11">
        <v>34704</v>
      </c>
      <c r="P11">
        <v>35044</v>
      </c>
      <c r="Q11">
        <v>38014</v>
      </c>
      <c r="R11">
        <v>40430</v>
      </c>
      <c r="S11">
        <v>42761</v>
      </c>
      <c r="T11">
        <v>43678</v>
      </c>
      <c r="U11">
        <v>45090</v>
      </c>
      <c r="V11">
        <v>45487</v>
      </c>
      <c r="W11">
        <v>45398</v>
      </c>
      <c r="X11">
        <v>46183</v>
      </c>
      <c r="Y11">
        <v>47571</v>
      </c>
      <c r="Z11">
        <v>49566</v>
      </c>
      <c r="AA11">
        <v>52385</v>
      </c>
      <c r="AB11">
        <v>56839</v>
      </c>
      <c r="AC11">
        <v>60640</v>
      </c>
      <c r="AD11">
        <v>64814</v>
      </c>
      <c r="AE11">
        <v>69951</v>
      </c>
      <c r="AF11">
        <v>75670</v>
      </c>
      <c r="AG11">
        <v>80391</v>
      </c>
      <c r="AH11">
        <v>85049</v>
      </c>
      <c r="AI11">
        <v>94515</v>
      </c>
      <c r="AJ11">
        <v>114461</v>
      </c>
      <c r="AK11">
        <v>127379</v>
      </c>
      <c r="AL11">
        <v>139076</v>
      </c>
      <c r="AM11">
        <v>153768</v>
      </c>
      <c r="AN11">
        <v>173992</v>
      </c>
      <c r="AO11">
        <v>202086</v>
      </c>
      <c r="AP11">
        <v>227609</v>
      </c>
      <c r="AQ11">
        <v>253944</v>
      </c>
      <c r="AR11">
        <v>265258</v>
      </c>
      <c r="AS11">
        <v>268073</v>
      </c>
      <c r="AT11">
        <v>275474</v>
      </c>
      <c r="AU11">
        <v>283730</v>
      </c>
      <c r="AV11">
        <v>294536</v>
      </c>
      <c r="AW11">
        <v>303632</v>
      </c>
      <c r="AX11">
        <v>319657</v>
      </c>
      <c r="AY11">
        <v>333525</v>
      </c>
      <c r="AZ11">
        <v>340708</v>
      </c>
      <c r="BA11">
        <v>341091</v>
      </c>
      <c r="BB11">
        <v>341468</v>
      </c>
      <c r="BC11">
        <v>347761</v>
      </c>
      <c r="BD11">
        <v>359958</v>
      </c>
      <c r="BE11">
        <v>373811</v>
      </c>
      <c r="BF11">
        <v>384648</v>
      </c>
      <c r="BG11">
        <v>394954</v>
      </c>
      <c r="BH11">
        <v>407455</v>
      </c>
      <c r="BI11">
        <v>424173</v>
      </c>
      <c r="BJ11">
        <v>446601</v>
      </c>
      <c r="BK11">
        <v>463398</v>
      </c>
      <c r="BL11">
        <v>478900</v>
      </c>
      <c r="BM11">
        <v>492373</v>
      </c>
      <c r="BN11">
        <v>527455</v>
      </c>
      <c r="BO11">
        <v>562305</v>
      </c>
      <c r="BP11">
        <v>607005</v>
      </c>
      <c r="BQ11">
        <v>642030</v>
      </c>
      <c r="BR11">
        <v>678964</v>
      </c>
      <c r="BS11">
        <v>671933</v>
      </c>
      <c r="BT11">
        <v>682617</v>
      </c>
      <c r="BU11">
        <v>707028</v>
      </c>
      <c r="BV11">
        <v>731801</v>
      </c>
      <c r="BW11">
        <v>768848</v>
      </c>
      <c r="BX11">
        <v>795061</v>
      </c>
      <c r="BY11">
        <v>811007</v>
      </c>
      <c r="BZ11">
        <v>819333</v>
      </c>
      <c r="CA11">
        <v>839201</v>
      </c>
      <c r="CB11">
        <v>868464</v>
      </c>
      <c r="CC11">
        <v>894903</v>
      </c>
      <c r="CD11">
        <v>920830</v>
      </c>
      <c r="CE11">
        <v>998940</v>
      </c>
      <c r="CF11">
        <v>1084767</v>
      </c>
      <c r="CG11">
        <v>1124436</v>
      </c>
      <c r="CH11">
        <v>1161744</v>
      </c>
    </row>
    <row r="12" spans="1:86">
      <c r="A12" t="s">
        <v>1485</v>
      </c>
      <c r="B12" t="s">
        <v>88</v>
      </c>
      <c r="C12">
        <v>1000000</v>
      </c>
      <c r="D12" t="s">
        <v>89</v>
      </c>
      <c r="E12" t="s">
        <v>1486</v>
      </c>
      <c r="F12" s="23" t="s">
        <v>1487</v>
      </c>
      <c r="G12">
        <v>1942</v>
      </c>
      <c r="H12">
        <v>2162</v>
      </c>
      <c r="I12">
        <v>2507</v>
      </c>
      <c r="J12">
        <v>2667</v>
      </c>
      <c r="K12">
        <v>2777</v>
      </c>
      <c r="L12">
        <v>3009</v>
      </c>
      <c r="M12">
        <v>3103</v>
      </c>
      <c r="N12">
        <v>3221</v>
      </c>
      <c r="O12">
        <v>3430</v>
      </c>
      <c r="P12">
        <v>3603</v>
      </c>
      <c r="Q12">
        <v>3850</v>
      </c>
      <c r="R12">
        <v>4110</v>
      </c>
      <c r="S12">
        <v>4392</v>
      </c>
      <c r="T12">
        <v>4596</v>
      </c>
      <c r="U12">
        <v>4964</v>
      </c>
      <c r="V12">
        <v>5154</v>
      </c>
      <c r="W12">
        <v>5480</v>
      </c>
      <c r="X12">
        <v>5680</v>
      </c>
      <c r="Y12">
        <v>5958</v>
      </c>
      <c r="Z12">
        <v>6186</v>
      </c>
      <c r="AA12">
        <v>6463</v>
      </c>
      <c r="AB12">
        <v>6690</v>
      </c>
      <c r="AC12">
        <v>7023</v>
      </c>
      <c r="AD12">
        <v>7321</v>
      </c>
      <c r="AE12">
        <v>7756</v>
      </c>
      <c r="AF12">
        <v>8142</v>
      </c>
      <c r="AG12">
        <v>8216</v>
      </c>
      <c r="AH12">
        <v>8279</v>
      </c>
      <c r="AI12">
        <v>8450</v>
      </c>
      <c r="AJ12">
        <v>8953</v>
      </c>
      <c r="AK12">
        <v>9264</v>
      </c>
      <c r="AL12">
        <v>9686</v>
      </c>
      <c r="AM12">
        <v>10008</v>
      </c>
      <c r="AN12">
        <v>10959</v>
      </c>
      <c r="AO12">
        <v>12202</v>
      </c>
      <c r="AP12">
        <v>13666</v>
      </c>
      <c r="AQ12">
        <v>15311</v>
      </c>
      <c r="AR12">
        <v>16566</v>
      </c>
      <c r="AS12">
        <v>17915</v>
      </c>
      <c r="AT12">
        <v>19855</v>
      </c>
      <c r="AU12">
        <v>22012</v>
      </c>
      <c r="AV12">
        <v>24417</v>
      </c>
      <c r="AW12">
        <v>28105</v>
      </c>
      <c r="AX12">
        <v>33847</v>
      </c>
      <c r="AY12">
        <v>39929</v>
      </c>
      <c r="AZ12">
        <v>46014</v>
      </c>
      <c r="BA12">
        <v>51818</v>
      </c>
      <c r="BB12">
        <v>57225</v>
      </c>
      <c r="BC12">
        <v>62097</v>
      </c>
      <c r="BD12">
        <v>67201</v>
      </c>
      <c r="BE12">
        <v>72484</v>
      </c>
      <c r="BF12">
        <v>77023</v>
      </c>
      <c r="BG12">
        <v>82819</v>
      </c>
      <c r="BH12">
        <v>90612</v>
      </c>
      <c r="BI12">
        <v>101839</v>
      </c>
      <c r="BJ12">
        <v>114050</v>
      </c>
      <c r="BK12">
        <v>121009</v>
      </c>
      <c r="BL12">
        <v>128475</v>
      </c>
      <c r="BM12">
        <v>136837</v>
      </c>
      <c r="BN12">
        <v>143903</v>
      </c>
      <c r="BO12">
        <v>154293</v>
      </c>
      <c r="BP12">
        <v>164458</v>
      </c>
      <c r="BQ12">
        <v>175832</v>
      </c>
      <c r="BR12">
        <v>183941</v>
      </c>
      <c r="BS12">
        <v>186573</v>
      </c>
      <c r="BT12">
        <v>191485</v>
      </c>
      <c r="BU12">
        <v>196795</v>
      </c>
      <c r="BV12">
        <v>202243</v>
      </c>
      <c r="BW12">
        <v>217714</v>
      </c>
      <c r="BX12">
        <v>229951</v>
      </c>
      <c r="BY12">
        <v>243405</v>
      </c>
      <c r="BZ12">
        <v>252310</v>
      </c>
      <c r="CA12">
        <v>276603</v>
      </c>
      <c r="CB12">
        <v>293623</v>
      </c>
      <c r="CC12">
        <v>319054</v>
      </c>
      <c r="CD12">
        <v>347515</v>
      </c>
      <c r="CE12">
        <v>372475</v>
      </c>
      <c r="CF12">
        <v>412860</v>
      </c>
      <c r="CG12">
        <v>449464</v>
      </c>
      <c r="CH12">
        <v>484930</v>
      </c>
    </row>
    <row r="13" spans="1:86">
      <c r="A13" t="s">
        <v>1488</v>
      </c>
      <c r="B13" t="s">
        <v>88</v>
      </c>
      <c r="C13">
        <v>1000000</v>
      </c>
      <c r="D13" t="s">
        <v>89</v>
      </c>
      <c r="E13" t="s">
        <v>1489</v>
      </c>
      <c r="F13" s="23" t="s">
        <v>1490</v>
      </c>
      <c r="G13">
        <v>24106</v>
      </c>
      <c r="H13">
        <v>32912</v>
      </c>
      <c r="I13">
        <v>37106</v>
      </c>
      <c r="J13">
        <v>38356</v>
      </c>
      <c r="K13">
        <v>34304</v>
      </c>
      <c r="L13">
        <v>36106</v>
      </c>
      <c r="M13">
        <v>43541</v>
      </c>
      <c r="N13">
        <v>38412</v>
      </c>
      <c r="O13">
        <v>34869</v>
      </c>
      <c r="P13">
        <v>34554</v>
      </c>
      <c r="Q13">
        <v>30381</v>
      </c>
      <c r="R13">
        <v>31285</v>
      </c>
      <c r="S13">
        <v>33289</v>
      </c>
      <c r="T13">
        <v>38015</v>
      </c>
      <c r="U13">
        <v>34165</v>
      </c>
      <c r="V13">
        <v>35000</v>
      </c>
      <c r="W13">
        <v>36571</v>
      </c>
      <c r="X13">
        <v>38607</v>
      </c>
      <c r="Y13">
        <v>36198</v>
      </c>
      <c r="Z13">
        <v>35137</v>
      </c>
      <c r="AA13">
        <v>39609</v>
      </c>
      <c r="AB13">
        <v>40738</v>
      </c>
      <c r="AC13">
        <v>40847</v>
      </c>
      <c r="AD13">
        <v>44247</v>
      </c>
      <c r="AE13">
        <v>47903</v>
      </c>
      <c r="AF13">
        <v>46762</v>
      </c>
      <c r="AG13">
        <v>53640</v>
      </c>
      <c r="AH13">
        <v>64408</v>
      </c>
      <c r="AI13">
        <v>81914</v>
      </c>
      <c r="AJ13">
        <v>76463</v>
      </c>
      <c r="AK13">
        <v>80126</v>
      </c>
      <c r="AL13">
        <v>78698</v>
      </c>
      <c r="AM13">
        <v>86205</v>
      </c>
      <c r="AN13">
        <v>111284</v>
      </c>
      <c r="AO13">
        <v>130948</v>
      </c>
      <c r="AP13">
        <v>134082</v>
      </c>
      <c r="AQ13">
        <v>128292</v>
      </c>
      <c r="AR13">
        <v>133586</v>
      </c>
      <c r="AS13">
        <v>130047</v>
      </c>
      <c r="AT13">
        <v>136955</v>
      </c>
      <c r="AU13">
        <v>135923</v>
      </c>
      <c r="AV13">
        <v>124489</v>
      </c>
      <c r="AW13">
        <v>129475</v>
      </c>
      <c r="AX13">
        <v>135532</v>
      </c>
      <c r="AY13">
        <v>139497</v>
      </c>
      <c r="AZ13">
        <v>144787</v>
      </c>
      <c r="BA13">
        <v>133090</v>
      </c>
      <c r="BB13">
        <v>141474</v>
      </c>
      <c r="BC13">
        <v>139898</v>
      </c>
      <c r="BD13">
        <v>146735</v>
      </c>
      <c r="BE13">
        <v>143436</v>
      </c>
      <c r="BF13">
        <v>180140</v>
      </c>
      <c r="BG13">
        <v>182007</v>
      </c>
      <c r="BH13">
        <v>167986</v>
      </c>
      <c r="BI13">
        <v>174908</v>
      </c>
      <c r="BJ13">
        <v>184809</v>
      </c>
      <c r="BK13">
        <v>174685</v>
      </c>
      <c r="BL13">
        <v>183070</v>
      </c>
      <c r="BM13">
        <v>196417</v>
      </c>
      <c r="BN13">
        <v>206429</v>
      </c>
      <c r="BO13">
        <v>218166</v>
      </c>
      <c r="BP13">
        <v>222297</v>
      </c>
      <c r="BQ13">
        <v>246920</v>
      </c>
      <c r="BR13">
        <v>238146</v>
      </c>
      <c r="BS13">
        <v>217612</v>
      </c>
      <c r="BT13">
        <v>244366</v>
      </c>
      <c r="BU13">
        <v>273750</v>
      </c>
      <c r="BV13">
        <v>270907</v>
      </c>
      <c r="BW13">
        <v>277853</v>
      </c>
      <c r="BX13">
        <v>291838</v>
      </c>
      <c r="BY13">
        <v>261733</v>
      </c>
      <c r="BZ13">
        <v>251821</v>
      </c>
      <c r="CA13">
        <v>259548</v>
      </c>
      <c r="CB13">
        <v>261123</v>
      </c>
      <c r="CC13">
        <v>258231</v>
      </c>
      <c r="CD13">
        <v>240469</v>
      </c>
      <c r="CE13">
        <v>285445</v>
      </c>
      <c r="CF13">
        <v>311039</v>
      </c>
      <c r="CG13">
        <v>317818</v>
      </c>
      <c r="CH13">
        <v>339120</v>
      </c>
    </row>
    <row r="14" spans="1:86">
      <c r="A14" t="s">
        <v>806</v>
      </c>
      <c r="B14" t="s">
        <v>88</v>
      </c>
      <c r="C14">
        <v>1000000</v>
      </c>
      <c r="D14" t="s">
        <v>89</v>
      </c>
      <c r="E14" t="s">
        <v>976</v>
      </c>
      <c r="F14" s="23" t="s">
        <v>977</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950</v>
      </c>
      <c r="AJ14">
        <v>1706</v>
      </c>
      <c r="AK14">
        <v>2135</v>
      </c>
      <c r="AL14">
        <v>1943</v>
      </c>
      <c r="AM14">
        <v>1711</v>
      </c>
      <c r="AN14">
        <v>1973</v>
      </c>
      <c r="AO14">
        <v>2694</v>
      </c>
      <c r="AP14">
        <v>2172</v>
      </c>
      <c r="AQ14">
        <v>2191</v>
      </c>
      <c r="AR14">
        <v>2994</v>
      </c>
      <c r="AS14">
        <v>3642</v>
      </c>
      <c r="AT14">
        <v>3966</v>
      </c>
      <c r="AU14">
        <v>4718</v>
      </c>
      <c r="AV14">
        <v>6398</v>
      </c>
      <c r="AW14">
        <v>5877</v>
      </c>
      <c r="AX14">
        <v>6578</v>
      </c>
      <c r="AY14">
        <v>5788</v>
      </c>
      <c r="AZ14">
        <v>4524</v>
      </c>
      <c r="BA14">
        <v>5680</v>
      </c>
      <c r="BB14">
        <v>5889</v>
      </c>
      <c r="BC14">
        <v>6966</v>
      </c>
      <c r="BD14">
        <v>5868</v>
      </c>
      <c r="BE14">
        <v>7005</v>
      </c>
      <c r="BF14">
        <v>7837</v>
      </c>
      <c r="BG14">
        <v>10911</v>
      </c>
      <c r="BH14">
        <v>11257</v>
      </c>
      <c r="BI14">
        <v>13774</v>
      </c>
      <c r="BJ14">
        <v>14609</v>
      </c>
      <c r="BK14">
        <v>19232</v>
      </c>
      <c r="BL14">
        <v>18595</v>
      </c>
      <c r="BM14">
        <v>19076</v>
      </c>
      <c r="BN14">
        <v>18810</v>
      </c>
      <c r="BO14">
        <v>18965</v>
      </c>
      <c r="BP14">
        <v>16977</v>
      </c>
      <c r="BQ14">
        <v>22230</v>
      </c>
      <c r="BR14">
        <v>21785</v>
      </c>
      <c r="BS14">
        <v>23035</v>
      </c>
      <c r="BT14">
        <v>29197</v>
      </c>
      <c r="BU14">
        <v>27446</v>
      </c>
      <c r="BV14">
        <v>37886</v>
      </c>
      <c r="BW14">
        <v>40794</v>
      </c>
      <c r="BX14">
        <v>45121</v>
      </c>
      <c r="BY14">
        <v>50404</v>
      </c>
      <c r="BZ14">
        <v>67741</v>
      </c>
      <c r="CA14">
        <v>68693</v>
      </c>
      <c r="CB14">
        <v>78230</v>
      </c>
      <c r="CC14">
        <v>83475</v>
      </c>
      <c r="CD14">
        <v>90334</v>
      </c>
      <c r="CE14">
        <v>106104</v>
      </c>
      <c r="CF14">
        <v>109761</v>
      </c>
      <c r="CG14">
        <v>123829</v>
      </c>
      <c r="CH14">
        <v>140600</v>
      </c>
    </row>
    <row r="15" spans="1:86">
      <c r="A15" t="s">
        <v>1491</v>
      </c>
      <c r="B15" t="s">
        <v>88</v>
      </c>
      <c r="C15">
        <v>1000000</v>
      </c>
      <c r="D15" t="s">
        <v>89</v>
      </c>
      <c r="E15" t="s">
        <v>1492</v>
      </c>
      <c r="F15" s="23" t="s">
        <v>1493</v>
      </c>
      <c r="G15">
        <v>152328</v>
      </c>
      <c r="H15">
        <v>158831</v>
      </c>
      <c r="I15">
        <v>161921</v>
      </c>
      <c r="J15">
        <v>165216</v>
      </c>
      <c r="K15">
        <v>170947</v>
      </c>
      <c r="L15">
        <v>199319</v>
      </c>
      <c r="M15">
        <v>246419</v>
      </c>
      <c r="N15">
        <v>240284</v>
      </c>
      <c r="O15">
        <v>236353</v>
      </c>
      <c r="P15">
        <v>331169</v>
      </c>
      <c r="Q15">
        <v>429646</v>
      </c>
      <c r="R15">
        <v>482419</v>
      </c>
      <c r="S15">
        <v>443458</v>
      </c>
      <c r="T15">
        <v>592828</v>
      </c>
      <c r="U15">
        <v>666595</v>
      </c>
      <c r="V15">
        <v>676956</v>
      </c>
      <c r="W15">
        <v>831452</v>
      </c>
      <c r="X15">
        <v>816110</v>
      </c>
      <c r="Y15">
        <v>866736</v>
      </c>
      <c r="Z15">
        <v>954184</v>
      </c>
      <c r="AA15">
        <v>1038520</v>
      </c>
      <c r="AB15">
        <v>992433</v>
      </c>
      <c r="AC15">
        <v>1159507</v>
      </c>
      <c r="AD15">
        <v>1335224</v>
      </c>
      <c r="AE15">
        <v>1213662</v>
      </c>
      <c r="AF15">
        <v>1228693</v>
      </c>
      <c r="AG15">
        <v>1356172</v>
      </c>
      <c r="AH15">
        <v>1537949</v>
      </c>
      <c r="AI15">
        <v>1304968</v>
      </c>
      <c r="AJ15">
        <v>993686</v>
      </c>
      <c r="AK15">
        <v>1330051</v>
      </c>
      <c r="AL15">
        <v>1476930</v>
      </c>
      <c r="AM15">
        <v>1399113</v>
      </c>
      <c r="AN15">
        <v>1457404</v>
      </c>
      <c r="AO15">
        <v>1657768</v>
      </c>
      <c r="AP15">
        <v>2048076</v>
      </c>
      <c r="AQ15">
        <v>2086764</v>
      </c>
      <c r="AR15">
        <v>2210892</v>
      </c>
      <c r="AS15">
        <v>2466090</v>
      </c>
      <c r="AT15">
        <v>2520650</v>
      </c>
      <c r="AU15">
        <v>2917674</v>
      </c>
      <c r="AV15">
        <v>3286142</v>
      </c>
      <c r="AW15">
        <v>3395224</v>
      </c>
      <c r="AX15">
        <v>3778294</v>
      </c>
      <c r="AY15">
        <v>4473803</v>
      </c>
      <c r="AZ15">
        <v>4532359</v>
      </c>
      <c r="BA15">
        <v>5667480</v>
      </c>
      <c r="BB15">
        <v>6440514</v>
      </c>
      <c r="BC15">
        <v>6721593</v>
      </c>
      <c r="BD15">
        <v>6735344</v>
      </c>
      <c r="BE15">
        <v>8558357</v>
      </c>
      <c r="BF15">
        <v>9791542</v>
      </c>
      <c r="BG15">
        <v>12438770</v>
      </c>
      <c r="BH15">
        <v>15006702</v>
      </c>
      <c r="BI15">
        <v>18449080</v>
      </c>
      <c r="BJ15">
        <v>16720697</v>
      </c>
      <c r="BK15">
        <v>15587886</v>
      </c>
      <c r="BL15">
        <v>12627532</v>
      </c>
      <c r="BM15">
        <v>15129360</v>
      </c>
      <c r="BN15">
        <v>16426362</v>
      </c>
      <c r="BO15">
        <v>16786232</v>
      </c>
      <c r="BP15">
        <v>18715518</v>
      </c>
      <c r="BQ15">
        <v>18615500</v>
      </c>
      <c r="BR15">
        <v>14450976</v>
      </c>
      <c r="BS15">
        <v>15394506</v>
      </c>
      <c r="BT15">
        <v>19365636</v>
      </c>
      <c r="BU15">
        <v>19737547</v>
      </c>
      <c r="BV15">
        <v>22126340</v>
      </c>
      <c r="BW15">
        <v>29018692</v>
      </c>
      <c r="BX15">
        <v>32381103</v>
      </c>
      <c r="BY15">
        <v>32305927</v>
      </c>
      <c r="BZ15">
        <v>34797842</v>
      </c>
      <c r="CA15">
        <v>38975422</v>
      </c>
      <c r="CB15">
        <v>37754298</v>
      </c>
      <c r="CC15">
        <v>45077959</v>
      </c>
      <c r="CD15">
        <v>53087782</v>
      </c>
      <c r="CE15">
        <v>66262885</v>
      </c>
      <c r="CF15">
        <v>56203327</v>
      </c>
      <c r="CG15">
        <v>66626284</v>
      </c>
      <c r="CH15">
        <v>81137445</v>
      </c>
    </row>
    <row r="16" spans="1:86">
      <c r="A16" t="s">
        <v>1494</v>
      </c>
      <c r="B16" t="s">
        <v>88</v>
      </c>
      <c r="C16">
        <v>1000000</v>
      </c>
      <c r="D16" t="s">
        <v>89</v>
      </c>
      <c r="E16" t="s">
        <v>1495</v>
      </c>
      <c r="F16" s="23" t="s">
        <v>1496</v>
      </c>
      <c r="G16">
        <v>123176</v>
      </c>
      <c r="H16">
        <v>130917</v>
      </c>
      <c r="I16">
        <v>134810</v>
      </c>
      <c r="J16">
        <v>138982</v>
      </c>
      <c r="K16">
        <v>146020</v>
      </c>
      <c r="L16">
        <v>176498</v>
      </c>
      <c r="M16">
        <v>224340</v>
      </c>
      <c r="N16">
        <v>219995</v>
      </c>
      <c r="O16">
        <v>217689</v>
      </c>
      <c r="P16">
        <v>316942</v>
      </c>
      <c r="Q16">
        <v>418008</v>
      </c>
      <c r="R16">
        <v>472477</v>
      </c>
      <c r="S16">
        <v>433977</v>
      </c>
      <c r="T16">
        <v>587135</v>
      </c>
      <c r="U16">
        <v>662712</v>
      </c>
      <c r="V16">
        <v>676902</v>
      </c>
      <c r="W16">
        <v>815326</v>
      </c>
      <c r="X16">
        <v>805607</v>
      </c>
      <c r="Y16">
        <v>847789</v>
      </c>
      <c r="Z16">
        <v>931381</v>
      </c>
      <c r="AA16">
        <v>1009173</v>
      </c>
      <c r="AB16">
        <v>962197</v>
      </c>
      <c r="AC16">
        <v>1134303</v>
      </c>
      <c r="AD16">
        <v>1280837</v>
      </c>
      <c r="AE16">
        <v>1176289</v>
      </c>
      <c r="AF16">
        <v>1199552</v>
      </c>
      <c r="AG16">
        <v>1316130</v>
      </c>
      <c r="AH16">
        <v>1494266</v>
      </c>
      <c r="AI16">
        <v>1316779</v>
      </c>
      <c r="AJ16">
        <v>1053140</v>
      </c>
      <c r="AK16">
        <v>1391917</v>
      </c>
      <c r="AL16">
        <v>1536055</v>
      </c>
      <c r="AM16">
        <v>1475252</v>
      </c>
      <c r="AN16">
        <v>1548340</v>
      </c>
      <c r="AO16">
        <v>1754888</v>
      </c>
      <c r="AP16">
        <v>2146969</v>
      </c>
      <c r="AQ16">
        <v>2163468</v>
      </c>
      <c r="AR16">
        <v>2290156</v>
      </c>
      <c r="AS16">
        <v>2490658</v>
      </c>
      <c r="AT16">
        <v>2548320</v>
      </c>
      <c r="AU16">
        <v>2847304</v>
      </c>
      <c r="AV16">
        <v>3167906</v>
      </c>
      <c r="AW16">
        <v>3347617</v>
      </c>
      <c r="AX16">
        <v>3722492</v>
      </c>
      <c r="AY16">
        <v>4398287</v>
      </c>
      <c r="AZ16">
        <v>4533281</v>
      </c>
      <c r="BA16">
        <v>5507065</v>
      </c>
      <c r="BB16">
        <v>6141310</v>
      </c>
      <c r="BC16">
        <v>6388767</v>
      </c>
      <c r="BD16">
        <v>6323977</v>
      </c>
      <c r="BE16">
        <v>7785965</v>
      </c>
      <c r="BF16">
        <v>8597875</v>
      </c>
      <c r="BG16">
        <v>10583793</v>
      </c>
      <c r="BH16">
        <v>13086153</v>
      </c>
      <c r="BI16">
        <v>16276724</v>
      </c>
      <c r="BJ16">
        <v>14201726</v>
      </c>
      <c r="BK16">
        <v>13395973</v>
      </c>
      <c r="BL16">
        <v>11013594</v>
      </c>
      <c r="BM16">
        <v>13061621</v>
      </c>
      <c r="BN16">
        <v>14284775</v>
      </c>
      <c r="BO16">
        <v>14659564</v>
      </c>
      <c r="BP16">
        <v>16159848</v>
      </c>
      <c r="BQ16">
        <v>17057037</v>
      </c>
      <c r="BR16">
        <v>14202145</v>
      </c>
      <c r="BS16">
        <v>15495321</v>
      </c>
      <c r="BT16">
        <v>19055494</v>
      </c>
      <c r="BU16">
        <v>20014179</v>
      </c>
      <c r="BV16">
        <v>22213887</v>
      </c>
      <c r="BW16">
        <v>27621982</v>
      </c>
      <c r="BX16">
        <v>31144852</v>
      </c>
      <c r="BY16">
        <v>31145743</v>
      </c>
      <c r="BZ16">
        <v>33223439</v>
      </c>
      <c r="CA16">
        <v>36795208</v>
      </c>
      <c r="CB16">
        <v>35925147</v>
      </c>
      <c r="CC16">
        <v>42894070</v>
      </c>
      <c r="CD16">
        <v>51435938</v>
      </c>
      <c r="CE16">
        <v>62330288</v>
      </c>
      <c r="CF16">
        <v>50908484</v>
      </c>
      <c r="CG16">
        <v>61363990</v>
      </c>
      <c r="CH16">
        <v>74060217</v>
      </c>
    </row>
    <row r="17" spans="1:86">
      <c r="A17" t="s">
        <v>1497</v>
      </c>
      <c r="B17" t="s">
        <v>88</v>
      </c>
      <c r="C17">
        <v>1000000</v>
      </c>
      <c r="D17" t="s">
        <v>89</v>
      </c>
      <c r="E17" t="s">
        <v>1498</v>
      </c>
      <c r="F17" s="23" t="s">
        <v>1499</v>
      </c>
      <c r="G17">
        <v>29152</v>
      </c>
      <c r="H17">
        <v>27914</v>
      </c>
      <c r="I17">
        <v>27111</v>
      </c>
      <c r="J17">
        <v>26234</v>
      </c>
      <c r="K17">
        <v>24927</v>
      </c>
      <c r="L17">
        <v>22821</v>
      </c>
      <c r="M17">
        <v>22079</v>
      </c>
      <c r="N17">
        <v>20289</v>
      </c>
      <c r="O17">
        <v>18664</v>
      </c>
      <c r="P17">
        <v>14227</v>
      </c>
      <c r="Q17">
        <v>11638</v>
      </c>
      <c r="R17">
        <v>9942</v>
      </c>
      <c r="S17">
        <v>9481</v>
      </c>
      <c r="T17">
        <v>5693</v>
      </c>
      <c r="U17">
        <v>3883</v>
      </c>
      <c r="V17">
        <v>54</v>
      </c>
      <c r="W17">
        <v>16126</v>
      </c>
      <c r="X17">
        <v>10503</v>
      </c>
      <c r="Y17">
        <v>18947</v>
      </c>
      <c r="Z17">
        <v>22803</v>
      </c>
      <c r="AA17">
        <v>29347</v>
      </c>
      <c r="AB17">
        <v>30236</v>
      </c>
      <c r="AC17">
        <v>25204</v>
      </c>
      <c r="AD17">
        <v>54387</v>
      </c>
      <c r="AE17">
        <v>37373</v>
      </c>
      <c r="AF17">
        <v>29141</v>
      </c>
      <c r="AG17">
        <v>40042</v>
      </c>
      <c r="AH17">
        <v>43683</v>
      </c>
      <c r="AI17">
        <v>-11811</v>
      </c>
      <c r="AJ17">
        <v>-59454</v>
      </c>
      <c r="AK17">
        <v>-61866</v>
      </c>
      <c r="AL17">
        <v>-59125</v>
      </c>
      <c r="AM17">
        <v>-76139</v>
      </c>
      <c r="AN17">
        <v>-90936</v>
      </c>
      <c r="AO17">
        <v>-97120</v>
      </c>
      <c r="AP17">
        <v>-98893</v>
      </c>
      <c r="AQ17">
        <v>-76704</v>
      </c>
      <c r="AR17">
        <v>-79264</v>
      </c>
      <c r="AS17">
        <v>-24568</v>
      </c>
      <c r="AT17">
        <v>-27670</v>
      </c>
      <c r="AU17">
        <v>70370</v>
      </c>
      <c r="AV17">
        <v>118236</v>
      </c>
      <c r="AW17">
        <v>47607</v>
      </c>
      <c r="AX17">
        <v>55802</v>
      </c>
      <c r="AY17">
        <v>75516</v>
      </c>
      <c r="AZ17">
        <v>-922</v>
      </c>
      <c r="BA17">
        <v>160415</v>
      </c>
      <c r="BB17">
        <v>299204</v>
      </c>
      <c r="BC17">
        <v>332826</v>
      </c>
      <c r="BD17">
        <v>411367</v>
      </c>
      <c r="BE17">
        <v>772392</v>
      </c>
      <c r="BF17">
        <v>1193667</v>
      </c>
      <c r="BG17">
        <v>1854977</v>
      </c>
      <c r="BH17">
        <v>1920549</v>
      </c>
      <c r="BI17">
        <v>2172356</v>
      </c>
      <c r="BJ17">
        <v>2518971</v>
      </c>
      <c r="BK17">
        <v>2191913</v>
      </c>
      <c r="BL17">
        <v>1613938</v>
      </c>
      <c r="BM17">
        <v>2067739</v>
      </c>
      <c r="BN17">
        <v>2141587</v>
      </c>
      <c r="BO17">
        <v>2126668</v>
      </c>
      <c r="BP17">
        <v>2555670</v>
      </c>
      <c r="BQ17">
        <v>1558463</v>
      </c>
      <c r="BR17">
        <v>248831</v>
      </c>
      <c r="BS17">
        <v>-100815</v>
      </c>
      <c r="BT17">
        <v>310142</v>
      </c>
      <c r="BU17">
        <v>-276632</v>
      </c>
      <c r="BV17">
        <v>-87547</v>
      </c>
      <c r="BW17">
        <v>1396710</v>
      </c>
      <c r="BX17">
        <v>1236251</v>
      </c>
      <c r="BY17">
        <v>1160184</v>
      </c>
      <c r="BZ17">
        <v>1574403</v>
      </c>
      <c r="CA17">
        <v>2180214</v>
      </c>
      <c r="CB17">
        <v>1829151</v>
      </c>
      <c r="CC17">
        <v>2183889</v>
      </c>
      <c r="CD17">
        <v>1651844</v>
      </c>
      <c r="CE17">
        <v>3932597</v>
      </c>
      <c r="CF17">
        <v>5294843</v>
      </c>
      <c r="CG17">
        <v>5262294</v>
      </c>
      <c r="CH17">
        <v>7077228</v>
      </c>
    </row>
    <row r="18" spans="1:86">
      <c r="A18" t="s">
        <v>141</v>
      </c>
      <c r="B18" t="s">
        <v>88</v>
      </c>
      <c r="C18">
        <v>1000000</v>
      </c>
      <c r="D18" t="s">
        <v>89</v>
      </c>
      <c r="E18" t="s">
        <v>1500</v>
      </c>
      <c r="F18" s="23" t="s">
        <v>1501</v>
      </c>
      <c r="G18">
        <v>135721</v>
      </c>
      <c r="H18">
        <v>132686</v>
      </c>
      <c r="I18">
        <v>124219</v>
      </c>
      <c r="J18">
        <v>116197</v>
      </c>
      <c r="K18">
        <v>106730</v>
      </c>
      <c r="L18">
        <v>106631</v>
      </c>
      <c r="M18">
        <v>120256</v>
      </c>
      <c r="N18">
        <v>130505</v>
      </c>
      <c r="O18">
        <v>138681</v>
      </c>
      <c r="P18">
        <v>149640</v>
      </c>
      <c r="Q18">
        <v>158331</v>
      </c>
      <c r="R18">
        <v>173094</v>
      </c>
      <c r="S18">
        <v>182371</v>
      </c>
      <c r="T18">
        <v>191377</v>
      </c>
      <c r="U18">
        <v>198000</v>
      </c>
      <c r="V18">
        <v>205213</v>
      </c>
      <c r="W18">
        <v>215738</v>
      </c>
      <c r="X18">
        <v>230254</v>
      </c>
      <c r="Y18">
        <v>240733</v>
      </c>
      <c r="Z18">
        <v>250987</v>
      </c>
      <c r="AA18">
        <v>262979</v>
      </c>
      <c r="AB18">
        <v>278893</v>
      </c>
      <c r="AC18">
        <v>299817</v>
      </c>
      <c r="AD18">
        <v>319583</v>
      </c>
      <c r="AE18">
        <v>343047</v>
      </c>
      <c r="AF18">
        <v>370168</v>
      </c>
      <c r="AG18">
        <v>391164</v>
      </c>
      <c r="AH18">
        <v>424729</v>
      </c>
      <c r="AI18">
        <v>470809</v>
      </c>
      <c r="AJ18">
        <v>539642</v>
      </c>
      <c r="AK18">
        <v>572069</v>
      </c>
      <c r="AL18">
        <v>619507</v>
      </c>
      <c r="AM18">
        <v>655972</v>
      </c>
      <c r="AN18">
        <v>721488</v>
      </c>
      <c r="AO18">
        <v>799572</v>
      </c>
      <c r="AP18">
        <v>888284</v>
      </c>
      <c r="AQ18">
        <v>959787</v>
      </c>
      <c r="AR18">
        <v>1024194</v>
      </c>
      <c r="AS18">
        <v>1084225</v>
      </c>
      <c r="AT18">
        <v>1181793</v>
      </c>
      <c r="AU18">
        <v>1210016</v>
      </c>
      <c r="AV18">
        <v>1259625</v>
      </c>
      <c r="AW18">
        <v>1317674</v>
      </c>
      <c r="AX18">
        <v>1405285</v>
      </c>
      <c r="AY18">
        <v>1477370</v>
      </c>
      <c r="AZ18">
        <v>1540287</v>
      </c>
      <c r="BA18">
        <v>1592104</v>
      </c>
      <c r="BB18">
        <v>1651570</v>
      </c>
      <c r="BC18">
        <v>1704204</v>
      </c>
      <c r="BD18">
        <v>1769893</v>
      </c>
      <c r="BE18">
        <v>1810541</v>
      </c>
      <c r="BF18">
        <v>1833376</v>
      </c>
      <c r="BG18">
        <v>1863751</v>
      </c>
      <c r="BH18">
        <v>1902223</v>
      </c>
      <c r="BI18">
        <v>1966997</v>
      </c>
      <c r="BJ18">
        <v>2003531</v>
      </c>
      <c r="BK18">
        <v>2026168</v>
      </c>
      <c r="BL18">
        <v>2077426</v>
      </c>
      <c r="BM18">
        <v>2149632</v>
      </c>
      <c r="BN18">
        <v>2288989</v>
      </c>
      <c r="BO18">
        <v>2432816</v>
      </c>
      <c r="BP18">
        <v>2579409</v>
      </c>
      <c r="BQ18">
        <v>2709774</v>
      </c>
      <c r="BR18">
        <v>2828666</v>
      </c>
      <c r="BS18">
        <v>2838363</v>
      </c>
      <c r="BT18">
        <v>2955727</v>
      </c>
      <c r="BU18">
        <v>3061248</v>
      </c>
      <c r="BV18">
        <v>3126659</v>
      </c>
      <c r="BW18">
        <v>3209295</v>
      </c>
      <c r="BX18">
        <v>3253273</v>
      </c>
      <c r="BY18">
        <v>3255708</v>
      </c>
      <c r="BZ18">
        <v>3325197</v>
      </c>
      <c r="CA18">
        <v>3422677</v>
      </c>
      <c r="CB18">
        <v>3547247</v>
      </c>
      <c r="CC18">
        <v>3626715</v>
      </c>
      <c r="CD18">
        <v>3766500</v>
      </c>
      <c r="CE18">
        <v>4107083</v>
      </c>
      <c r="CF18">
        <v>4442124</v>
      </c>
      <c r="CG18">
        <v>4570236</v>
      </c>
      <c r="CH18">
        <v>4710067</v>
      </c>
    </row>
    <row r="19" spans="1:86">
      <c r="A19" t="s">
        <v>1502</v>
      </c>
      <c r="B19" t="s">
        <v>88</v>
      </c>
      <c r="C19">
        <v>1000000</v>
      </c>
      <c r="D19" t="s">
        <v>89</v>
      </c>
      <c r="E19" t="s">
        <v>1503</v>
      </c>
      <c r="F19" s="23" t="s">
        <v>1504</v>
      </c>
      <c r="G19">
        <v>54203</v>
      </c>
      <c r="H19">
        <v>58350</v>
      </c>
      <c r="I19">
        <v>60427</v>
      </c>
      <c r="J19">
        <v>61973</v>
      </c>
      <c r="K19">
        <v>59717</v>
      </c>
      <c r="L19">
        <v>63069</v>
      </c>
      <c r="M19">
        <v>71927</v>
      </c>
      <c r="N19">
        <v>74903</v>
      </c>
      <c r="O19">
        <v>75199</v>
      </c>
      <c r="P19">
        <v>78848</v>
      </c>
      <c r="Q19">
        <v>80989</v>
      </c>
      <c r="R19">
        <v>89332</v>
      </c>
      <c r="S19">
        <v>93488</v>
      </c>
      <c r="T19">
        <v>98262</v>
      </c>
      <c r="U19">
        <v>97949</v>
      </c>
      <c r="V19">
        <v>99524</v>
      </c>
      <c r="W19">
        <v>103011</v>
      </c>
      <c r="X19">
        <v>107166</v>
      </c>
      <c r="Y19">
        <v>110868</v>
      </c>
      <c r="Z19">
        <v>114031</v>
      </c>
      <c r="AA19">
        <v>119241</v>
      </c>
      <c r="AB19">
        <v>125613</v>
      </c>
      <c r="AC19">
        <v>134421</v>
      </c>
      <c r="AD19">
        <v>143061</v>
      </c>
      <c r="AE19">
        <v>154673</v>
      </c>
      <c r="AF19">
        <v>168165</v>
      </c>
      <c r="AG19">
        <v>182422</v>
      </c>
      <c r="AH19">
        <v>205043</v>
      </c>
      <c r="AI19">
        <v>232712</v>
      </c>
      <c r="AJ19">
        <v>278687</v>
      </c>
      <c r="AK19">
        <v>288182</v>
      </c>
      <c r="AL19">
        <v>311938</v>
      </c>
      <c r="AM19">
        <v>321005</v>
      </c>
      <c r="AN19">
        <v>350840</v>
      </c>
      <c r="AO19">
        <v>397310</v>
      </c>
      <c r="AP19">
        <v>441487</v>
      </c>
      <c r="AQ19">
        <v>463386</v>
      </c>
      <c r="AR19">
        <v>480445</v>
      </c>
      <c r="AS19">
        <v>491876</v>
      </c>
      <c r="AT19">
        <v>512526</v>
      </c>
      <c r="AU19">
        <v>528614</v>
      </c>
      <c r="AV19">
        <v>553366</v>
      </c>
      <c r="AW19">
        <v>570498</v>
      </c>
      <c r="AX19">
        <v>601146</v>
      </c>
      <c r="AY19">
        <v>627901</v>
      </c>
      <c r="AZ19">
        <v>644532</v>
      </c>
      <c r="BA19">
        <v>662815</v>
      </c>
      <c r="BB19">
        <v>689103</v>
      </c>
      <c r="BC19">
        <v>714854</v>
      </c>
      <c r="BD19">
        <v>747045</v>
      </c>
      <c r="BE19">
        <v>777201</v>
      </c>
      <c r="BF19">
        <v>807692</v>
      </c>
      <c r="BG19">
        <v>837612</v>
      </c>
      <c r="BH19">
        <v>861874</v>
      </c>
      <c r="BI19">
        <v>896710</v>
      </c>
      <c r="BJ19">
        <v>930095</v>
      </c>
      <c r="BK19">
        <v>953566</v>
      </c>
      <c r="BL19">
        <v>976961</v>
      </c>
      <c r="BM19">
        <v>1001752</v>
      </c>
      <c r="BN19">
        <v>1090132</v>
      </c>
      <c r="BO19">
        <v>1176669</v>
      </c>
      <c r="BP19">
        <v>1265685</v>
      </c>
      <c r="BQ19">
        <v>1325528</v>
      </c>
      <c r="BR19">
        <v>1375492</v>
      </c>
      <c r="BS19">
        <v>1332809</v>
      </c>
      <c r="BT19">
        <v>1360387</v>
      </c>
      <c r="BU19">
        <v>1413994</v>
      </c>
      <c r="BV19">
        <v>1445702</v>
      </c>
      <c r="BW19">
        <v>1484857</v>
      </c>
      <c r="BX19">
        <v>1510271</v>
      </c>
      <c r="BY19">
        <v>1517437</v>
      </c>
      <c r="BZ19">
        <v>1556576</v>
      </c>
      <c r="CA19">
        <v>1603287</v>
      </c>
      <c r="CB19">
        <v>1663083</v>
      </c>
      <c r="CC19">
        <v>1696326</v>
      </c>
      <c r="CD19">
        <v>1746818</v>
      </c>
      <c r="CE19">
        <v>1942569</v>
      </c>
      <c r="CF19">
        <v>2130973</v>
      </c>
      <c r="CG19">
        <v>2168827</v>
      </c>
      <c r="CH19">
        <v>2196421</v>
      </c>
    </row>
    <row r="20" spans="1:86">
      <c r="A20" t="s">
        <v>1505</v>
      </c>
      <c r="B20" t="s">
        <v>88</v>
      </c>
      <c r="C20">
        <v>1000000</v>
      </c>
      <c r="D20" t="s">
        <v>89</v>
      </c>
      <c r="E20" t="s">
        <v>1506</v>
      </c>
      <c r="F20" s="23" t="s">
        <v>1507</v>
      </c>
      <c r="G20">
        <v>77510</v>
      </c>
      <c r="H20">
        <v>69624</v>
      </c>
      <c r="I20">
        <v>58568</v>
      </c>
      <c r="J20">
        <v>48385</v>
      </c>
      <c r="K20">
        <v>40563</v>
      </c>
      <c r="L20">
        <v>36166</v>
      </c>
      <c r="M20">
        <v>39900</v>
      </c>
      <c r="N20">
        <v>46335</v>
      </c>
      <c r="O20">
        <v>53327</v>
      </c>
      <c r="P20">
        <v>59577</v>
      </c>
      <c r="Q20">
        <v>64477</v>
      </c>
      <c r="R20">
        <v>68423</v>
      </c>
      <c r="S20">
        <v>70483</v>
      </c>
      <c r="T20">
        <v>71695</v>
      </c>
      <c r="U20">
        <v>75803</v>
      </c>
      <c r="V20">
        <v>78386</v>
      </c>
      <c r="W20">
        <v>82023</v>
      </c>
      <c r="X20">
        <v>88720</v>
      </c>
      <c r="Y20">
        <v>90317</v>
      </c>
      <c r="Z20">
        <v>91829</v>
      </c>
      <c r="AA20">
        <v>92859</v>
      </c>
      <c r="AB20">
        <v>95719</v>
      </c>
      <c r="AC20">
        <v>100595</v>
      </c>
      <c r="AD20">
        <v>103491</v>
      </c>
      <c r="AE20">
        <v>105910</v>
      </c>
      <c r="AF20">
        <v>110089</v>
      </c>
      <c r="AG20">
        <v>109194</v>
      </c>
      <c r="AH20">
        <v>112314</v>
      </c>
      <c r="AI20">
        <v>118385</v>
      </c>
      <c r="AJ20">
        <v>126796</v>
      </c>
      <c r="AK20">
        <v>139511</v>
      </c>
      <c r="AL20">
        <v>152562</v>
      </c>
      <c r="AM20">
        <v>167372</v>
      </c>
      <c r="AN20">
        <v>187425</v>
      </c>
      <c r="AO20">
        <v>197501</v>
      </c>
      <c r="AP20">
        <v>215889</v>
      </c>
      <c r="AQ20">
        <v>237746</v>
      </c>
      <c r="AR20">
        <v>262817</v>
      </c>
      <c r="AS20">
        <v>289329</v>
      </c>
      <c r="AT20">
        <v>344038</v>
      </c>
      <c r="AU20">
        <v>333965</v>
      </c>
      <c r="AV20">
        <v>339675</v>
      </c>
      <c r="AW20">
        <v>352037</v>
      </c>
      <c r="AX20">
        <v>379567</v>
      </c>
      <c r="AY20">
        <v>402685</v>
      </c>
      <c r="AZ20">
        <v>428181</v>
      </c>
      <c r="BA20">
        <v>445394</v>
      </c>
      <c r="BB20">
        <v>465237</v>
      </c>
      <c r="BC20">
        <v>482301</v>
      </c>
      <c r="BD20">
        <v>499970</v>
      </c>
      <c r="BE20">
        <v>497971</v>
      </c>
      <c r="BF20">
        <v>484384</v>
      </c>
      <c r="BG20">
        <v>475118</v>
      </c>
      <c r="BH20">
        <v>478106</v>
      </c>
      <c r="BI20">
        <v>490080</v>
      </c>
      <c r="BJ20">
        <v>475397</v>
      </c>
      <c r="BK20">
        <v>465387</v>
      </c>
      <c r="BL20">
        <v>475374</v>
      </c>
      <c r="BM20">
        <v>489223</v>
      </c>
      <c r="BN20">
        <v>507921</v>
      </c>
      <c r="BO20">
        <v>528484</v>
      </c>
      <c r="BP20">
        <v>555258</v>
      </c>
      <c r="BQ20">
        <v>581941</v>
      </c>
      <c r="BR20">
        <v>619453</v>
      </c>
      <c r="BS20">
        <v>647084</v>
      </c>
      <c r="BT20">
        <v>684918</v>
      </c>
      <c r="BU20">
        <v>713082</v>
      </c>
      <c r="BV20">
        <v>726525</v>
      </c>
      <c r="BW20">
        <v>738118</v>
      </c>
      <c r="BX20">
        <v>746339</v>
      </c>
      <c r="BY20">
        <v>744976</v>
      </c>
      <c r="BZ20">
        <v>752359</v>
      </c>
      <c r="CA20">
        <v>765929</v>
      </c>
      <c r="CB20">
        <v>790330</v>
      </c>
      <c r="CC20">
        <v>817787</v>
      </c>
      <c r="CD20">
        <v>846609</v>
      </c>
      <c r="CE20">
        <v>904919</v>
      </c>
      <c r="CF20">
        <v>952606</v>
      </c>
      <c r="CG20">
        <v>990549</v>
      </c>
      <c r="CH20">
        <v>1023583</v>
      </c>
    </row>
    <row r="21" spans="1:86">
      <c r="A21" t="s">
        <v>1508</v>
      </c>
      <c r="B21" t="s">
        <v>88</v>
      </c>
      <c r="C21">
        <v>1000000</v>
      </c>
      <c r="D21" t="s">
        <v>89</v>
      </c>
      <c r="E21" t="s">
        <v>1509</v>
      </c>
      <c r="F21" s="23" t="s">
        <v>1510</v>
      </c>
      <c r="G21">
        <v>4008</v>
      </c>
      <c r="H21">
        <v>4712</v>
      </c>
      <c r="I21">
        <v>5224</v>
      </c>
      <c r="J21">
        <v>5839</v>
      </c>
      <c r="K21">
        <v>6450</v>
      </c>
      <c r="L21">
        <v>7396</v>
      </c>
      <c r="M21">
        <v>8429</v>
      </c>
      <c r="N21">
        <v>9267</v>
      </c>
      <c r="O21">
        <v>10155</v>
      </c>
      <c r="P21">
        <v>11215</v>
      </c>
      <c r="Q21">
        <v>12865</v>
      </c>
      <c r="R21">
        <v>15339</v>
      </c>
      <c r="S21">
        <v>18400</v>
      </c>
      <c r="T21">
        <v>21420</v>
      </c>
      <c r="U21">
        <v>24248</v>
      </c>
      <c r="V21">
        <v>27303</v>
      </c>
      <c r="W21">
        <v>30704</v>
      </c>
      <c r="X21">
        <v>34368</v>
      </c>
      <c r="Y21">
        <v>39548</v>
      </c>
      <c r="Z21">
        <v>45127</v>
      </c>
      <c r="AA21">
        <v>50879</v>
      </c>
      <c r="AB21">
        <v>57561</v>
      </c>
      <c r="AC21">
        <v>64801</v>
      </c>
      <c r="AD21">
        <v>73031</v>
      </c>
      <c r="AE21">
        <v>82464</v>
      </c>
      <c r="AF21">
        <v>91914</v>
      </c>
      <c r="AG21">
        <v>99548</v>
      </c>
      <c r="AH21">
        <v>107372</v>
      </c>
      <c r="AI21">
        <v>119712</v>
      </c>
      <c r="AJ21">
        <v>134159</v>
      </c>
      <c r="AK21">
        <v>144376</v>
      </c>
      <c r="AL21">
        <v>155007</v>
      </c>
      <c r="AM21">
        <v>167595</v>
      </c>
      <c r="AN21">
        <v>183223</v>
      </c>
      <c r="AO21">
        <v>204761</v>
      </c>
      <c r="AP21">
        <v>230908</v>
      </c>
      <c r="AQ21">
        <v>258655</v>
      </c>
      <c r="AR21">
        <v>280932</v>
      </c>
      <c r="AS21">
        <v>303020</v>
      </c>
      <c r="AT21">
        <v>325229</v>
      </c>
      <c r="AU21">
        <v>347437</v>
      </c>
      <c r="AV21">
        <v>366584</v>
      </c>
      <c r="AW21">
        <v>395139</v>
      </c>
      <c r="AX21">
        <v>424572</v>
      </c>
      <c r="AY21">
        <v>446784</v>
      </c>
      <c r="AZ21">
        <v>467574</v>
      </c>
      <c r="BA21">
        <v>483895</v>
      </c>
      <c r="BB21">
        <v>497230</v>
      </c>
      <c r="BC21">
        <v>507049</v>
      </c>
      <c r="BD21">
        <v>522878</v>
      </c>
      <c r="BE21">
        <v>535369</v>
      </c>
      <c r="BF21">
        <v>541300</v>
      </c>
      <c r="BG21">
        <v>551021</v>
      </c>
      <c r="BH21">
        <v>562243</v>
      </c>
      <c r="BI21">
        <v>580207</v>
      </c>
      <c r="BJ21">
        <v>598039</v>
      </c>
      <c r="BK21">
        <v>607215</v>
      </c>
      <c r="BL21">
        <v>625091</v>
      </c>
      <c r="BM21">
        <v>658657</v>
      </c>
      <c r="BN21">
        <v>690936</v>
      </c>
      <c r="BO21">
        <v>727663</v>
      </c>
      <c r="BP21">
        <v>758466</v>
      </c>
      <c r="BQ21">
        <v>802305</v>
      </c>
      <c r="BR21">
        <v>833721</v>
      </c>
      <c r="BS21">
        <v>858470</v>
      </c>
      <c r="BT21">
        <v>910422</v>
      </c>
      <c r="BU21">
        <v>934172</v>
      </c>
      <c r="BV21">
        <v>954432</v>
      </c>
      <c r="BW21">
        <v>986320</v>
      </c>
      <c r="BX21">
        <v>996663</v>
      </c>
      <c r="BY21">
        <v>993295</v>
      </c>
      <c r="BZ21">
        <v>1016262</v>
      </c>
      <c r="CA21">
        <v>1053461</v>
      </c>
      <c r="CB21">
        <v>1093834</v>
      </c>
      <c r="CC21">
        <v>1112602</v>
      </c>
      <c r="CD21">
        <v>1173073</v>
      </c>
      <c r="CE21">
        <v>1259595</v>
      </c>
      <c r="CF21">
        <v>1358545</v>
      </c>
      <c r="CG21">
        <v>1410860</v>
      </c>
      <c r="CH21">
        <v>1490063</v>
      </c>
    </row>
    <row r="22" spans="1:86">
      <c r="A22" t="s">
        <v>1511</v>
      </c>
      <c r="B22" t="s">
        <v>88</v>
      </c>
      <c r="C22">
        <v>1000000</v>
      </c>
      <c r="D22" t="s">
        <v>89</v>
      </c>
      <c r="E22" t="s">
        <v>1512</v>
      </c>
      <c r="F22" s="23" t="s">
        <v>1513</v>
      </c>
      <c r="G22">
        <v>66104</v>
      </c>
      <c r="H22">
        <v>72880</v>
      </c>
      <c r="I22">
        <v>93300</v>
      </c>
      <c r="J22">
        <v>101642</v>
      </c>
      <c r="K22">
        <v>97201</v>
      </c>
      <c r="L22">
        <v>109574</v>
      </c>
      <c r="M22">
        <v>123145</v>
      </c>
      <c r="N22">
        <v>130532</v>
      </c>
      <c r="O22">
        <v>129329</v>
      </c>
      <c r="P22">
        <v>135098</v>
      </c>
      <c r="Q22">
        <v>149966</v>
      </c>
      <c r="R22">
        <v>169923</v>
      </c>
      <c r="S22">
        <v>178167</v>
      </c>
      <c r="T22">
        <v>189650</v>
      </c>
      <c r="U22">
        <v>195058</v>
      </c>
      <c r="V22">
        <v>204261</v>
      </c>
      <c r="W22">
        <v>216712</v>
      </c>
      <c r="X22">
        <v>232036</v>
      </c>
      <c r="Y22">
        <v>247887</v>
      </c>
      <c r="Z22">
        <v>264560</v>
      </c>
      <c r="AA22">
        <v>288266</v>
      </c>
      <c r="AB22">
        <v>318657</v>
      </c>
      <c r="AC22">
        <v>348773</v>
      </c>
      <c r="AD22">
        <v>386827</v>
      </c>
      <c r="AE22">
        <v>437800</v>
      </c>
      <c r="AF22">
        <v>499335</v>
      </c>
      <c r="AG22">
        <v>550439</v>
      </c>
      <c r="AH22">
        <v>602849</v>
      </c>
      <c r="AI22">
        <v>692557</v>
      </c>
      <c r="AJ22">
        <v>879382</v>
      </c>
      <c r="AK22">
        <v>918386</v>
      </c>
      <c r="AL22">
        <v>958540</v>
      </c>
      <c r="AM22">
        <v>1023316</v>
      </c>
      <c r="AN22">
        <v>1125638</v>
      </c>
      <c r="AO22">
        <v>1295515</v>
      </c>
      <c r="AP22">
        <v>1505329</v>
      </c>
      <c r="AQ22">
        <v>1669531</v>
      </c>
      <c r="AR22">
        <v>1761861</v>
      </c>
      <c r="AS22">
        <v>1784065</v>
      </c>
      <c r="AT22">
        <v>1844662</v>
      </c>
      <c r="AU22">
        <v>1928856</v>
      </c>
      <c r="AV22">
        <v>2056726</v>
      </c>
      <c r="AW22">
        <v>2179932</v>
      </c>
      <c r="AX22">
        <v>2285320</v>
      </c>
      <c r="AY22">
        <v>2411943</v>
      </c>
      <c r="AZ22">
        <v>2540689</v>
      </c>
      <c r="BA22">
        <v>2620420</v>
      </c>
      <c r="BB22">
        <v>2737267</v>
      </c>
      <c r="BC22">
        <v>2873571</v>
      </c>
      <c r="BD22">
        <v>3052822</v>
      </c>
      <c r="BE22">
        <v>3236158</v>
      </c>
      <c r="BF22">
        <v>3398537</v>
      </c>
      <c r="BG22">
        <v>3600526</v>
      </c>
      <c r="BH22">
        <v>3793014</v>
      </c>
      <c r="BI22">
        <v>4046775</v>
      </c>
      <c r="BJ22">
        <v>4335444</v>
      </c>
      <c r="BK22">
        <v>4575928</v>
      </c>
      <c r="BL22">
        <v>4819332</v>
      </c>
      <c r="BM22">
        <v>5046102</v>
      </c>
      <c r="BN22">
        <v>5685182</v>
      </c>
      <c r="BO22">
        <v>6277698</v>
      </c>
      <c r="BP22">
        <v>7027147</v>
      </c>
      <c r="BQ22">
        <v>7642355</v>
      </c>
      <c r="BR22">
        <v>8206560</v>
      </c>
      <c r="BS22">
        <v>8248817</v>
      </c>
      <c r="BT22">
        <v>8558503</v>
      </c>
      <c r="BU22">
        <v>9068285</v>
      </c>
      <c r="BV22">
        <v>9389660</v>
      </c>
      <c r="BW22">
        <v>9736864</v>
      </c>
      <c r="BX22">
        <v>9994042</v>
      </c>
      <c r="BY22">
        <v>10186741</v>
      </c>
      <c r="BZ22">
        <v>10512097</v>
      </c>
      <c r="CA22">
        <v>10984583</v>
      </c>
      <c r="CB22">
        <v>11611268</v>
      </c>
      <c r="CC22">
        <v>12064261</v>
      </c>
      <c r="CD22">
        <v>12488679</v>
      </c>
      <c r="CE22">
        <v>14037789</v>
      </c>
      <c r="CF22">
        <v>15605207</v>
      </c>
      <c r="CG22">
        <v>16021305</v>
      </c>
      <c r="CH22">
        <v>16561948</v>
      </c>
    </row>
    <row r="23" spans="1:86">
      <c r="A23" t="s">
        <v>1514</v>
      </c>
      <c r="B23" t="s">
        <v>88</v>
      </c>
      <c r="C23">
        <v>1000000</v>
      </c>
      <c r="D23" t="s">
        <v>89</v>
      </c>
      <c r="E23" t="s">
        <v>1515</v>
      </c>
      <c r="F23" s="23" t="s">
        <v>1516</v>
      </c>
      <c r="G23">
        <v>64816</v>
      </c>
      <c r="H23">
        <v>71448</v>
      </c>
      <c r="I23">
        <v>91532</v>
      </c>
      <c r="J23">
        <v>99543</v>
      </c>
      <c r="K23">
        <v>95056</v>
      </c>
      <c r="L23">
        <v>106978</v>
      </c>
      <c r="M23">
        <v>120319</v>
      </c>
      <c r="N23">
        <v>127514</v>
      </c>
      <c r="O23">
        <v>126136</v>
      </c>
      <c r="P23">
        <v>131455</v>
      </c>
      <c r="Q23">
        <v>145708</v>
      </c>
      <c r="R23">
        <v>165428</v>
      </c>
      <c r="S23">
        <v>173403</v>
      </c>
      <c r="T23">
        <v>184507</v>
      </c>
      <c r="U23">
        <v>189640</v>
      </c>
      <c r="V23">
        <v>198364</v>
      </c>
      <c r="W23">
        <v>210372</v>
      </c>
      <c r="X23">
        <v>225234</v>
      </c>
      <c r="Y23">
        <v>240427</v>
      </c>
      <c r="Z23">
        <v>256340</v>
      </c>
      <c r="AA23">
        <v>279209</v>
      </c>
      <c r="AB23">
        <v>308507</v>
      </c>
      <c r="AC23">
        <v>337432</v>
      </c>
      <c r="AD23">
        <v>374222</v>
      </c>
      <c r="AE23">
        <v>423629</v>
      </c>
      <c r="AF23">
        <v>483427</v>
      </c>
      <c r="AG23">
        <v>533184</v>
      </c>
      <c r="AH23">
        <v>583972</v>
      </c>
      <c r="AI23">
        <v>670987</v>
      </c>
      <c r="AJ23">
        <v>852362</v>
      </c>
      <c r="AK23">
        <v>887629</v>
      </c>
      <c r="AL23">
        <v>924616</v>
      </c>
      <c r="AM23">
        <v>985968</v>
      </c>
      <c r="AN23">
        <v>1083868</v>
      </c>
      <c r="AO23">
        <v>1248372</v>
      </c>
      <c r="AP23">
        <v>1451264</v>
      </c>
      <c r="AQ23">
        <v>1609260</v>
      </c>
      <c r="AR23">
        <v>1696957</v>
      </c>
      <c r="AS23">
        <v>1714287</v>
      </c>
      <c r="AT23">
        <v>1768947</v>
      </c>
      <c r="AU23">
        <v>1845633</v>
      </c>
      <c r="AV23">
        <v>1964715</v>
      </c>
      <c r="AW23">
        <v>2080297</v>
      </c>
      <c r="AX23">
        <v>2175285</v>
      </c>
      <c r="AY23">
        <v>2289407</v>
      </c>
      <c r="AZ23">
        <v>2404215</v>
      </c>
      <c r="BA23">
        <v>2473428</v>
      </c>
      <c r="BB23">
        <v>2580845</v>
      </c>
      <c r="BC23">
        <v>2708230</v>
      </c>
      <c r="BD23">
        <v>2877003</v>
      </c>
      <c r="BE23">
        <v>3049026</v>
      </c>
      <c r="BF23">
        <v>3204256</v>
      </c>
      <c r="BG23">
        <v>3399301</v>
      </c>
      <c r="BH23">
        <v>3581786</v>
      </c>
      <c r="BI23">
        <v>3822430</v>
      </c>
      <c r="BJ23">
        <v>4097662</v>
      </c>
      <c r="BK23">
        <v>4329426</v>
      </c>
      <c r="BL23">
        <v>4564107</v>
      </c>
      <c r="BM23">
        <v>4782251</v>
      </c>
      <c r="BN23">
        <v>5410388</v>
      </c>
      <c r="BO23">
        <v>5995198</v>
      </c>
      <c r="BP23">
        <v>6733647</v>
      </c>
      <c r="BQ23">
        <v>7332971</v>
      </c>
      <c r="BR23">
        <v>7876771</v>
      </c>
      <c r="BS23">
        <v>7912338</v>
      </c>
      <c r="BT23">
        <v>8218215</v>
      </c>
      <c r="BU23">
        <v>8720425</v>
      </c>
      <c r="BV23">
        <v>9037736</v>
      </c>
      <c r="BW23">
        <v>9378734</v>
      </c>
      <c r="BX23">
        <v>9630816</v>
      </c>
      <c r="BY23">
        <v>9820620</v>
      </c>
      <c r="BZ23">
        <v>10136897</v>
      </c>
      <c r="CA23">
        <v>10595447</v>
      </c>
      <c r="CB23">
        <v>11205181</v>
      </c>
      <c r="CC23">
        <v>11649026</v>
      </c>
      <c r="CD23">
        <v>12058028</v>
      </c>
      <c r="CE23">
        <v>13575064</v>
      </c>
      <c r="CF23">
        <v>15104260</v>
      </c>
      <c r="CG23">
        <v>15495044</v>
      </c>
      <c r="CH23">
        <v>16019768</v>
      </c>
    </row>
    <row r="24" spans="1:86">
      <c r="A24" t="s">
        <v>1517</v>
      </c>
      <c r="B24" t="s">
        <v>88</v>
      </c>
      <c r="C24">
        <v>1000000</v>
      </c>
      <c r="D24" t="s">
        <v>89</v>
      </c>
      <c r="E24" t="s">
        <v>1518</v>
      </c>
      <c r="F24" s="23" t="s">
        <v>1519</v>
      </c>
      <c r="G24">
        <v>993</v>
      </c>
      <c r="H24">
        <v>1099</v>
      </c>
      <c r="I24">
        <v>1452</v>
      </c>
      <c r="J24">
        <v>1788</v>
      </c>
      <c r="K24">
        <v>1831</v>
      </c>
      <c r="L24">
        <v>2256</v>
      </c>
      <c r="M24">
        <v>2464</v>
      </c>
      <c r="N24">
        <v>2646</v>
      </c>
      <c r="O24">
        <v>2799</v>
      </c>
      <c r="P24">
        <v>3217</v>
      </c>
      <c r="Q24">
        <v>3782</v>
      </c>
      <c r="R24">
        <v>3966</v>
      </c>
      <c r="S24">
        <v>4190</v>
      </c>
      <c r="T24">
        <v>4507</v>
      </c>
      <c r="U24">
        <v>4714</v>
      </c>
      <c r="V24">
        <v>5123</v>
      </c>
      <c r="W24">
        <v>5485</v>
      </c>
      <c r="X24">
        <v>5856</v>
      </c>
      <c r="Y24">
        <v>6396</v>
      </c>
      <c r="Z24">
        <v>7022</v>
      </c>
      <c r="AA24">
        <v>7708</v>
      </c>
      <c r="AB24">
        <v>8612</v>
      </c>
      <c r="AC24">
        <v>9579</v>
      </c>
      <c r="AD24">
        <v>10563</v>
      </c>
      <c r="AE24">
        <v>11790</v>
      </c>
      <c r="AF24">
        <v>13153</v>
      </c>
      <c r="AG24">
        <v>14147</v>
      </c>
      <c r="AH24">
        <v>15401</v>
      </c>
      <c r="AI24">
        <v>17517</v>
      </c>
      <c r="AJ24">
        <v>22292</v>
      </c>
      <c r="AK24">
        <v>25493</v>
      </c>
      <c r="AL24">
        <v>28098</v>
      </c>
      <c r="AM24">
        <v>30869</v>
      </c>
      <c r="AN24">
        <v>34409</v>
      </c>
      <c r="AO24">
        <v>38558</v>
      </c>
      <c r="AP24">
        <v>44023</v>
      </c>
      <c r="AQ24">
        <v>48744</v>
      </c>
      <c r="AR24">
        <v>52021</v>
      </c>
      <c r="AS24">
        <v>55461</v>
      </c>
      <c r="AT24">
        <v>59825</v>
      </c>
      <c r="AU24">
        <v>65830</v>
      </c>
      <c r="AV24">
        <v>72950</v>
      </c>
      <c r="AW24">
        <v>78462</v>
      </c>
      <c r="AX24">
        <v>86189</v>
      </c>
      <c r="AY24">
        <v>95370</v>
      </c>
      <c r="AZ24">
        <v>105833</v>
      </c>
      <c r="BA24">
        <v>113293</v>
      </c>
      <c r="BB24">
        <v>119698</v>
      </c>
      <c r="BC24">
        <v>125957</v>
      </c>
      <c r="BD24">
        <v>133891</v>
      </c>
      <c r="BE24">
        <v>143264</v>
      </c>
      <c r="BF24">
        <v>149157</v>
      </c>
      <c r="BG24">
        <v>153786</v>
      </c>
      <c r="BH24">
        <v>160873</v>
      </c>
      <c r="BI24">
        <v>170371</v>
      </c>
      <c r="BJ24">
        <v>179544</v>
      </c>
      <c r="BK24">
        <v>185212</v>
      </c>
      <c r="BL24">
        <v>191192</v>
      </c>
      <c r="BM24">
        <v>196294</v>
      </c>
      <c r="BN24">
        <v>203173</v>
      </c>
      <c r="BO24">
        <v>206790</v>
      </c>
      <c r="BP24">
        <v>212632</v>
      </c>
      <c r="BQ24">
        <v>221548</v>
      </c>
      <c r="BR24">
        <v>235671</v>
      </c>
      <c r="BS24">
        <v>238599</v>
      </c>
      <c r="BT24">
        <v>238556</v>
      </c>
      <c r="BU24">
        <v>241785</v>
      </c>
      <c r="BV24">
        <v>242407</v>
      </c>
      <c r="BW24">
        <v>243026</v>
      </c>
      <c r="BX24">
        <v>243840</v>
      </c>
      <c r="BY24">
        <v>242956</v>
      </c>
      <c r="BZ24">
        <v>244074</v>
      </c>
      <c r="CA24">
        <v>248233</v>
      </c>
      <c r="CB24">
        <v>254990</v>
      </c>
      <c r="CC24">
        <v>257811</v>
      </c>
      <c r="CD24">
        <v>264685</v>
      </c>
      <c r="CE24">
        <v>285895</v>
      </c>
      <c r="CF24">
        <v>310927</v>
      </c>
      <c r="CG24">
        <v>324079</v>
      </c>
      <c r="CH24">
        <v>323952</v>
      </c>
    </row>
    <row r="25" spans="1:86">
      <c r="A25" t="s">
        <v>1520</v>
      </c>
      <c r="B25" t="s">
        <v>88</v>
      </c>
      <c r="C25">
        <v>1000000</v>
      </c>
      <c r="D25" t="s">
        <v>89</v>
      </c>
      <c r="E25" t="s">
        <v>1521</v>
      </c>
      <c r="F25" s="23" t="s">
        <v>1522</v>
      </c>
      <c r="G25">
        <v>295</v>
      </c>
      <c r="H25">
        <v>333</v>
      </c>
      <c r="I25">
        <v>316</v>
      </c>
      <c r="J25">
        <v>311</v>
      </c>
      <c r="K25">
        <v>314</v>
      </c>
      <c r="L25">
        <v>340</v>
      </c>
      <c r="M25">
        <v>362</v>
      </c>
      <c r="N25">
        <v>372</v>
      </c>
      <c r="O25">
        <v>394</v>
      </c>
      <c r="P25">
        <v>426</v>
      </c>
      <c r="Q25">
        <v>476</v>
      </c>
      <c r="R25">
        <v>529</v>
      </c>
      <c r="S25">
        <v>574</v>
      </c>
      <c r="T25">
        <v>636</v>
      </c>
      <c r="U25">
        <v>704</v>
      </c>
      <c r="V25">
        <v>774</v>
      </c>
      <c r="W25">
        <v>855</v>
      </c>
      <c r="X25">
        <v>946</v>
      </c>
      <c r="Y25">
        <v>1064</v>
      </c>
      <c r="Z25">
        <v>1198</v>
      </c>
      <c r="AA25">
        <v>1349</v>
      </c>
      <c r="AB25">
        <v>1538</v>
      </c>
      <c r="AC25">
        <v>1762</v>
      </c>
      <c r="AD25">
        <v>2042</v>
      </c>
      <c r="AE25">
        <v>2381</v>
      </c>
      <c r="AF25">
        <v>2755</v>
      </c>
      <c r="AG25">
        <v>3108</v>
      </c>
      <c r="AH25">
        <v>3476</v>
      </c>
      <c r="AI25">
        <v>4053</v>
      </c>
      <c r="AJ25">
        <v>4728</v>
      </c>
      <c r="AK25">
        <v>5264</v>
      </c>
      <c r="AL25">
        <v>5826</v>
      </c>
      <c r="AM25">
        <v>6479</v>
      </c>
      <c r="AN25">
        <v>7361</v>
      </c>
      <c r="AO25">
        <v>8585</v>
      </c>
      <c r="AP25">
        <v>10042</v>
      </c>
      <c r="AQ25">
        <v>11527</v>
      </c>
      <c r="AR25">
        <v>12883</v>
      </c>
      <c r="AS25">
        <v>14317</v>
      </c>
      <c r="AT25">
        <v>15890</v>
      </c>
      <c r="AU25">
        <v>17393</v>
      </c>
      <c r="AV25">
        <v>19061</v>
      </c>
      <c r="AW25">
        <v>21173</v>
      </c>
      <c r="AX25">
        <v>23846</v>
      </c>
      <c r="AY25">
        <v>27166</v>
      </c>
      <c r="AZ25">
        <v>30641</v>
      </c>
      <c r="BA25">
        <v>33699</v>
      </c>
      <c r="BB25">
        <v>36724</v>
      </c>
      <c r="BC25">
        <v>39384</v>
      </c>
      <c r="BD25">
        <v>41928</v>
      </c>
      <c r="BE25">
        <v>43868</v>
      </c>
      <c r="BF25">
        <v>45124</v>
      </c>
      <c r="BG25">
        <v>47439</v>
      </c>
      <c r="BH25">
        <v>50355</v>
      </c>
      <c r="BI25">
        <v>53974</v>
      </c>
      <c r="BJ25">
        <v>58238</v>
      </c>
      <c r="BK25">
        <v>61290</v>
      </c>
      <c r="BL25">
        <v>64033</v>
      </c>
      <c r="BM25">
        <v>67557</v>
      </c>
      <c r="BN25">
        <v>71621</v>
      </c>
      <c r="BO25">
        <v>75710</v>
      </c>
      <c r="BP25">
        <v>80868</v>
      </c>
      <c r="BQ25">
        <v>87836</v>
      </c>
      <c r="BR25">
        <v>94118</v>
      </c>
      <c r="BS25">
        <v>97880</v>
      </c>
      <c r="BT25">
        <v>101732</v>
      </c>
      <c r="BU25">
        <v>106075</v>
      </c>
      <c r="BV25">
        <v>109517</v>
      </c>
      <c r="BW25">
        <v>115104</v>
      </c>
      <c r="BX25">
        <v>119386</v>
      </c>
      <c r="BY25">
        <v>123165</v>
      </c>
      <c r="BZ25">
        <v>131126</v>
      </c>
      <c r="CA25">
        <v>140903</v>
      </c>
      <c r="CB25">
        <v>151097</v>
      </c>
      <c r="CC25">
        <v>157424</v>
      </c>
      <c r="CD25">
        <v>165966</v>
      </c>
      <c r="CE25">
        <v>176830</v>
      </c>
      <c r="CF25">
        <v>190020</v>
      </c>
      <c r="CG25">
        <v>202182</v>
      </c>
      <c r="CH25">
        <v>218228</v>
      </c>
    </row>
    <row r="26" spans="1:86">
      <c r="A26" t="s">
        <v>1523</v>
      </c>
      <c r="B26" t="s">
        <v>88</v>
      </c>
      <c r="C26">
        <v>1000000</v>
      </c>
      <c r="D26" t="s">
        <v>89</v>
      </c>
      <c r="E26" t="s">
        <v>1524</v>
      </c>
      <c r="F26" s="23" t="s">
        <v>1525</v>
      </c>
      <c r="G26">
        <v>1105</v>
      </c>
      <c r="H26">
        <v>4901</v>
      </c>
      <c r="I26">
        <v>11721</v>
      </c>
      <c r="J26">
        <v>13738</v>
      </c>
      <c r="K26">
        <v>14339</v>
      </c>
      <c r="L26">
        <v>13267</v>
      </c>
      <c r="M26">
        <v>14517</v>
      </c>
      <c r="N26">
        <v>15513</v>
      </c>
      <c r="O26">
        <v>17011</v>
      </c>
      <c r="P26">
        <v>15823</v>
      </c>
      <c r="Q26">
        <v>16632</v>
      </c>
      <c r="R26">
        <v>20166</v>
      </c>
      <c r="S26">
        <v>25354</v>
      </c>
      <c r="T26">
        <v>26945</v>
      </c>
      <c r="U26">
        <v>25801</v>
      </c>
      <c r="V26">
        <v>28541</v>
      </c>
      <c r="W26">
        <v>30693</v>
      </c>
      <c r="X26">
        <v>34822</v>
      </c>
      <c r="Y26">
        <v>36829</v>
      </c>
      <c r="Z26">
        <v>36491</v>
      </c>
      <c r="AA26">
        <v>46977</v>
      </c>
      <c r="AB26">
        <v>49794</v>
      </c>
      <c r="AC26">
        <v>43406</v>
      </c>
      <c r="AD26">
        <v>46831</v>
      </c>
      <c r="AE26">
        <v>50983</v>
      </c>
      <c r="AF26">
        <v>54778</v>
      </c>
      <c r="AG26">
        <v>41204</v>
      </c>
      <c r="AH26">
        <v>44586</v>
      </c>
      <c r="AI26">
        <v>49500</v>
      </c>
      <c r="AJ26">
        <v>63925</v>
      </c>
      <c r="AK26">
        <v>79931</v>
      </c>
      <c r="AL26">
        <v>119786</v>
      </c>
      <c r="AM26">
        <v>113073</v>
      </c>
      <c r="AN26">
        <v>134764</v>
      </c>
      <c r="AO26">
        <v>175959</v>
      </c>
      <c r="AP26">
        <v>208186</v>
      </c>
      <c r="AQ26">
        <v>251131</v>
      </c>
      <c r="AR26">
        <v>182108</v>
      </c>
      <c r="AS26">
        <v>244998</v>
      </c>
      <c r="AT26">
        <v>186499</v>
      </c>
      <c r="AU26">
        <v>133192</v>
      </c>
      <c r="AV26">
        <v>124024</v>
      </c>
      <c r="AW26">
        <v>106336</v>
      </c>
      <c r="AX26">
        <v>86365</v>
      </c>
      <c r="AY26">
        <v>37091</v>
      </c>
      <c r="AZ26">
        <v>-84557</v>
      </c>
      <c r="BA26">
        <v>-148504</v>
      </c>
      <c r="BB26">
        <v>-438375</v>
      </c>
      <c r="BC26">
        <v>-176395</v>
      </c>
      <c r="BD26">
        <v>-124285</v>
      </c>
      <c r="BE26">
        <v>-260105</v>
      </c>
      <c r="BF26">
        <v>-281528</v>
      </c>
      <c r="BG26">
        <v>-635370</v>
      </c>
      <c r="BH26">
        <v>-946676</v>
      </c>
      <c r="BI26">
        <v>-803198</v>
      </c>
      <c r="BJ26">
        <v>-1199832</v>
      </c>
      <c r="BK26">
        <v>-1843315</v>
      </c>
      <c r="BL26">
        <v>-1940258</v>
      </c>
      <c r="BM26">
        <v>-1750288</v>
      </c>
      <c r="BN26">
        <v>-1687754</v>
      </c>
      <c r="BO26">
        <v>-1506302</v>
      </c>
      <c r="BP26">
        <v>-1351186</v>
      </c>
      <c r="BQ26">
        <v>-639378</v>
      </c>
      <c r="BR26">
        <v>-3765704</v>
      </c>
      <c r="BS26">
        <v>-2618880</v>
      </c>
      <c r="BT26">
        <v>-2567638</v>
      </c>
      <c r="BU26">
        <v>-4383016</v>
      </c>
      <c r="BV26">
        <v>-4308320</v>
      </c>
      <c r="BW26">
        <v>-5022228</v>
      </c>
      <c r="BX26">
        <v>-6641662</v>
      </c>
      <c r="BY26">
        <v>-7073762</v>
      </c>
      <c r="BZ26">
        <v>-7805022</v>
      </c>
      <c r="CA26">
        <v>-7362469</v>
      </c>
      <c r="CB26">
        <v>-9226974</v>
      </c>
      <c r="CC26">
        <v>-11006544</v>
      </c>
      <c r="CD26">
        <v>-14000105</v>
      </c>
      <c r="CE26">
        <v>-17945447</v>
      </c>
      <c r="CF26">
        <v>-15008993</v>
      </c>
      <c r="CG26">
        <v>-19223812</v>
      </c>
      <c r="CH26">
        <v>-24959595</v>
      </c>
    </row>
    <row r="27" spans="1:86">
      <c r="A27" t="s">
        <v>1526</v>
      </c>
      <c r="B27" t="s">
        <v>88</v>
      </c>
      <c r="C27">
        <v>1000000</v>
      </c>
      <c r="D27" t="s">
        <v>89</v>
      </c>
      <c r="E27" t="s">
        <v>1527</v>
      </c>
      <c r="F27" s="23" t="s">
        <v>1528</v>
      </c>
      <c r="G27">
        <v>14716</v>
      </c>
      <c r="H27">
        <v>17229</v>
      </c>
      <c r="I27">
        <v>24181</v>
      </c>
      <c r="J27">
        <v>26941</v>
      </c>
      <c r="K27">
        <v>28371</v>
      </c>
      <c r="L27">
        <v>30297</v>
      </c>
      <c r="M27">
        <v>32286</v>
      </c>
      <c r="N27">
        <v>34640</v>
      </c>
      <c r="O27">
        <v>37088</v>
      </c>
      <c r="P27">
        <v>39345</v>
      </c>
      <c r="Q27">
        <v>42013</v>
      </c>
      <c r="R27">
        <v>47467</v>
      </c>
      <c r="S27">
        <v>52375</v>
      </c>
      <c r="T27">
        <v>57580</v>
      </c>
      <c r="U27">
        <v>61649</v>
      </c>
      <c r="V27">
        <v>66882</v>
      </c>
      <c r="W27">
        <v>73911</v>
      </c>
      <c r="X27">
        <v>79136</v>
      </c>
      <c r="Y27">
        <v>86556</v>
      </c>
      <c r="Z27">
        <v>95863</v>
      </c>
      <c r="AA27">
        <v>109143</v>
      </c>
      <c r="AB27">
        <v>114902</v>
      </c>
      <c r="AC27">
        <v>128273</v>
      </c>
      <c r="AD27">
        <v>143738</v>
      </c>
      <c r="AE27">
        <v>158354</v>
      </c>
      <c r="AF27">
        <v>171827</v>
      </c>
      <c r="AG27">
        <v>187070</v>
      </c>
      <c r="AH27">
        <v>219981</v>
      </c>
      <c r="AI27">
        <v>232582</v>
      </c>
      <c r="AJ27">
        <v>268014</v>
      </c>
      <c r="AK27">
        <v>309552</v>
      </c>
      <c r="AL27">
        <v>415547</v>
      </c>
      <c r="AM27">
        <v>466590</v>
      </c>
      <c r="AN27">
        <v>550792</v>
      </c>
      <c r="AO27">
        <v>650011</v>
      </c>
      <c r="AP27">
        <v>782564</v>
      </c>
      <c r="AQ27">
        <v>910416</v>
      </c>
      <c r="AR27">
        <v>870765</v>
      </c>
      <c r="AS27">
        <v>1011467</v>
      </c>
      <c r="AT27">
        <v>1061660</v>
      </c>
      <c r="AU27">
        <v>1216480</v>
      </c>
      <c r="AV27">
        <v>1482799</v>
      </c>
      <c r="AW27">
        <v>1619793</v>
      </c>
      <c r="AX27">
        <v>1850850</v>
      </c>
      <c r="AY27">
        <v>2143713</v>
      </c>
      <c r="AZ27">
        <v>2101724</v>
      </c>
      <c r="BA27">
        <v>2293391</v>
      </c>
      <c r="BB27">
        <v>2306725</v>
      </c>
      <c r="BC27">
        <v>2847589</v>
      </c>
      <c r="BD27">
        <v>3067780</v>
      </c>
      <c r="BE27">
        <v>3685579</v>
      </c>
      <c r="BF27">
        <v>4363938</v>
      </c>
      <c r="BG27">
        <v>5111051</v>
      </c>
      <c r="BH27">
        <v>5875516</v>
      </c>
      <c r="BI27">
        <v>7074995</v>
      </c>
      <c r="BJ27">
        <v>7066280</v>
      </c>
      <c r="BK27">
        <v>6702086</v>
      </c>
      <c r="BL27">
        <v>6473327</v>
      </c>
      <c r="BM27">
        <v>8337916</v>
      </c>
      <c r="BN27">
        <v>10055070</v>
      </c>
      <c r="BO27">
        <v>11349911</v>
      </c>
      <c r="BP27">
        <v>14067393</v>
      </c>
      <c r="BQ27">
        <v>16908360</v>
      </c>
      <c r="BR27">
        <v>11741663</v>
      </c>
      <c r="BS27">
        <v>14267325</v>
      </c>
      <c r="BT27">
        <v>16217340</v>
      </c>
      <c r="BU27">
        <v>15610446</v>
      </c>
      <c r="BV27">
        <v>17078394</v>
      </c>
      <c r="BW27">
        <v>19273789</v>
      </c>
      <c r="BX27">
        <v>19722505</v>
      </c>
      <c r="BY27">
        <v>19057544</v>
      </c>
      <c r="BZ27">
        <v>19948734</v>
      </c>
      <c r="CA27">
        <v>24284896</v>
      </c>
      <c r="CB27">
        <v>21858533</v>
      </c>
      <c r="CC27">
        <v>25294181</v>
      </c>
      <c r="CD27">
        <v>27631165</v>
      </c>
      <c r="CE27">
        <v>31127657</v>
      </c>
      <c r="CF27">
        <v>27094152</v>
      </c>
      <c r="CG27">
        <v>30290243</v>
      </c>
      <c r="CH27">
        <v>32129352</v>
      </c>
    </row>
    <row r="28" spans="1:86">
      <c r="A28" t="s">
        <v>1376</v>
      </c>
      <c r="B28" t="s">
        <v>88</v>
      </c>
      <c r="C28">
        <v>1000000</v>
      </c>
      <c r="D28" t="s">
        <v>89</v>
      </c>
      <c r="E28" t="s">
        <v>1377</v>
      </c>
      <c r="F28" s="23" t="s">
        <v>1378</v>
      </c>
      <c r="G28">
        <v>942</v>
      </c>
      <c r="H28">
        <v>1001</v>
      </c>
      <c r="I28">
        <v>972</v>
      </c>
      <c r="J28">
        <v>944</v>
      </c>
      <c r="K28">
        <v>708</v>
      </c>
      <c r="L28">
        <v>1175</v>
      </c>
      <c r="M28">
        <v>1390</v>
      </c>
      <c r="N28">
        <v>1459</v>
      </c>
      <c r="O28">
        <v>1329</v>
      </c>
      <c r="P28">
        <v>1868</v>
      </c>
      <c r="Q28">
        <v>2439</v>
      </c>
      <c r="R28">
        <v>2625</v>
      </c>
      <c r="S28">
        <v>2233</v>
      </c>
      <c r="T28">
        <v>3095</v>
      </c>
      <c r="U28">
        <v>3689</v>
      </c>
      <c r="V28">
        <v>3984</v>
      </c>
      <c r="W28">
        <v>4902</v>
      </c>
      <c r="X28">
        <v>4714</v>
      </c>
      <c r="Y28">
        <v>5145</v>
      </c>
      <c r="Z28">
        <v>5270</v>
      </c>
      <c r="AA28">
        <v>5048</v>
      </c>
      <c r="AB28">
        <v>4324</v>
      </c>
      <c r="AC28">
        <v>5238</v>
      </c>
      <c r="AD28">
        <v>6452</v>
      </c>
      <c r="AE28">
        <v>6953</v>
      </c>
      <c r="AF28">
        <v>6573</v>
      </c>
      <c r="AG28">
        <v>7641</v>
      </c>
      <c r="AH28">
        <v>10537</v>
      </c>
      <c r="AI28">
        <v>10026</v>
      </c>
      <c r="AJ28">
        <v>9011</v>
      </c>
      <c r="AK28">
        <v>9585</v>
      </c>
      <c r="AL28">
        <v>9453</v>
      </c>
      <c r="AM28">
        <v>10110</v>
      </c>
      <c r="AN28">
        <v>11236</v>
      </c>
      <c r="AO28">
        <v>14803</v>
      </c>
      <c r="AP28">
        <v>18930</v>
      </c>
      <c r="AQ28">
        <v>16467</v>
      </c>
      <c r="AR28">
        <v>17442</v>
      </c>
      <c r="AS28">
        <v>26154</v>
      </c>
      <c r="AT28">
        <v>25994</v>
      </c>
      <c r="AU28">
        <v>44383</v>
      </c>
      <c r="AV28">
        <v>72399</v>
      </c>
      <c r="AW28">
        <v>94700</v>
      </c>
      <c r="AX28">
        <v>128662</v>
      </c>
      <c r="AY28">
        <v>197345</v>
      </c>
      <c r="AZ28">
        <v>197596</v>
      </c>
      <c r="BA28">
        <v>278976</v>
      </c>
      <c r="BB28">
        <v>314266</v>
      </c>
      <c r="BC28">
        <v>543862</v>
      </c>
      <c r="BD28">
        <v>626762</v>
      </c>
      <c r="BE28">
        <v>790615</v>
      </c>
      <c r="BF28">
        <v>1006135</v>
      </c>
      <c r="BG28">
        <v>1207787</v>
      </c>
      <c r="BH28">
        <v>1474983</v>
      </c>
      <c r="BI28">
        <v>2003716</v>
      </c>
      <c r="BJ28">
        <v>1852842</v>
      </c>
      <c r="BK28">
        <v>1612673</v>
      </c>
      <c r="BL28">
        <v>1373980</v>
      </c>
      <c r="BM28">
        <v>2079422</v>
      </c>
      <c r="BN28">
        <v>2560418</v>
      </c>
      <c r="BO28">
        <v>3317705</v>
      </c>
      <c r="BP28">
        <v>4328960</v>
      </c>
      <c r="BQ28">
        <v>5247990</v>
      </c>
      <c r="BR28">
        <v>2748428</v>
      </c>
      <c r="BS28">
        <v>3995295</v>
      </c>
      <c r="BT28">
        <v>4900246</v>
      </c>
      <c r="BU28">
        <v>4501438</v>
      </c>
      <c r="BV28">
        <v>5321857</v>
      </c>
      <c r="BW28">
        <v>6472877</v>
      </c>
      <c r="BX28">
        <v>6770629</v>
      </c>
      <c r="BY28">
        <v>6756163</v>
      </c>
      <c r="BZ28">
        <v>7146320</v>
      </c>
      <c r="CA28">
        <v>9118138</v>
      </c>
      <c r="CB28">
        <v>7899563</v>
      </c>
      <c r="CC28">
        <v>9478014</v>
      </c>
      <c r="CD28">
        <v>10615016</v>
      </c>
      <c r="CE28">
        <v>12061294</v>
      </c>
      <c r="CF28">
        <v>10132028</v>
      </c>
      <c r="CG28">
        <v>11267034</v>
      </c>
      <c r="CH28">
        <v>11996289</v>
      </c>
    </row>
    <row r="29" spans="1:86">
      <c r="A29" t="s">
        <v>1529</v>
      </c>
      <c r="B29" t="s">
        <v>88</v>
      </c>
      <c r="C29">
        <v>1000000</v>
      </c>
      <c r="D29" t="s">
        <v>89</v>
      </c>
      <c r="E29" t="s">
        <v>1530</v>
      </c>
      <c r="F29" s="23" t="s">
        <v>1531</v>
      </c>
      <c r="G29">
        <v>13774</v>
      </c>
      <c r="H29">
        <v>16228</v>
      </c>
      <c r="I29">
        <v>23209</v>
      </c>
      <c r="J29">
        <v>25997</v>
      </c>
      <c r="K29">
        <v>27663</v>
      </c>
      <c r="L29">
        <v>29122</v>
      </c>
      <c r="M29">
        <v>30896</v>
      </c>
      <c r="N29">
        <v>33181</v>
      </c>
      <c r="O29">
        <v>35759</v>
      </c>
      <c r="P29">
        <v>37477</v>
      </c>
      <c r="Q29">
        <v>39574</v>
      </c>
      <c r="R29">
        <v>44842</v>
      </c>
      <c r="S29">
        <v>50142</v>
      </c>
      <c r="T29">
        <v>54485</v>
      </c>
      <c r="U29">
        <v>57960</v>
      </c>
      <c r="V29">
        <v>62898</v>
      </c>
      <c r="W29">
        <v>69009</v>
      </c>
      <c r="X29">
        <v>74422</v>
      </c>
      <c r="Y29">
        <v>81411</v>
      </c>
      <c r="Z29">
        <v>90593</v>
      </c>
      <c r="AA29">
        <v>104095</v>
      </c>
      <c r="AB29">
        <v>110578</v>
      </c>
      <c r="AC29">
        <v>123035</v>
      </c>
      <c r="AD29">
        <v>137286</v>
      </c>
      <c r="AE29">
        <v>151401</v>
      </c>
      <c r="AF29">
        <v>165254</v>
      </c>
      <c r="AG29">
        <v>179429</v>
      </c>
      <c r="AH29">
        <v>209444</v>
      </c>
      <c r="AI29">
        <v>222556</v>
      </c>
      <c r="AJ29">
        <v>259003</v>
      </c>
      <c r="AK29">
        <v>299967</v>
      </c>
      <c r="AL29">
        <v>406094</v>
      </c>
      <c r="AM29">
        <v>456480</v>
      </c>
      <c r="AN29">
        <v>539556</v>
      </c>
      <c r="AO29">
        <v>635208</v>
      </c>
      <c r="AP29">
        <v>763634</v>
      </c>
      <c r="AQ29">
        <v>893949</v>
      </c>
      <c r="AR29">
        <v>853323</v>
      </c>
      <c r="AS29">
        <v>985313</v>
      </c>
      <c r="AT29">
        <v>1035666</v>
      </c>
      <c r="AU29">
        <v>1172097</v>
      </c>
      <c r="AV29">
        <v>1410400</v>
      </c>
      <c r="AW29">
        <v>1525093</v>
      </c>
      <c r="AX29">
        <v>1722188</v>
      </c>
      <c r="AY29">
        <v>1946368</v>
      </c>
      <c r="AZ29">
        <v>1904128</v>
      </c>
      <c r="BA29">
        <v>2014415</v>
      </c>
      <c r="BB29">
        <v>1992459</v>
      </c>
      <c r="BC29">
        <v>2303727</v>
      </c>
      <c r="BD29">
        <v>2441018</v>
      </c>
      <c r="BE29">
        <v>2894964</v>
      </c>
      <c r="BF29">
        <v>3357803</v>
      </c>
      <c r="BG29">
        <v>3903264</v>
      </c>
      <c r="BH29">
        <v>4400533</v>
      </c>
      <c r="BI29">
        <v>5071279</v>
      </c>
      <c r="BJ29">
        <v>5213438</v>
      </c>
      <c r="BK29">
        <v>5089413</v>
      </c>
      <c r="BL29">
        <v>5099347</v>
      </c>
      <c r="BM29">
        <v>6258494</v>
      </c>
      <c r="BN29">
        <v>7494652</v>
      </c>
      <c r="BO29">
        <v>8032206</v>
      </c>
      <c r="BP29">
        <v>9738433</v>
      </c>
      <c r="BQ29">
        <v>11660370</v>
      </c>
      <c r="BR29">
        <v>8993235</v>
      </c>
      <c r="BS29">
        <v>10272030</v>
      </c>
      <c r="BT29">
        <v>11317094</v>
      </c>
      <c r="BU29">
        <v>11109008</v>
      </c>
      <c r="BV29">
        <v>11756537</v>
      </c>
      <c r="BW29">
        <v>12800912</v>
      </c>
      <c r="BX29">
        <v>12951876</v>
      </c>
      <c r="BY29">
        <v>12301381</v>
      </c>
      <c r="BZ29">
        <v>12802414</v>
      </c>
      <c r="CA29">
        <v>15166758</v>
      </c>
      <c r="CB29">
        <v>13958970</v>
      </c>
      <c r="CC29">
        <v>15816167</v>
      </c>
      <c r="CD29">
        <v>17016149</v>
      </c>
      <c r="CE29">
        <v>19066363</v>
      </c>
      <c r="CF29">
        <v>16962124</v>
      </c>
      <c r="CG29">
        <v>19023209</v>
      </c>
      <c r="CH29">
        <v>20133063</v>
      </c>
    </row>
    <row r="30" spans="1:86">
      <c r="A30" t="s">
        <v>1532</v>
      </c>
      <c r="B30" t="s">
        <v>88</v>
      </c>
      <c r="C30">
        <v>1000000</v>
      </c>
      <c r="D30" t="s">
        <v>89</v>
      </c>
      <c r="E30" t="s">
        <v>1533</v>
      </c>
      <c r="F30" s="23" t="s">
        <v>1534</v>
      </c>
      <c r="G30">
        <v>13611</v>
      </c>
      <c r="H30">
        <v>12328</v>
      </c>
      <c r="I30">
        <v>12460</v>
      </c>
      <c r="J30">
        <v>13203</v>
      </c>
      <c r="K30">
        <v>14032</v>
      </c>
      <c r="L30">
        <v>17030</v>
      </c>
      <c r="M30">
        <v>17769</v>
      </c>
      <c r="N30">
        <v>19127</v>
      </c>
      <c r="O30">
        <v>20077</v>
      </c>
      <c r="P30">
        <v>23522</v>
      </c>
      <c r="Q30">
        <v>25381</v>
      </c>
      <c r="R30">
        <v>27301</v>
      </c>
      <c r="S30">
        <v>27021</v>
      </c>
      <c r="T30">
        <v>30635</v>
      </c>
      <c r="U30">
        <v>35848</v>
      </c>
      <c r="V30">
        <v>38341</v>
      </c>
      <c r="W30">
        <v>43218</v>
      </c>
      <c r="X30">
        <v>44314</v>
      </c>
      <c r="Y30">
        <v>49727</v>
      </c>
      <c r="Z30">
        <v>59372</v>
      </c>
      <c r="AA30">
        <v>62166</v>
      </c>
      <c r="AB30">
        <v>65108</v>
      </c>
      <c r="AC30">
        <v>84867</v>
      </c>
      <c r="AD30">
        <v>96907</v>
      </c>
      <c r="AE30">
        <v>107371</v>
      </c>
      <c r="AF30">
        <v>117049</v>
      </c>
      <c r="AG30">
        <v>145866</v>
      </c>
      <c r="AH30">
        <v>175395</v>
      </c>
      <c r="AI30">
        <v>183082</v>
      </c>
      <c r="AJ30">
        <v>204089</v>
      </c>
      <c r="AK30">
        <v>229621</v>
      </c>
      <c r="AL30">
        <v>295761</v>
      </c>
      <c r="AM30">
        <v>353517</v>
      </c>
      <c r="AN30">
        <v>416028</v>
      </c>
      <c r="AO30">
        <v>474052</v>
      </c>
      <c r="AP30">
        <v>574378</v>
      </c>
      <c r="AQ30">
        <v>659285</v>
      </c>
      <c r="AR30">
        <v>688657</v>
      </c>
      <c r="AS30">
        <v>766469</v>
      </c>
      <c r="AT30">
        <v>875161</v>
      </c>
      <c r="AU30">
        <v>1083288</v>
      </c>
      <c r="AV30">
        <v>1358775</v>
      </c>
      <c r="AW30">
        <v>1513457</v>
      </c>
      <c r="AX30">
        <v>1764485</v>
      </c>
      <c r="AY30">
        <v>2106622</v>
      </c>
      <c r="AZ30">
        <v>2186281</v>
      </c>
      <c r="BA30">
        <v>2441895</v>
      </c>
      <c r="BB30">
        <v>2745100</v>
      </c>
      <c r="BC30">
        <v>3023984</v>
      </c>
      <c r="BD30">
        <v>3192065</v>
      </c>
      <c r="BE30">
        <v>3945684</v>
      </c>
      <c r="BF30">
        <v>4645466</v>
      </c>
      <c r="BG30">
        <v>5746421</v>
      </c>
      <c r="BH30">
        <v>6822192</v>
      </c>
      <c r="BI30">
        <v>7878193</v>
      </c>
      <c r="BJ30">
        <v>8266112</v>
      </c>
      <c r="BK30">
        <v>8545401</v>
      </c>
      <c r="BL30">
        <v>8413585</v>
      </c>
      <c r="BM30">
        <v>10088204</v>
      </c>
      <c r="BN30">
        <v>11742824</v>
      </c>
      <c r="BO30">
        <v>12856213</v>
      </c>
      <c r="BP30">
        <v>15418579</v>
      </c>
      <c r="BQ30">
        <v>17547738</v>
      </c>
      <c r="BR30">
        <v>15507367</v>
      </c>
      <c r="BS30">
        <v>16886205</v>
      </c>
      <c r="BT30">
        <v>18784978</v>
      </c>
      <c r="BU30">
        <v>19993462</v>
      </c>
      <c r="BV30">
        <v>21386714</v>
      </c>
      <c r="BW30">
        <v>24296017</v>
      </c>
      <c r="BX30">
        <v>26364167</v>
      </c>
      <c r="BY30">
        <v>26131306</v>
      </c>
      <c r="BZ30">
        <v>27753756</v>
      </c>
      <c r="CA30">
        <v>31647365</v>
      </c>
      <c r="CB30">
        <v>31085507</v>
      </c>
      <c r="CC30">
        <v>36300725</v>
      </c>
      <c r="CD30">
        <v>41631270</v>
      </c>
      <c r="CE30">
        <v>49073104</v>
      </c>
      <c r="CF30">
        <v>42103145</v>
      </c>
      <c r="CG30">
        <v>49514055</v>
      </c>
      <c r="CH30">
        <v>57088947</v>
      </c>
    </row>
    <row r="31" spans="1:86">
      <c r="A31" t="s">
        <v>1427</v>
      </c>
      <c r="B31" t="s">
        <v>88</v>
      </c>
      <c r="C31">
        <v>1000000</v>
      </c>
      <c r="D31" t="s">
        <v>89</v>
      </c>
      <c r="E31" t="s">
        <v>1428</v>
      </c>
      <c r="F31" s="23" t="s">
        <v>1429</v>
      </c>
      <c r="G31">
        <v>2700</v>
      </c>
      <c r="H31">
        <v>2690</v>
      </c>
      <c r="I31">
        <v>2480</v>
      </c>
      <c r="J31">
        <v>2305</v>
      </c>
      <c r="K31">
        <v>2490</v>
      </c>
      <c r="L31">
        <v>2925</v>
      </c>
      <c r="M31">
        <v>3450</v>
      </c>
      <c r="N31">
        <v>3705</v>
      </c>
      <c r="O31">
        <v>3650</v>
      </c>
      <c r="P31">
        <v>5254</v>
      </c>
      <c r="Q31">
        <v>6575</v>
      </c>
      <c r="R31">
        <v>6961</v>
      </c>
      <c r="S31">
        <v>6091</v>
      </c>
      <c r="T31">
        <v>8305</v>
      </c>
      <c r="U31">
        <v>9363</v>
      </c>
      <c r="V31">
        <v>9302</v>
      </c>
      <c r="W31">
        <v>11808</v>
      </c>
      <c r="X31">
        <v>10336</v>
      </c>
      <c r="Y31">
        <v>12485</v>
      </c>
      <c r="Z31">
        <v>13835</v>
      </c>
      <c r="AA31">
        <v>14599</v>
      </c>
      <c r="AB31">
        <v>12643</v>
      </c>
      <c r="AC31">
        <v>25511</v>
      </c>
      <c r="AD31">
        <v>29517</v>
      </c>
      <c r="AE31">
        <v>26761</v>
      </c>
      <c r="AF31">
        <v>27209</v>
      </c>
      <c r="AG31">
        <v>30811</v>
      </c>
      <c r="AH31">
        <v>39059</v>
      </c>
      <c r="AI31">
        <v>33516</v>
      </c>
      <c r="AJ31">
        <v>23921</v>
      </c>
      <c r="AK31">
        <v>33399</v>
      </c>
      <c r="AL31">
        <v>47475</v>
      </c>
      <c r="AM31">
        <v>45129</v>
      </c>
      <c r="AN31">
        <v>47859</v>
      </c>
      <c r="AO31">
        <v>55434</v>
      </c>
      <c r="AP31">
        <v>74586</v>
      </c>
      <c r="AQ31">
        <v>74683</v>
      </c>
      <c r="AR31">
        <v>88324</v>
      </c>
      <c r="AS31">
        <v>109555</v>
      </c>
      <c r="AT31">
        <v>104852</v>
      </c>
      <c r="AU31">
        <v>136791</v>
      </c>
      <c r="AV31">
        <v>183172</v>
      </c>
      <c r="AW31">
        <v>189006</v>
      </c>
      <c r="AX31">
        <v>213813</v>
      </c>
      <c r="AY31">
        <v>275709</v>
      </c>
      <c r="AZ31">
        <v>242615</v>
      </c>
      <c r="BA31">
        <v>291200</v>
      </c>
      <c r="BB31">
        <v>308847</v>
      </c>
      <c r="BC31">
        <v>340997</v>
      </c>
      <c r="BD31">
        <v>352812</v>
      </c>
      <c r="BE31">
        <v>484180</v>
      </c>
      <c r="BF31">
        <v>585280</v>
      </c>
      <c r="BG31">
        <v>838216</v>
      </c>
      <c r="BH31">
        <v>1108661</v>
      </c>
      <c r="BI31">
        <v>1435081</v>
      </c>
      <c r="BJ31">
        <v>1482537</v>
      </c>
      <c r="BK31">
        <v>1441451</v>
      </c>
      <c r="BL31">
        <v>1229421</v>
      </c>
      <c r="BM31">
        <v>1696233</v>
      </c>
      <c r="BN31">
        <v>1952173</v>
      </c>
      <c r="BO31">
        <v>2117753</v>
      </c>
      <c r="BP31">
        <v>2558411</v>
      </c>
      <c r="BQ31">
        <v>2953999</v>
      </c>
      <c r="BR31">
        <v>1929859</v>
      </c>
      <c r="BS31">
        <v>2657426</v>
      </c>
      <c r="BT31">
        <v>3213464</v>
      </c>
      <c r="BU31">
        <v>3397174</v>
      </c>
      <c r="BV31">
        <v>3952993</v>
      </c>
      <c r="BW31">
        <v>5205378</v>
      </c>
      <c r="BX31">
        <v>5920568</v>
      </c>
      <c r="BY31">
        <v>5500927</v>
      </c>
      <c r="BZ31">
        <v>5782681</v>
      </c>
      <c r="CA31">
        <v>7019413</v>
      </c>
      <c r="CB31">
        <v>6629533</v>
      </c>
      <c r="CC31">
        <v>8278549</v>
      </c>
      <c r="CD31">
        <v>10673362</v>
      </c>
      <c r="CE31">
        <v>13898265</v>
      </c>
      <c r="CF31">
        <v>10801172</v>
      </c>
      <c r="CG31">
        <v>13415221</v>
      </c>
      <c r="CH31">
        <v>16891577</v>
      </c>
    </row>
    <row r="32" spans="1:86">
      <c r="A32" t="s">
        <v>1535</v>
      </c>
      <c r="B32" t="s">
        <v>88</v>
      </c>
      <c r="C32">
        <v>1000000</v>
      </c>
      <c r="D32" t="s">
        <v>89</v>
      </c>
      <c r="E32" t="s">
        <v>1536</v>
      </c>
      <c r="F32" s="23" t="s">
        <v>1537</v>
      </c>
      <c r="G32">
        <v>10911</v>
      </c>
      <c r="H32">
        <v>9638</v>
      </c>
      <c r="I32">
        <v>9980</v>
      </c>
      <c r="J32">
        <v>10898</v>
      </c>
      <c r="K32">
        <v>11542</v>
      </c>
      <c r="L32">
        <v>14105</v>
      </c>
      <c r="M32">
        <v>14319</v>
      </c>
      <c r="N32">
        <v>15422</v>
      </c>
      <c r="O32">
        <v>16427</v>
      </c>
      <c r="P32">
        <v>18268</v>
      </c>
      <c r="Q32">
        <v>18806</v>
      </c>
      <c r="R32">
        <v>20340</v>
      </c>
      <c r="S32">
        <v>20930</v>
      </c>
      <c r="T32">
        <v>22330</v>
      </c>
      <c r="U32">
        <v>26485</v>
      </c>
      <c r="V32">
        <v>29039</v>
      </c>
      <c r="W32">
        <v>31410</v>
      </c>
      <c r="X32">
        <v>33978</v>
      </c>
      <c r="Y32">
        <v>37242</v>
      </c>
      <c r="Z32">
        <v>45537</v>
      </c>
      <c r="AA32">
        <v>47567</v>
      </c>
      <c r="AB32">
        <v>52465</v>
      </c>
      <c r="AC32">
        <v>59356</v>
      </c>
      <c r="AD32">
        <v>67390</v>
      </c>
      <c r="AE32">
        <v>80610</v>
      </c>
      <c r="AF32">
        <v>89840</v>
      </c>
      <c r="AG32">
        <v>115055</v>
      </c>
      <c r="AH32">
        <v>136336</v>
      </c>
      <c r="AI32">
        <v>149566</v>
      </c>
      <c r="AJ32">
        <v>180168</v>
      </c>
      <c r="AK32">
        <v>196222</v>
      </c>
      <c r="AL32">
        <v>248286</v>
      </c>
      <c r="AM32">
        <v>308388</v>
      </c>
      <c r="AN32">
        <v>368169</v>
      </c>
      <c r="AO32">
        <v>418618</v>
      </c>
      <c r="AP32">
        <v>499792</v>
      </c>
      <c r="AQ32">
        <v>584602</v>
      </c>
      <c r="AR32">
        <v>600333</v>
      </c>
      <c r="AS32">
        <v>656914</v>
      </c>
      <c r="AT32">
        <v>770309</v>
      </c>
      <c r="AU32">
        <v>946497</v>
      </c>
      <c r="AV32">
        <v>1175603</v>
      </c>
      <c r="AW32">
        <v>1324451</v>
      </c>
      <c r="AX32">
        <v>1550672</v>
      </c>
      <c r="AY32">
        <v>1830913</v>
      </c>
      <c r="AZ32">
        <v>1943666</v>
      </c>
      <c r="BA32">
        <v>2150695</v>
      </c>
      <c r="BB32">
        <v>2436253</v>
      </c>
      <c r="BC32">
        <v>2682987</v>
      </c>
      <c r="BD32">
        <v>2839253</v>
      </c>
      <c r="BE32">
        <v>3461504</v>
      </c>
      <c r="BF32">
        <v>4060186</v>
      </c>
      <c r="BG32">
        <v>4908205</v>
      </c>
      <c r="BH32">
        <v>5713531</v>
      </c>
      <c r="BI32">
        <v>6443112</v>
      </c>
      <c r="BJ32">
        <v>6783575</v>
      </c>
      <c r="BK32">
        <v>7103950</v>
      </c>
      <c r="BL32">
        <v>7184164</v>
      </c>
      <c r="BM32">
        <v>8391971</v>
      </c>
      <c r="BN32">
        <v>9790651</v>
      </c>
      <c r="BO32">
        <v>10738460</v>
      </c>
      <c r="BP32">
        <v>12860168</v>
      </c>
      <c r="BQ32">
        <v>14593739</v>
      </c>
      <c r="BR32">
        <v>13577508</v>
      </c>
      <c r="BS32">
        <v>14228779</v>
      </c>
      <c r="BT32">
        <v>15571514</v>
      </c>
      <c r="BU32">
        <v>16596288</v>
      </c>
      <c r="BV32">
        <v>17433721</v>
      </c>
      <c r="BW32">
        <v>19090639</v>
      </c>
      <c r="BX32">
        <v>20443599</v>
      </c>
      <c r="BY32">
        <v>20630379</v>
      </c>
      <c r="BZ32">
        <v>21971075</v>
      </c>
      <c r="CA32">
        <v>24627952</v>
      </c>
      <c r="CB32">
        <v>24455974</v>
      </c>
      <c r="CC32">
        <v>28022176</v>
      </c>
      <c r="CD32">
        <v>30957908</v>
      </c>
      <c r="CE32">
        <v>35174839</v>
      </c>
      <c r="CF32">
        <v>31301973</v>
      </c>
      <c r="CG32">
        <v>36098834</v>
      </c>
      <c r="CH32">
        <v>40197370</v>
      </c>
    </row>
    <row r="33" spans="1:86">
      <c r="A33" t="s">
        <v>1459</v>
      </c>
      <c r="B33" t="s">
        <v>88</v>
      </c>
      <c r="C33">
        <v>1000000</v>
      </c>
      <c r="D33" t="s">
        <v>89</v>
      </c>
      <c r="E33" t="s">
        <v>1460</v>
      </c>
      <c r="F33" s="23" t="s">
        <v>1461</v>
      </c>
      <c r="G33">
        <v>733273</v>
      </c>
      <c r="H33">
        <v>817833</v>
      </c>
      <c r="I33">
        <v>934935</v>
      </c>
      <c r="J33">
        <v>991725</v>
      </c>
      <c r="K33">
        <v>1013747</v>
      </c>
      <c r="L33">
        <v>1120186</v>
      </c>
      <c r="M33">
        <v>1269077</v>
      </c>
      <c r="N33">
        <v>1317785</v>
      </c>
      <c r="O33">
        <v>1351999</v>
      </c>
      <c r="P33">
        <v>1497113</v>
      </c>
      <c r="Q33">
        <v>1679481</v>
      </c>
      <c r="R33">
        <v>1832498</v>
      </c>
      <c r="S33">
        <v>1866771</v>
      </c>
      <c r="T33">
        <v>2080972</v>
      </c>
      <c r="U33">
        <v>2210496</v>
      </c>
      <c r="V33">
        <v>2287245</v>
      </c>
      <c r="W33">
        <v>2521742</v>
      </c>
      <c r="X33">
        <v>2598968</v>
      </c>
      <c r="Y33">
        <v>2726472</v>
      </c>
      <c r="Z33">
        <v>2911977</v>
      </c>
      <c r="AA33">
        <v>3124583</v>
      </c>
      <c r="AB33">
        <v>3243599</v>
      </c>
      <c r="AC33">
        <v>3557415</v>
      </c>
      <c r="AD33">
        <v>3974923</v>
      </c>
      <c r="AE33">
        <v>4088663</v>
      </c>
      <c r="AF33">
        <v>4322288</v>
      </c>
      <c r="AG33">
        <v>4718697</v>
      </c>
      <c r="AH33">
        <v>5294069</v>
      </c>
      <c r="AI33">
        <v>5599547</v>
      </c>
      <c r="AJ33">
        <v>5835321</v>
      </c>
      <c r="AK33">
        <v>6602817</v>
      </c>
      <c r="AL33">
        <v>7288342</v>
      </c>
      <c r="AM33">
        <v>7903176</v>
      </c>
      <c r="AN33">
        <v>8888113</v>
      </c>
      <c r="AO33">
        <v>10272149</v>
      </c>
      <c r="AP33">
        <v>11792350</v>
      </c>
      <c r="AQ33">
        <v>12769304</v>
      </c>
      <c r="AR33">
        <v>13335352</v>
      </c>
      <c r="AS33">
        <v>14148311</v>
      </c>
      <c r="AT33">
        <v>15109572</v>
      </c>
      <c r="AU33">
        <v>16485542</v>
      </c>
      <c r="AV33">
        <v>17875263</v>
      </c>
      <c r="AW33">
        <v>19004781</v>
      </c>
      <c r="AX33">
        <v>20533955</v>
      </c>
      <c r="AY33">
        <v>22293729</v>
      </c>
      <c r="AZ33">
        <v>22775596</v>
      </c>
      <c r="BA33">
        <v>24130502</v>
      </c>
      <c r="BB33">
        <v>25093678</v>
      </c>
      <c r="BC33">
        <v>26414440</v>
      </c>
      <c r="BD33">
        <v>27452078</v>
      </c>
      <c r="BE33">
        <v>29810038</v>
      </c>
      <c r="BF33">
        <v>31995017</v>
      </c>
      <c r="BG33">
        <v>35684048</v>
      </c>
      <c r="BH33">
        <v>39569603</v>
      </c>
      <c r="BI33">
        <v>45125576</v>
      </c>
      <c r="BJ33">
        <v>45817440</v>
      </c>
      <c r="BK33">
        <v>46537331</v>
      </c>
      <c r="BL33">
        <v>45990464</v>
      </c>
      <c r="BM33">
        <v>51334751</v>
      </c>
      <c r="BN33">
        <v>57772107</v>
      </c>
      <c r="BO33">
        <v>63513873</v>
      </c>
      <c r="BP33">
        <v>68590785</v>
      </c>
      <c r="BQ33">
        <v>69637948</v>
      </c>
      <c r="BR33">
        <v>59655182</v>
      </c>
      <c r="BS33">
        <v>58484178</v>
      </c>
      <c r="BT33">
        <v>63014150</v>
      </c>
      <c r="BU33">
        <v>61929247</v>
      </c>
      <c r="BV33">
        <v>65945859</v>
      </c>
      <c r="BW33">
        <v>75557851</v>
      </c>
      <c r="BX33">
        <v>80021752</v>
      </c>
      <c r="BY33">
        <v>82238878</v>
      </c>
      <c r="BZ33">
        <v>87161969</v>
      </c>
      <c r="CA33">
        <v>95332022</v>
      </c>
      <c r="CB33">
        <v>94848037</v>
      </c>
      <c r="CC33">
        <v>103033483</v>
      </c>
      <c r="CD33">
        <v>113914917</v>
      </c>
      <c r="CE33">
        <v>136205372</v>
      </c>
      <c r="CF33">
        <v>135285879</v>
      </c>
      <c r="CG33">
        <v>144557112</v>
      </c>
      <c r="CH33">
        <v>156707266</v>
      </c>
    </row>
    <row r="34" spans="1:86">
      <c r="A34" t="s">
        <v>1459</v>
      </c>
      <c r="B34" t="s">
        <v>88</v>
      </c>
      <c r="C34">
        <v>1000000</v>
      </c>
      <c r="D34" t="s">
        <v>89</v>
      </c>
      <c r="E34" t="s">
        <v>1538</v>
      </c>
      <c r="F34" s="23" t="s">
        <v>1539</v>
      </c>
      <c r="G34" t="s">
        <v>97</v>
      </c>
      <c r="H34">
        <v>84560</v>
      </c>
      <c r="I34">
        <v>117102</v>
      </c>
      <c r="J34">
        <v>56791</v>
      </c>
      <c r="K34">
        <v>22022</v>
      </c>
      <c r="L34">
        <v>106439</v>
      </c>
      <c r="M34">
        <v>148891</v>
      </c>
      <c r="N34">
        <v>48708</v>
      </c>
      <c r="O34">
        <v>34214</v>
      </c>
      <c r="P34">
        <v>145114</v>
      </c>
      <c r="Q34">
        <v>182368</v>
      </c>
      <c r="R34">
        <v>153017</v>
      </c>
      <c r="S34">
        <v>34273</v>
      </c>
      <c r="T34">
        <v>214201</v>
      </c>
      <c r="U34">
        <v>129524</v>
      </c>
      <c r="V34">
        <v>76749</v>
      </c>
      <c r="W34">
        <v>234497</v>
      </c>
      <c r="X34">
        <v>77226</v>
      </c>
      <c r="Y34">
        <v>127504</v>
      </c>
      <c r="Z34">
        <v>185505</v>
      </c>
      <c r="AA34">
        <v>212606</v>
      </c>
      <c r="AB34">
        <v>119016</v>
      </c>
      <c r="AC34">
        <v>313816</v>
      </c>
      <c r="AD34">
        <v>417508</v>
      </c>
      <c r="AE34">
        <v>113740</v>
      </c>
      <c r="AF34">
        <v>233625</v>
      </c>
      <c r="AG34">
        <v>396409</v>
      </c>
      <c r="AH34">
        <v>575372</v>
      </c>
      <c r="AI34">
        <v>305478</v>
      </c>
      <c r="AJ34">
        <v>235774</v>
      </c>
      <c r="AK34">
        <v>767496</v>
      </c>
      <c r="AL34">
        <v>685525</v>
      </c>
      <c r="AM34">
        <v>614834</v>
      </c>
      <c r="AN34">
        <v>984937</v>
      </c>
      <c r="AO34">
        <v>1384036</v>
      </c>
      <c r="AP34">
        <v>1520201</v>
      </c>
      <c r="AQ34">
        <v>976954</v>
      </c>
      <c r="AR34">
        <v>566048</v>
      </c>
      <c r="AS34">
        <v>812959</v>
      </c>
      <c r="AT34">
        <v>961261</v>
      </c>
      <c r="AU34">
        <v>1375970</v>
      </c>
      <c r="AV34">
        <v>1389721</v>
      </c>
      <c r="AW34">
        <v>1129518</v>
      </c>
      <c r="AX34">
        <v>1529174</v>
      </c>
      <c r="AY34">
        <v>1759774</v>
      </c>
      <c r="AZ34">
        <v>481867</v>
      </c>
      <c r="BA34">
        <v>1354906</v>
      </c>
      <c r="BB34">
        <v>963176</v>
      </c>
      <c r="BC34">
        <v>1320762</v>
      </c>
      <c r="BD34">
        <v>1037638</v>
      </c>
      <c r="BE34">
        <v>2357960</v>
      </c>
      <c r="BF34">
        <v>2184979</v>
      </c>
      <c r="BG34">
        <v>3689031</v>
      </c>
      <c r="BH34">
        <v>3885555</v>
      </c>
      <c r="BI34">
        <v>5555972</v>
      </c>
      <c r="BJ34">
        <v>691865</v>
      </c>
      <c r="BK34">
        <v>719891</v>
      </c>
      <c r="BL34">
        <v>-546867</v>
      </c>
      <c r="BM34">
        <v>5344287</v>
      </c>
      <c r="BN34">
        <v>6437356</v>
      </c>
      <c r="BO34">
        <v>5741766</v>
      </c>
      <c r="BP34">
        <v>5076912</v>
      </c>
      <c r="BQ34">
        <v>1047163</v>
      </c>
      <c r="BR34">
        <v>-9982766</v>
      </c>
      <c r="BS34">
        <v>-1171004</v>
      </c>
      <c r="BT34">
        <v>4529971</v>
      </c>
      <c r="BU34">
        <v>-1084902</v>
      </c>
      <c r="BV34">
        <v>4016611</v>
      </c>
      <c r="BW34">
        <v>9611992</v>
      </c>
      <c r="BX34">
        <v>4463901</v>
      </c>
      <c r="BY34">
        <v>2217126</v>
      </c>
      <c r="BZ34">
        <v>4923091</v>
      </c>
      <c r="CA34">
        <v>8170053</v>
      </c>
      <c r="CB34">
        <v>-483985</v>
      </c>
      <c r="CC34">
        <v>8185446</v>
      </c>
      <c r="CD34">
        <v>10881434</v>
      </c>
      <c r="CE34">
        <v>22290455</v>
      </c>
      <c r="CF34">
        <v>-919493</v>
      </c>
      <c r="CG34">
        <v>9271233</v>
      </c>
      <c r="CH34">
        <v>12150153</v>
      </c>
    </row>
    <row r="35" spans="1:86">
      <c r="A35" t="s">
        <v>1540</v>
      </c>
      <c r="B35" t="s">
        <v>1443</v>
      </c>
      <c r="C35">
        <v>1000000</v>
      </c>
      <c r="D35" t="s">
        <v>89</v>
      </c>
      <c r="E35" t="s">
        <v>1541</v>
      </c>
      <c r="F35" s="23" t="s">
        <v>1542</v>
      </c>
      <c r="G35" t="s">
        <v>97</v>
      </c>
      <c r="H35">
        <v>11.531812217900194</v>
      </c>
      <c r="I35">
        <v>14.318510013658045</v>
      </c>
      <c r="J35">
        <v>6.0743025313538004</v>
      </c>
      <c r="K35">
        <v>2.2205494919081672</v>
      </c>
      <c r="L35">
        <v>10.499587175103848</v>
      </c>
      <c r="M35">
        <v>13.2916066413063</v>
      </c>
      <c r="N35">
        <v>3.838064987388472</v>
      </c>
      <c r="O35">
        <v>2.596326411364525</v>
      </c>
      <c r="P35">
        <v>10.733291962494055</v>
      </c>
      <c r="Q35">
        <v>12.18131163111936</v>
      </c>
      <c r="R35">
        <v>9.110969400666038</v>
      </c>
      <c r="S35">
        <v>1.8702885351034491</v>
      </c>
      <c r="T35">
        <v>11.474412233744792</v>
      </c>
      <c r="U35">
        <v>6.2242067649156274</v>
      </c>
      <c r="V35">
        <v>3.4720261877877179</v>
      </c>
      <c r="W35">
        <v>10.252377860701412</v>
      </c>
      <c r="X35">
        <v>3.06240686001978</v>
      </c>
      <c r="Y35">
        <v>4.9059472836910656</v>
      </c>
      <c r="Z35">
        <v>6.8038476096581952</v>
      </c>
      <c r="AA35">
        <v>7.3010878863397606</v>
      </c>
      <c r="AB35">
        <v>3.809020275665584</v>
      </c>
      <c r="AC35">
        <v>9.6749320739092592</v>
      </c>
      <c r="AD35">
        <v>11.736274795040782</v>
      </c>
      <c r="AE35">
        <v>2.8614390769330629</v>
      </c>
      <c r="AF35">
        <v>5.7139705571234414</v>
      </c>
      <c r="AG35">
        <v>9.1712768792824537</v>
      </c>
      <c r="AH35">
        <v>12.193450861540803</v>
      </c>
      <c r="AI35">
        <v>5.7701930216625437</v>
      </c>
      <c r="AJ35">
        <v>4.2105906067044359</v>
      </c>
      <c r="AK35">
        <v>13.152592633721435</v>
      </c>
      <c r="AL35">
        <v>10.382311065110542</v>
      </c>
      <c r="AM35">
        <v>8.4358555073293768</v>
      </c>
      <c r="AN35">
        <v>12.462546702743301</v>
      </c>
      <c r="AO35">
        <v>15.571764220369385</v>
      </c>
      <c r="AP35">
        <v>14.799249894058194</v>
      </c>
      <c r="AQ35">
        <v>8.2846421620796526</v>
      </c>
      <c r="AR35">
        <v>4.4328806017931752</v>
      </c>
      <c r="AS35">
        <v>6.0962695247939456</v>
      </c>
      <c r="AT35">
        <v>6.7941749372062858</v>
      </c>
      <c r="AU35">
        <v>9.1066113586804445</v>
      </c>
      <c r="AV35">
        <v>8.4299381846226229</v>
      </c>
      <c r="AW35">
        <v>6.3188888465585098</v>
      </c>
      <c r="AX35">
        <v>8.0462595175392977</v>
      </c>
      <c r="AY35">
        <v>8.5700684549079806</v>
      </c>
      <c r="AZ35">
        <v>2.161446387008652</v>
      </c>
      <c r="BA35">
        <v>5.9489376260449998</v>
      </c>
      <c r="BB35">
        <v>3.9915290614343619</v>
      </c>
      <c r="BC35">
        <v>5.2633256870515357</v>
      </c>
      <c r="BD35">
        <v>3.928298309560982</v>
      </c>
      <c r="BE35">
        <v>8.5893679888276573</v>
      </c>
      <c r="BF35">
        <v>7.3296753261434962</v>
      </c>
      <c r="BG35">
        <v>11.530017314883752</v>
      </c>
      <c r="BH35">
        <v>10.888773745624375</v>
      </c>
      <c r="BI35">
        <v>14.041011139023738</v>
      </c>
      <c r="BJ35">
        <v>1.5331987238593821</v>
      </c>
      <c r="BK35">
        <v>1.571215444850566</v>
      </c>
      <c r="BL35">
        <v>-1.175115411807536</v>
      </c>
      <c r="BM35">
        <v>11.620424571169927</v>
      </c>
      <c r="BN35">
        <v>12.539957703388808</v>
      </c>
      <c r="BO35">
        <v>9.9386466118836907</v>
      </c>
      <c r="BP35">
        <v>7.9933910501205911</v>
      </c>
      <c r="BQ35">
        <v>1.5266819071687829</v>
      </c>
      <c r="BR35">
        <v>-14.335238422979483</v>
      </c>
      <c r="BS35">
        <v>-1.962953949216812</v>
      </c>
      <c r="BT35">
        <v>7.7456355537881132</v>
      </c>
      <c r="BU35">
        <v>-1.721680144234909</v>
      </c>
      <c r="BV35">
        <v>6.4858066561939323</v>
      </c>
      <c r="BW35">
        <v>14.575580857949733</v>
      </c>
      <c r="BX35">
        <v>5.9079247418401328</v>
      </c>
      <c r="BY35">
        <v>2.770654549612888</v>
      </c>
      <c r="BZ35">
        <v>5.986330770441076</v>
      </c>
      <c r="CA35">
        <v>9.3734144425151698</v>
      </c>
      <c r="CB35">
        <v>-0.50768340099096898</v>
      </c>
      <c r="CC35">
        <v>8.63006370173491</v>
      </c>
      <c r="CD35">
        <v>10.561066120458724</v>
      </c>
      <c r="CE35">
        <v>19.567634483227831</v>
      </c>
      <c r="CF35">
        <v>-0.67507814745017702</v>
      </c>
      <c r="CG35">
        <v>6.8530678652721724</v>
      </c>
      <c r="CH35">
        <v>8.4050886348607445</v>
      </c>
    </row>
    <row r="36" spans="1:86">
      <c r="A36" t="s">
        <v>1543</v>
      </c>
      <c r="B36" t="s">
        <v>88</v>
      </c>
      <c r="C36">
        <v>1000000</v>
      </c>
      <c r="D36" t="s">
        <v>89</v>
      </c>
      <c r="E36" t="s">
        <v>1544</v>
      </c>
      <c r="F36" s="23" t="s">
        <v>1545</v>
      </c>
      <c r="G36">
        <v>806616</v>
      </c>
      <c r="H36">
        <v>885216</v>
      </c>
      <c r="I36">
        <v>984199</v>
      </c>
      <c r="J36">
        <v>1037019</v>
      </c>
      <c r="K36">
        <v>1079425</v>
      </c>
      <c r="L36">
        <v>1171443</v>
      </c>
      <c r="M36">
        <v>1280523</v>
      </c>
      <c r="N36">
        <v>1338242</v>
      </c>
      <c r="O36">
        <v>1386232</v>
      </c>
      <c r="P36">
        <v>1484120</v>
      </c>
      <c r="Q36">
        <v>1600734</v>
      </c>
      <c r="R36">
        <v>1710651</v>
      </c>
      <c r="S36">
        <v>1776003</v>
      </c>
      <c r="T36">
        <v>1921081</v>
      </c>
      <c r="U36">
        <v>2016085</v>
      </c>
      <c r="V36">
        <v>2091056</v>
      </c>
      <c r="W36">
        <v>2256719</v>
      </c>
      <c r="X36">
        <v>2319203</v>
      </c>
      <c r="Y36">
        <v>2422670</v>
      </c>
      <c r="Z36">
        <v>2604188</v>
      </c>
      <c r="AA36">
        <v>2803145</v>
      </c>
      <c r="AB36">
        <v>2902437</v>
      </c>
      <c r="AC36">
        <v>3204063</v>
      </c>
      <c r="AD36">
        <v>3595704</v>
      </c>
      <c r="AE36">
        <v>3660323</v>
      </c>
      <c r="AF36">
        <v>3875609</v>
      </c>
      <c r="AG36">
        <v>4294415</v>
      </c>
      <c r="AH36">
        <v>4889778</v>
      </c>
      <c r="AI36">
        <v>5101037</v>
      </c>
      <c r="AJ36">
        <v>5213063</v>
      </c>
      <c r="AK36">
        <v>5861925</v>
      </c>
      <c r="AL36">
        <v>6522666</v>
      </c>
      <c r="AM36">
        <v>7107581</v>
      </c>
      <c r="AN36">
        <v>7955603</v>
      </c>
      <c r="AO36">
        <v>9096396</v>
      </c>
      <c r="AP36">
        <v>10359452</v>
      </c>
      <c r="AQ36">
        <v>11258954</v>
      </c>
      <c r="AR36">
        <v>12084247</v>
      </c>
      <c r="AS36">
        <v>12980987</v>
      </c>
      <c r="AT36">
        <v>14097490</v>
      </c>
      <c r="AU36">
        <v>15549012</v>
      </c>
      <c r="AV36">
        <v>17180357</v>
      </c>
      <c r="AW36">
        <v>18436338</v>
      </c>
      <c r="AX36">
        <v>20181251</v>
      </c>
      <c r="AY36">
        <v>21976312</v>
      </c>
      <c r="AZ36">
        <v>22629587</v>
      </c>
      <c r="BA36">
        <v>24128374</v>
      </c>
      <c r="BB36">
        <v>25237606</v>
      </c>
      <c r="BC36">
        <v>26745508</v>
      </c>
      <c r="BD36">
        <v>27723515</v>
      </c>
      <c r="BE36">
        <v>30075730</v>
      </c>
      <c r="BF36">
        <v>32171612</v>
      </c>
      <c r="BG36">
        <v>35539480</v>
      </c>
      <c r="BH36">
        <v>39314914</v>
      </c>
      <c r="BI36">
        <v>43267374</v>
      </c>
      <c r="BJ36">
        <v>44488148</v>
      </c>
      <c r="BK36">
        <v>46021409</v>
      </c>
      <c r="BL36">
        <v>45935157</v>
      </c>
      <c r="BM36">
        <v>50913954</v>
      </c>
      <c r="BN36">
        <v>57782223</v>
      </c>
      <c r="BO36">
        <v>63340513</v>
      </c>
      <c r="BP36">
        <v>68263388</v>
      </c>
      <c r="BQ36">
        <v>69895699</v>
      </c>
      <c r="BR36">
        <v>61058258</v>
      </c>
      <c r="BS36">
        <v>61492801</v>
      </c>
      <c r="BT36">
        <v>65941998</v>
      </c>
      <c r="BU36">
        <v>67005103</v>
      </c>
      <c r="BV36">
        <v>72020139</v>
      </c>
      <c r="BW36">
        <v>80843597</v>
      </c>
      <c r="BX36">
        <v>86979596</v>
      </c>
      <c r="BY36">
        <v>89947002</v>
      </c>
      <c r="BZ36">
        <v>95192405</v>
      </c>
      <c r="CA36">
        <v>104026218</v>
      </c>
      <c r="CB36">
        <v>103933714</v>
      </c>
      <c r="CC36">
        <v>115663941</v>
      </c>
      <c r="CD36">
        <v>130673319</v>
      </c>
      <c r="CE36">
        <v>151701072</v>
      </c>
      <c r="CF36">
        <v>143858225</v>
      </c>
      <c r="CG36">
        <v>156064345</v>
      </c>
      <c r="CH36">
        <v>169427418</v>
      </c>
    </row>
    <row r="37" spans="1:86">
      <c r="A37" t="s">
        <v>1543</v>
      </c>
      <c r="B37" t="s">
        <v>88</v>
      </c>
      <c r="C37">
        <v>1000000</v>
      </c>
      <c r="D37" t="s">
        <v>89</v>
      </c>
      <c r="E37" t="s">
        <v>1546</v>
      </c>
      <c r="F37" s="23" t="s">
        <v>1547</v>
      </c>
      <c r="G37" t="s">
        <v>97</v>
      </c>
      <c r="H37">
        <v>78600</v>
      </c>
      <c r="I37">
        <v>98982</v>
      </c>
      <c r="J37">
        <v>52821</v>
      </c>
      <c r="K37">
        <v>42406</v>
      </c>
      <c r="L37">
        <v>92018</v>
      </c>
      <c r="M37">
        <v>109080</v>
      </c>
      <c r="N37">
        <v>57719</v>
      </c>
      <c r="O37">
        <v>47990</v>
      </c>
      <c r="P37">
        <v>97888</v>
      </c>
      <c r="Q37">
        <v>116614</v>
      </c>
      <c r="R37">
        <v>109918</v>
      </c>
      <c r="S37">
        <v>65352</v>
      </c>
      <c r="T37">
        <v>145078</v>
      </c>
      <c r="U37">
        <v>95004</v>
      </c>
      <c r="V37">
        <v>74971</v>
      </c>
      <c r="W37">
        <v>165663</v>
      </c>
      <c r="X37">
        <v>62484</v>
      </c>
      <c r="Y37">
        <v>103468</v>
      </c>
      <c r="Z37">
        <v>181518</v>
      </c>
      <c r="AA37">
        <v>198957</v>
      </c>
      <c r="AB37">
        <v>99293</v>
      </c>
      <c r="AC37">
        <v>301626</v>
      </c>
      <c r="AD37">
        <v>391641</v>
      </c>
      <c r="AE37">
        <v>64619</v>
      </c>
      <c r="AF37">
        <v>215286</v>
      </c>
      <c r="AG37">
        <v>418807</v>
      </c>
      <c r="AH37">
        <v>595363</v>
      </c>
      <c r="AI37">
        <v>211259</v>
      </c>
      <c r="AJ37">
        <v>112026</v>
      </c>
      <c r="AK37">
        <v>648862</v>
      </c>
      <c r="AL37">
        <v>660741</v>
      </c>
      <c r="AM37">
        <v>584915</v>
      </c>
      <c r="AN37">
        <v>848022</v>
      </c>
      <c r="AO37">
        <v>1140793</v>
      </c>
      <c r="AP37">
        <v>1263056</v>
      </c>
      <c r="AQ37">
        <v>899502</v>
      </c>
      <c r="AR37">
        <v>825293</v>
      </c>
      <c r="AS37">
        <v>896740</v>
      </c>
      <c r="AT37">
        <v>1116503</v>
      </c>
      <c r="AU37">
        <v>1451522</v>
      </c>
      <c r="AV37">
        <v>1631345</v>
      </c>
      <c r="AW37">
        <v>1255981</v>
      </c>
      <c r="AX37">
        <v>1744913</v>
      </c>
      <c r="AY37">
        <v>1795061</v>
      </c>
      <c r="AZ37">
        <v>653275</v>
      </c>
      <c r="BA37">
        <v>1498787</v>
      </c>
      <c r="BB37">
        <v>1109232</v>
      </c>
      <c r="BC37">
        <v>1507902</v>
      </c>
      <c r="BD37">
        <v>978007</v>
      </c>
      <c r="BE37">
        <v>2352214</v>
      </c>
      <c r="BF37">
        <v>2095882</v>
      </c>
      <c r="BG37">
        <v>3367868</v>
      </c>
      <c r="BH37">
        <v>3775435</v>
      </c>
      <c r="BI37">
        <v>3952460</v>
      </c>
      <c r="BJ37">
        <v>1220774</v>
      </c>
      <c r="BK37">
        <v>1533262</v>
      </c>
      <c r="BL37">
        <v>-86252</v>
      </c>
      <c r="BM37">
        <v>4978796</v>
      </c>
      <c r="BN37">
        <v>6868269</v>
      </c>
      <c r="BO37">
        <v>5558289</v>
      </c>
      <c r="BP37">
        <v>4922876</v>
      </c>
      <c r="BQ37">
        <v>1632311</v>
      </c>
      <c r="BR37">
        <v>-8837441</v>
      </c>
      <c r="BS37">
        <v>434543</v>
      </c>
      <c r="BT37">
        <v>4449198</v>
      </c>
      <c r="BU37">
        <v>1063105</v>
      </c>
      <c r="BV37">
        <v>5015036</v>
      </c>
      <c r="BW37">
        <v>8823458</v>
      </c>
      <c r="BX37">
        <v>6135999</v>
      </c>
      <c r="BY37">
        <v>2967406</v>
      </c>
      <c r="BZ37">
        <v>5245403</v>
      </c>
      <c r="CA37">
        <v>8833813</v>
      </c>
      <c r="CB37">
        <v>-92505</v>
      </c>
      <c r="CC37">
        <v>11730228</v>
      </c>
      <c r="CD37">
        <v>15009378</v>
      </c>
      <c r="CE37">
        <v>21027753</v>
      </c>
      <c r="CF37">
        <v>-7842847</v>
      </c>
      <c r="CG37">
        <v>12206120</v>
      </c>
      <c r="CH37">
        <v>13363073</v>
      </c>
    </row>
    <row r="38" spans="1:86">
      <c r="A38" t="s">
        <v>1548</v>
      </c>
      <c r="B38" t="s">
        <v>1443</v>
      </c>
      <c r="C38">
        <v>1000000</v>
      </c>
      <c r="D38" t="s">
        <v>89</v>
      </c>
      <c r="E38" t="s">
        <v>1549</v>
      </c>
      <c r="F38" s="23" t="s">
        <v>1550</v>
      </c>
      <c r="G38" t="s">
        <v>97</v>
      </c>
      <c r="H38">
        <v>9.7444088664698612</v>
      </c>
      <c r="I38">
        <v>11.181695232939646</v>
      </c>
      <c r="J38">
        <v>5.3668792050710206</v>
      </c>
      <c r="K38">
        <v>4.0892245646139402</v>
      </c>
      <c r="L38">
        <v>8.5246882276440914</v>
      </c>
      <c r="M38">
        <v>9.3116221057438384</v>
      </c>
      <c r="N38">
        <v>4.5074459396837376</v>
      </c>
      <c r="O38">
        <v>3.5860097980761778</v>
      </c>
      <c r="P38">
        <v>7.0614741344124337</v>
      </c>
      <c r="Q38">
        <v>7.8574228691180208</v>
      </c>
      <c r="R38">
        <v>6.8667007593642273</v>
      </c>
      <c r="S38">
        <v>3.8202757148534241</v>
      </c>
      <c r="T38">
        <v>8.1687981382914394</v>
      </c>
      <c r="U38">
        <v>4.9453300019452486</v>
      </c>
      <c r="V38">
        <v>3.7186529198249629</v>
      </c>
      <c r="W38">
        <v>7.922441679111321</v>
      </c>
      <c r="X38">
        <v>2.7687986646807752</v>
      </c>
      <c r="Y38">
        <v>4.4613390428814599</v>
      </c>
      <c r="Z38">
        <v>7.4924763802982204</v>
      </c>
      <c r="AA38">
        <v>7.639866134104051</v>
      </c>
      <c r="AB38">
        <v>3.5421859049165101</v>
      </c>
      <c r="AC38">
        <v>10.39215867325855</v>
      </c>
      <c r="AD38">
        <v>12.223251020040715</v>
      </c>
      <c r="AE38">
        <v>1.797119562678132</v>
      </c>
      <c r="AF38">
        <v>5.8816009985566593</v>
      </c>
      <c r="AG38">
        <v>10.806214776016979</v>
      </c>
      <c r="AH38">
        <v>13.863645185876644</v>
      </c>
      <c r="AI38">
        <v>4.3204171772386024</v>
      </c>
      <c r="AJ38">
        <v>2.196143819081803</v>
      </c>
      <c r="AK38">
        <v>12.446853938664496</v>
      </c>
      <c r="AL38">
        <v>11.271740938343633</v>
      </c>
      <c r="AM38">
        <v>8.9674268159675794</v>
      </c>
      <c r="AN38">
        <v>11.931226168316929</v>
      </c>
      <c r="AO38">
        <v>14.339493993597884</v>
      </c>
      <c r="AP38">
        <v>13.885238572669465</v>
      </c>
      <c r="AQ38">
        <v>8.6829068300946055</v>
      </c>
      <c r="AR38">
        <v>7.3301001140958526</v>
      </c>
      <c r="AS38">
        <v>7.4207381699741282</v>
      </c>
      <c r="AT38">
        <v>8.6010648389145175</v>
      </c>
      <c r="AU38">
        <v>10.296315159648987</v>
      </c>
      <c r="AV38">
        <v>10.491630593635136</v>
      </c>
      <c r="AW38">
        <v>7.3105640779790786</v>
      </c>
      <c r="AX38">
        <v>9.4645303718370286</v>
      </c>
      <c r="AY38">
        <v>8.8946984836772387</v>
      </c>
      <c r="AZ38">
        <v>2.9726329742104349</v>
      </c>
      <c r="BA38">
        <v>6.623129210240303</v>
      </c>
      <c r="BB38">
        <v>4.5972103217564566</v>
      </c>
      <c r="BC38">
        <v>5.9748226278878294</v>
      </c>
      <c r="BD38">
        <v>3.6567153221761641</v>
      </c>
      <c r="BE38">
        <v>8.4845452175231824</v>
      </c>
      <c r="BF38">
        <v>6.9686828145974404</v>
      </c>
      <c r="BG38">
        <v>10.468445973229121</v>
      </c>
      <c r="BH38">
        <v>10.623213374232975</v>
      </c>
      <c r="BI38">
        <v>10.053333614854994</v>
      </c>
      <c r="BJ38">
        <v>2.8214648622590248</v>
      </c>
      <c r="BK38">
        <v>3.4464496336997441</v>
      </c>
      <c r="BL38">
        <v>-0.187416577413279</v>
      </c>
      <c r="BM38">
        <v>10.838748632611903</v>
      </c>
      <c r="BN38">
        <v>13.489955014041666</v>
      </c>
      <c r="BO38">
        <v>9.6193760762214513</v>
      </c>
      <c r="BP38">
        <v>7.7720809410880696</v>
      </c>
      <c r="BQ38">
        <v>2.39119495568431</v>
      </c>
      <c r="BR38">
        <v>-12.64375557265153</v>
      </c>
      <c r="BS38">
        <v>0.711685799780297</v>
      </c>
      <c r="BT38">
        <v>7.2353147837678549</v>
      </c>
      <c r="BU38">
        <v>1.6121815016148919</v>
      </c>
      <c r="BV38">
        <v>7.4845583664209183</v>
      </c>
      <c r="BW38">
        <v>12.251375936596608</v>
      </c>
      <c r="BX38">
        <v>7.5899627305556727</v>
      </c>
      <c r="BY38">
        <v>3.411611177749625</v>
      </c>
      <c r="BZ38">
        <v>5.8316600842062414</v>
      </c>
      <c r="CA38">
        <v>9.2799558305740248</v>
      </c>
      <c r="CB38">
        <v>-8.8924261540151997E-2</v>
      </c>
      <c r="CC38">
        <v>11.286258625381473</v>
      </c>
      <c r="CD38">
        <v>12.976713198959636</v>
      </c>
      <c r="CE38">
        <v>16.09184846872596</v>
      </c>
      <c r="CF38">
        <v>-5.1699350644184676</v>
      </c>
      <c r="CG38">
        <v>8.4848261939112568</v>
      </c>
      <c r="CH38">
        <v>8.5625405382581654</v>
      </c>
    </row>
  </sheetData>
  <hyperlinks>
    <hyperlink ref="A1" r:id="rId1" display="https://www.federalreserve.gov//datadownload/Download.aspx?rel=Z1&amp;series=8c25a79d88d51c2a8c85848a802ba22e&amp;filetype=spreadsheetml&amp;label=include&amp;layout=seriesrow&amp;from=01/01/1945&amp;to=12/31/2025" xr:uid="{EF55A55A-CD6C-3043-A8E2-58D158B6DA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65EA1-6F9A-624B-9F22-947E290E95E8}">
  <dimension ref="A1:CH33"/>
  <sheetViews>
    <sheetView workbookViewId="0">
      <selection activeCell="F16" sqref="F16:CH16"/>
    </sheetView>
  </sheetViews>
  <sheetFormatPr baseColWidth="10" defaultColWidth="11.5" defaultRowHeight="16"/>
  <cols>
    <col min="1" max="1" width="63.1640625" customWidth="1"/>
    <col min="2" max="2" width="12" customWidth="1"/>
  </cols>
  <sheetData>
    <row r="1" spans="1:86" ht="18">
      <c r="A1" s="4" t="s">
        <v>113</v>
      </c>
      <c r="B1" s="3"/>
      <c r="C1" s="5"/>
      <c r="D1" s="5"/>
      <c r="E1" s="5"/>
      <c r="F1" s="5" t="s">
        <v>0</v>
      </c>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row>
    <row r="2" spans="1:86" ht="17" thickBot="1">
      <c r="A2" s="6" t="s">
        <v>1</v>
      </c>
      <c r="B2" s="6" t="s">
        <v>2</v>
      </c>
      <c r="C2" s="6" t="s">
        <v>3</v>
      </c>
      <c r="D2" s="6" t="s">
        <v>4</v>
      </c>
      <c r="E2" s="6" t="s">
        <v>5</v>
      </c>
      <c r="F2" s="6" t="s">
        <v>6</v>
      </c>
      <c r="G2" s="6">
        <v>1945</v>
      </c>
      <c r="H2" s="6">
        <v>1946</v>
      </c>
      <c r="I2" s="6">
        <v>1947</v>
      </c>
      <c r="J2" s="6">
        <v>1948</v>
      </c>
      <c r="K2" s="6">
        <v>1949</v>
      </c>
      <c r="L2" s="6">
        <v>1950</v>
      </c>
      <c r="M2" s="6">
        <v>1951</v>
      </c>
      <c r="N2" s="6">
        <v>1952</v>
      </c>
      <c r="O2" s="6">
        <v>1953</v>
      </c>
      <c r="P2" s="6">
        <v>1954</v>
      </c>
      <c r="Q2" s="6">
        <v>1955</v>
      </c>
      <c r="R2" s="6">
        <v>1956</v>
      </c>
      <c r="S2" s="6">
        <v>1957</v>
      </c>
      <c r="T2" s="6">
        <v>1958</v>
      </c>
      <c r="U2" s="6">
        <v>1959</v>
      </c>
      <c r="V2" s="6">
        <v>1960</v>
      </c>
      <c r="W2" s="6">
        <v>1961</v>
      </c>
      <c r="X2" s="6">
        <v>1962</v>
      </c>
      <c r="Y2" s="6">
        <v>1963</v>
      </c>
      <c r="Z2" s="6">
        <v>1964</v>
      </c>
      <c r="AA2" s="6">
        <v>1965</v>
      </c>
      <c r="AB2" s="6">
        <v>1966</v>
      </c>
      <c r="AC2" s="6">
        <v>1967</v>
      </c>
      <c r="AD2" s="6">
        <v>1968</v>
      </c>
      <c r="AE2" s="6">
        <v>1969</v>
      </c>
      <c r="AF2" s="6">
        <v>1970</v>
      </c>
      <c r="AG2" s="6">
        <v>1971</v>
      </c>
      <c r="AH2" s="6">
        <v>1972</v>
      </c>
      <c r="AI2" s="6">
        <v>1973</v>
      </c>
      <c r="AJ2" s="6">
        <v>1974</v>
      </c>
      <c r="AK2" s="6">
        <v>1975</v>
      </c>
      <c r="AL2" s="6">
        <v>1976</v>
      </c>
      <c r="AM2" s="6">
        <v>1977</v>
      </c>
      <c r="AN2" s="6">
        <v>1978</v>
      </c>
      <c r="AO2" s="6">
        <v>1979</v>
      </c>
      <c r="AP2" s="6">
        <v>1980</v>
      </c>
      <c r="AQ2" s="6">
        <v>1981</v>
      </c>
      <c r="AR2" s="6">
        <v>1982</v>
      </c>
      <c r="AS2" s="6">
        <v>1983</v>
      </c>
      <c r="AT2" s="6">
        <v>1984</v>
      </c>
      <c r="AU2" s="6">
        <v>1985</v>
      </c>
      <c r="AV2" s="6">
        <v>1986</v>
      </c>
      <c r="AW2" s="6">
        <v>1987</v>
      </c>
      <c r="AX2" s="6">
        <v>1988</v>
      </c>
      <c r="AY2" s="6">
        <v>1989</v>
      </c>
      <c r="AZ2" s="6">
        <v>1990</v>
      </c>
      <c r="BA2" s="6">
        <v>1991</v>
      </c>
      <c r="BB2" s="6">
        <v>1992</v>
      </c>
      <c r="BC2" s="6">
        <v>1993</v>
      </c>
      <c r="BD2" s="6">
        <v>1994</v>
      </c>
      <c r="BE2" s="6">
        <v>1995</v>
      </c>
      <c r="BF2" s="6">
        <v>1996</v>
      </c>
      <c r="BG2" s="6">
        <v>1997</v>
      </c>
      <c r="BH2" s="6">
        <v>1998</v>
      </c>
      <c r="BI2" s="6">
        <v>1999</v>
      </c>
      <c r="BJ2" s="6">
        <v>2000</v>
      </c>
      <c r="BK2" s="6">
        <v>2001</v>
      </c>
      <c r="BL2" s="6">
        <v>2002</v>
      </c>
      <c r="BM2" s="6">
        <v>2003</v>
      </c>
      <c r="BN2" s="6">
        <v>2004</v>
      </c>
      <c r="BO2" s="6">
        <v>2005</v>
      </c>
      <c r="BP2" s="6">
        <v>2006</v>
      </c>
      <c r="BQ2" s="6">
        <v>2007</v>
      </c>
      <c r="BR2" s="6">
        <v>2008</v>
      </c>
      <c r="BS2" s="6">
        <v>2009</v>
      </c>
      <c r="BT2" s="6">
        <v>2010</v>
      </c>
      <c r="BU2" s="6">
        <v>2011</v>
      </c>
      <c r="BV2" s="6">
        <v>2012</v>
      </c>
      <c r="BW2" s="6">
        <v>2013</v>
      </c>
      <c r="BX2" s="6">
        <v>2014</v>
      </c>
      <c r="BY2" s="6">
        <v>2015</v>
      </c>
      <c r="BZ2" s="6">
        <v>2016</v>
      </c>
      <c r="CA2" s="6">
        <v>2017</v>
      </c>
      <c r="CB2" s="6">
        <v>2018</v>
      </c>
      <c r="CC2" s="6">
        <v>2019</v>
      </c>
      <c r="CD2" s="6">
        <v>2020</v>
      </c>
      <c r="CE2" s="6">
        <v>2021</v>
      </c>
      <c r="CF2" s="6">
        <v>2022</v>
      </c>
      <c r="CG2" s="6">
        <v>2023</v>
      </c>
      <c r="CH2" s="6">
        <v>2024</v>
      </c>
    </row>
    <row r="3" spans="1:86">
      <c r="A3" s="7" t="s">
        <v>114</v>
      </c>
      <c r="B3" s="7" t="s">
        <v>88</v>
      </c>
      <c r="C3" s="7">
        <v>1000000</v>
      </c>
      <c r="D3" s="7" t="s">
        <v>89</v>
      </c>
      <c r="E3" s="7" t="s">
        <v>115</v>
      </c>
      <c r="F3" s="8" t="s">
        <v>116</v>
      </c>
      <c r="G3" s="7">
        <v>554840</v>
      </c>
      <c r="H3" s="7">
        <v>639557</v>
      </c>
      <c r="I3" s="7">
        <v>734155</v>
      </c>
      <c r="J3" s="7">
        <v>779995</v>
      </c>
      <c r="K3" s="7">
        <v>785039</v>
      </c>
      <c r="L3" s="7">
        <v>871996</v>
      </c>
      <c r="M3" s="7">
        <v>957305</v>
      </c>
      <c r="N3" s="7">
        <v>1012970</v>
      </c>
      <c r="O3" s="7">
        <v>1051269</v>
      </c>
      <c r="P3" s="7">
        <v>1099956</v>
      </c>
      <c r="Q3" s="7">
        <v>1197093</v>
      </c>
      <c r="R3" s="7">
        <v>1301496</v>
      </c>
      <c r="S3" s="7">
        <v>1369440</v>
      </c>
      <c r="T3" s="7">
        <v>1415027</v>
      </c>
      <c r="U3" s="7">
        <v>1471124</v>
      </c>
      <c r="V3" s="7">
        <v>1520449</v>
      </c>
      <c r="W3" s="7">
        <v>1580092</v>
      </c>
      <c r="X3" s="7">
        <v>1652675</v>
      </c>
      <c r="Y3" s="7">
        <v>1717352</v>
      </c>
      <c r="Z3" s="7">
        <v>1829486</v>
      </c>
      <c r="AA3" s="7">
        <v>1954131</v>
      </c>
      <c r="AB3" s="7">
        <v>2119630</v>
      </c>
      <c r="AC3" s="7">
        <v>2285122</v>
      </c>
      <c r="AD3" s="7">
        <v>2511156</v>
      </c>
      <c r="AE3" s="7">
        <v>2743748</v>
      </c>
      <c r="AF3" s="7">
        <v>2990474</v>
      </c>
      <c r="AG3" s="7">
        <v>3294294</v>
      </c>
      <c r="AH3" s="7">
        <v>3621510</v>
      </c>
      <c r="AI3" s="7">
        <v>4110445</v>
      </c>
      <c r="AJ3" s="7">
        <v>4887525</v>
      </c>
      <c r="AK3" s="7">
        <v>5276582</v>
      </c>
      <c r="AL3" s="7">
        <v>5747011</v>
      </c>
      <c r="AM3" s="7">
        <v>6415098</v>
      </c>
      <c r="AN3" s="7">
        <v>7259791</v>
      </c>
      <c r="AO3" s="7">
        <v>8359565</v>
      </c>
      <c r="AP3" s="7">
        <v>9511476</v>
      </c>
      <c r="AQ3" s="7">
        <v>10489750</v>
      </c>
      <c r="AR3" s="7">
        <v>11083259</v>
      </c>
      <c r="AS3" s="7">
        <v>11467860</v>
      </c>
      <c r="AT3" s="7">
        <v>12138928</v>
      </c>
      <c r="AU3" s="7">
        <v>12757908</v>
      </c>
      <c r="AV3" s="7">
        <v>13547111</v>
      </c>
      <c r="AW3" s="7">
        <v>14341072</v>
      </c>
      <c r="AX3" s="7">
        <v>15226770</v>
      </c>
      <c r="AY3" s="7">
        <v>16092388</v>
      </c>
      <c r="AZ3" s="7">
        <v>16854534</v>
      </c>
      <c r="BA3" s="7">
        <v>17271370</v>
      </c>
      <c r="BB3" s="7">
        <v>17998077</v>
      </c>
      <c r="BC3" s="7">
        <v>18899579</v>
      </c>
      <c r="BD3" s="7">
        <v>20025720</v>
      </c>
      <c r="BE3" s="7">
        <v>20998211</v>
      </c>
      <c r="BF3" s="7">
        <v>21999462</v>
      </c>
      <c r="BG3" s="7">
        <v>23167721</v>
      </c>
      <c r="BH3" s="7">
        <v>24470593</v>
      </c>
      <c r="BI3" s="7">
        <v>26040669</v>
      </c>
      <c r="BJ3" s="7">
        <v>27757018</v>
      </c>
      <c r="BK3" s="7">
        <v>29308485</v>
      </c>
      <c r="BL3" s="7">
        <v>30735473</v>
      </c>
      <c r="BM3" s="7">
        <v>32394949</v>
      </c>
      <c r="BN3" s="7">
        <v>35710996</v>
      </c>
      <c r="BO3" s="7">
        <v>39290344</v>
      </c>
      <c r="BP3" s="7">
        <v>42505719</v>
      </c>
      <c r="BQ3" s="7">
        <v>44406957</v>
      </c>
      <c r="BR3" s="7">
        <v>45918921</v>
      </c>
      <c r="BS3" s="7">
        <v>45079011</v>
      </c>
      <c r="BT3" s="7">
        <v>45978958</v>
      </c>
      <c r="BU3" s="7">
        <v>47571642</v>
      </c>
      <c r="BV3" s="7">
        <v>49070496</v>
      </c>
      <c r="BW3" s="7">
        <v>51481571</v>
      </c>
      <c r="BX3" s="7">
        <v>53583348</v>
      </c>
      <c r="BY3" s="7">
        <v>54904898</v>
      </c>
      <c r="BZ3" s="7">
        <v>57232242</v>
      </c>
      <c r="CA3" s="7">
        <v>59662646</v>
      </c>
      <c r="CB3" s="7">
        <v>62780152</v>
      </c>
      <c r="CC3" s="7">
        <v>65316427</v>
      </c>
      <c r="CD3" s="7">
        <v>68156365</v>
      </c>
      <c r="CE3" s="7">
        <v>77384510</v>
      </c>
      <c r="CF3" s="7">
        <v>86358882</v>
      </c>
      <c r="CG3" s="7">
        <v>88606168</v>
      </c>
      <c r="CH3" s="7">
        <v>91548536</v>
      </c>
    </row>
    <row r="4" spans="1:86">
      <c r="A4" s="7" t="s">
        <v>117</v>
      </c>
      <c r="B4" s="7" t="s">
        <v>88</v>
      </c>
      <c r="C4" s="7">
        <v>1000000</v>
      </c>
      <c r="D4" s="7" t="s">
        <v>89</v>
      </c>
      <c r="E4" s="7" t="s">
        <v>118</v>
      </c>
      <c r="F4" s="8" t="s">
        <v>119</v>
      </c>
      <c r="G4" s="7">
        <v>419286</v>
      </c>
      <c r="H4" s="7">
        <v>500717</v>
      </c>
      <c r="I4" s="7">
        <v>591591</v>
      </c>
      <c r="J4" s="7">
        <v>630942</v>
      </c>
      <c r="K4" s="7">
        <v>638466</v>
      </c>
      <c r="L4" s="7">
        <v>712794</v>
      </c>
      <c r="M4" s="7">
        <v>781948</v>
      </c>
      <c r="N4" s="7">
        <v>823187</v>
      </c>
      <c r="O4" s="7">
        <v>842237</v>
      </c>
      <c r="P4" s="7">
        <v>877884</v>
      </c>
      <c r="Q4" s="7">
        <v>952845</v>
      </c>
      <c r="R4" s="7">
        <v>1030647</v>
      </c>
      <c r="S4" s="7">
        <v>1076324</v>
      </c>
      <c r="T4" s="7">
        <v>1110097</v>
      </c>
      <c r="U4" s="7">
        <v>1147648</v>
      </c>
      <c r="V4" s="7">
        <v>1182474</v>
      </c>
      <c r="W4" s="7">
        <v>1228684</v>
      </c>
      <c r="X4" s="7">
        <v>1280576</v>
      </c>
      <c r="Y4" s="7">
        <v>1326105</v>
      </c>
      <c r="Z4" s="7">
        <v>1414608</v>
      </c>
      <c r="AA4" s="7">
        <v>1510035</v>
      </c>
      <c r="AB4" s="7">
        <v>1632462</v>
      </c>
      <c r="AC4" s="7">
        <v>1752389</v>
      </c>
      <c r="AD4" s="7">
        <v>1928902</v>
      </c>
      <c r="AE4" s="7">
        <v>2106358</v>
      </c>
      <c r="AF4" s="7">
        <v>2295588</v>
      </c>
      <c r="AG4" s="7">
        <v>2558114</v>
      </c>
      <c r="AH4" s="7">
        <v>2833280</v>
      </c>
      <c r="AI4" s="7">
        <v>3238581</v>
      </c>
      <c r="AJ4" s="7">
        <v>3853875</v>
      </c>
      <c r="AK4" s="7">
        <v>4115062</v>
      </c>
      <c r="AL4" s="7">
        <v>4469960</v>
      </c>
      <c r="AM4" s="7">
        <v>4994166</v>
      </c>
      <c r="AN4" s="7">
        <v>5653512</v>
      </c>
      <c r="AO4" s="7">
        <v>6527060</v>
      </c>
      <c r="AP4" s="7">
        <v>7410543</v>
      </c>
      <c r="AQ4" s="7">
        <v>8141430</v>
      </c>
      <c r="AR4" s="7">
        <v>8560882</v>
      </c>
      <c r="AS4" s="7">
        <v>8810123</v>
      </c>
      <c r="AT4" s="7">
        <v>9274517</v>
      </c>
      <c r="AU4" s="7">
        <v>9739326</v>
      </c>
      <c r="AV4" s="7">
        <v>10352404</v>
      </c>
      <c r="AW4" s="7">
        <v>10963233</v>
      </c>
      <c r="AX4" s="7">
        <v>11614122</v>
      </c>
      <c r="AY4" s="7">
        <v>12248721</v>
      </c>
      <c r="AZ4" s="7">
        <v>12774773</v>
      </c>
      <c r="BA4" s="7">
        <v>13037333</v>
      </c>
      <c r="BB4" s="7">
        <v>13610492</v>
      </c>
      <c r="BC4" s="7">
        <v>14332017</v>
      </c>
      <c r="BD4" s="7">
        <v>15215953</v>
      </c>
      <c r="BE4" s="7">
        <v>15931972</v>
      </c>
      <c r="BF4" s="7">
        <v>16726793</v>
      </c>
      <c r="BG4" s="7">
        <v>17674932</v>
      </c>
      <c r="BH4" s="7">
        <v>18714826</v>
      </c>
      <c r="BI4" s="7">
        <v>19922932</v>
      </c>
      <c r="BJ4" s="7">
        <v>21266407</v>
      </c>
      <c r="BK4" s="7">
        <v>22640384</v>
      </c>
      <c r="BL4" s="7">
        <v>23935312</v>
      </c>
      <c r="BM4" s="7">
        <v>25419933</v>
      </c>
      <c r="BN4" s="7">
        <v>28377666</v>
      </c>
      <c r="BO4" s="7">
        <v>31586635</v>
      </c>
      <c r="BP4" s="7">
        <v>34322145</v>
      </c>
      <c r="BQ4" s="7">
        <v>35785649</v>
      </c>
      <c r="BR4" s="7">
        <v>36854807</v>
      </c>
      <c r="BS4" s="7">
        <v>35982272</v>
      </c>
      <c r="BT4" s="7">
        <v>36597055</v>
      </c>
      <c r="BU4" s="7">
        <v>37775222</v>
      </c>
      <c r="BV4" s="7">
        <v>38895067</v>
      </c>
      <c r="BW4" s="7">
        <v>40905869</v>
      </c>
      <c r="BX4" s="7">
        <v>42600653</v>
      </c>
      <c r="BY4" s="7">
        <v>43636925</v>
      </c>
      <c r="BZ4" s="7">
        <v>45572307</v>
      </c>
      <c r="CA4" s="7">
        <v>47468929</v>
      </c>
      <c r="CB4" s="7">
        <v>49966039</v>
      </c>
      <c r="CC4" s="7">
        <v>51988666</v>
      </c>
      <c r="CD4" s="7">
        <v>54235283</v>
      </c>
      <c r="CE4" s="7">
        <v>62396934</v>
      </c>
      <c r="CF4" s="7">
        <v>70186705</v>
      </c>
      <c r="CG4" s="7">
        <v>71592596</v>
      </c>
      <c r="CH4" s="7">
        <v>73687068</v>
      </c>
    </row>
    <row r="5" spans="1:86">
      <c r="A5" s="7" t="s">
        <v>120</v>
      </c>
      <c r="B5" s="7" t="s">
        <v>88</v>
      </c>
      <c r="C5" s="7">
        <v>1000000</v>
      </c>
      <c r="D5" s="7" t="s">
        <v>89</v>
      </c>
      <c r="E5" s="7" t="s">
        <v>121</v>
      </c>
      <c r="F5" s="8" t="s">
        <v>122</v>
      </c>
      <c r="G5" s="7">
        <v>123201</v>
      </c>
      <c r="H5" s="7">
        <v>124673</v>
      </c>
      <c r="I5" s="7">
        <v>126427</v>
      </c>
      <c r="J5" s="7">
        <v>131562</v>
      </c>
      <c r="K5" s="7">
        <v>128154</v>
      </c>
      <c r="L5" s="7">
        <v>138649</v>
      </c>
      <c r="M5" s="7">
        <v>152960</v>
      </c>
      <c r="N5" s="7">
        <v>165512</v>
      </c>
      <c r="O5" s="7">
        <v>182254</v>
      </c>
      <c r="P5" s="7">
        <v>192749</v>
      </c>
      <c r="Q5" s="7">
        <v>211346</v>
      </c>
      <c r="R5" s="7">
        <v>232880</v>
      </c>
      <c r="S5" s="7">
        <v>249722</v>
      </c>
      <c r="T5" s="7">
        <v>256476</v>
      </c>
      <c r="U5" s="7">
        <v>269549</v>
      </c>
      <c r="V5" s="7">
        <v>278747</v>
      </c>
      <c r="W5" s="7">
        <v>286183</v>
      </c>
      <c r="X5" s="7">
        <v>300896</v>
      </c>
      <c r="Y5" s="7">
        <v>311742</v>
      </c>
      <c r="Z5" s="7">
        <v>326652</v>
      </c>
      <c r="AA5" s="7">
        <v>346059</v>
      </c>
      <c r="AB5" s="7">
        <v>377580</v>
      </c>
      <c r="AC5" s="7">
        <v>409830</v>
      </c>
      <c r="AD5" s="7">
        <v>444342</v>
      </c>
      <c r="AE5" s="7">
        <v>482034</v>
      </c>
      <c r="AF5" s="7">
        <v>522686</v>
      </c>
      <c r="AG5" s="7">
        <v>551018</v>
      </c>
      <c r="AH5" s="7">
        <v>588714</v>
      </c>
      <c r="AI5" s="7">
        <v>649650</v>
      </c>
      <c r="AJ5" s="7">
        <v>782835</v>
      </c>
      <c r="AK5" s="7">
        <v>890403</v>
      </c>
      <c r="AL5" s="7">
        <v>983282</v>
      </c>
      <c r="AM5" s="7">
        <v>1101024</v>
      </c>
      <c r="AN5" s="7">
        <v>1252534</v>
      </c>
      <c r="AO5" s="7">
        <v>1432317</v>
      </c>
      <c r="AP5" s="7">
        <v>1646139</v>
      </c>
      <c r="AQ5" s="7">
        <v>1833217</v>
      </c>
      <c r="AR5" s="7">
        <v>1954497</v>
      </c>
      <c r="AS5" s="7">
        <v>2036340</v>
      </c>
      <c r="AT5" s="7">
        <v>2184837</v>
      </c>
      <c r="AU5" s="7">
        <v>2281134</v>
      </c>
      <c r="AV5" s="7">
        <v>2402655</v>
      </c>
      <c r="AW5" s="7">
        <v>2512802</v>
      </c>
      <c r="AX5" s="7">
        <v>2672774</v>
      </c>
      <c r="AY5" s="7">
        <v>2829172</v>
      </c>
      <c r="AZ5" s="7">
        <v>2989287</v>
      </c>
      <c r="BA5" s="7">
        <v>3072810</v>
      </c>
      <c r="BB5" s="7">
        <v>3161902</v>
      </c>
      <c r="BC5" s="7">
        <v>3284486</v>
      </c>
      <c r="BD5" s="7">
        <v>3453797</v>
      </c>
      <c r="BE5" s="7">
        <v>3636012</v>
      </c>
      <c r="BF5" s="7">
        <v>3774128</v>
      </c>
      <c r="BG5" s="7">
        <v>3900520</v>
      </c>
      <c r="BH5" s="7">
        <v>4060519</v>
      </c>
      <c r="BI5" s="7">
        <v>4276780</v>
      </c>
      <c r="BJ5" s="7">
        <v>4499225</v>
      </c>
      <c r="BK5" s="7">
        <v>4604355</v>
      </c>
      <c r="BL5" s="7">
        <v>4667015</v>
      </c>
      <c r="BM5" s="7">
        <v>4727182</v>
      </c>
      <c r="BN5" s="7">
        <v>4980135</v>
      </c>
      <c r="BO5" s="7">
        <v>5204911</v>
      </c>
      <c r="BP5" s="7">
        <v>5547022</v>
      </c>
      <c r="BQ5" s="7">
        <v>5806818</v>
      </c>
      <c r="BR5" s="7">
        <v>6108187</v>
      </c>
      <c r="BS5" s="7">
        <v>6055930</v>
      </c>
      <c r="BT5" s="7">
        <v>6197481</v>
      </c>
      <c r="BU5" s="7">
        <v>6467262</v>
      </c>
      <c r="BV5" s="7">
        <v>6718880</v>
      </c>
      <c r="BW5" s="7">
        <v>6938128</v>
      </c>
      <c r="BX5" s="7">
        <v>7202300</v>
      </c>
      <c r="BY5" s="7">
        <v>7389895</v>
      </c>
      <c r="BZ5" s="7">
        <v>7576968</v>
      </c>
      <c r="CA5" s="7">
        <v>7842334</v>
      </c>
      <c r="CB5" s="7">
        <v>8202312</v>
      </c>
      <c r="CC5" s="7">
        <v>8462825</v>
      </c>
      <c r="CD5" s="7">
        <v>8637503</v>
      </c>
      <c r="CE5" s="7">
        <v>9309444</v>
      </c>
      <c r="CF5" s="7">
        <v>9974341</v>
      </c>
      <c r="CG5" s="7">
        <v>10371215</v>
      </c>
      <c r="CH5" s="7">
        <v>10729364</v>
      </c>
    </row>
    <row r="6" spans="1:86">
      <c r="A6" s="7" t="s">
        <v>123</v>
      </c>
      <c r="B6" s="7" t="s">
        <v>88</v>
      </c>
      <c r="C6" s="7">
        <v>1000000</v>
      </c>
      <c r="D6" s="7" t="s">
        <v>89</v>
      </c>
      <c r="E6" s="7" t="s">
        <v>124</v>
      </c>
      <c r="F6" s="8" t="s">
        <v>125</v>
      </c>
      <c r="G6" s="7">
        <v>12353</v>
      </c>
      <c r="H6" s="7">
        <v>14167</v>
      </c>
      <c r="I6" s="7">
        <v>16137</v>
      </c>
      <c r="J6" s="7">
        <v>17491</v>
      </c>
      <c r="K6" s="7">
        <v>18419</v>
      </c>
      <c r="L6" s="7">
        <v>20553</v>
      </c>
      <c r="M6" s="7">
        <v>22397</v>
      </c>
      <c r="N6" s="7">
        <v>24271</v>
      </c>
      <c r="O6" s="7">
        <v>26778</v>
      </c>
      <c r="P6" s="7">
        <v>29323</v>
      </c>
      <c r="Q6" s="7">
        <v>32902</v>
      </c>
      <c r="R6" s="7">
        <v>37969</v>
      </c>
      <c r="S6" s="7">
        <v>43394</v>
      </c>
      <c r="T6" s="7">
        <v>48454</v>
      </c>
      <c r="U6" s="7">
        <v>53927</v>
      </c>
      <c r="V6" s="7">
        <v>59228</v>
      </c>
      <c r="W6" s="7">
        <v>65225</v>
      </c>
      <c r="X6" s="7">
        <v>71203</v>
      </c>
      <c r="Y6" s="7">
        <v>79505</v>
      </c>
      <c r="Z6" s="7">
        <v>88226</v>
      </c>
      <c r="AA6" s="7">
        <v>98037</v>
      </c>
      <c r="AB6" s="7">
        <v>109588</v>
      </c>
      <c r="AC6" s="7">
        <v>122903</v>
      </c>
      <c r="AD6" s="7">
        <v>137912</v>
      </c>
      <c r="AE6" s="7">
        <v>155356</v>
      </c>
      <c r="AF6" s="7">
        <v>172200</v>
      </c>
      <c r="AG6" s="7">
        <v>185162</v>
      </c>
      <c r="AH6" s="7">
        <v>199516</v>
      </c>
      <c r="AI6" s="7">
        <v>222214</v>
      </c>
      <c r="AJ6" s="7">
        <v>250815</v>
      </c>
      <c r="AK6" s="7">
        <v>271117</v>
      </c>
      <c r="AL6" s="7">
        <v>293769</v>
      </c>
      <c r="AM6" s="7">
        <v>319908</v>
      </c>
      <c r="AN6" s="7">
        <v>353745</v>
      </c>
      <c r="AO6" s="7">
        <v>400188</v>
      </c>
      <c r="AP6" s="7">
        <v>454794</v>
      </c>
      <c r="AQ6" s="7">
        <v>515103</v>
      </c>
      <c r="AR6" s="7">
        <v>567880</v>
      </c>
      <c r="AS6" s="7">
        <v>621397</v>
      </c>
      <c r="AT6" s="7">
        <v>679574</v>
      </c>
      <c r="AU6" s="7">
        <v>737448</v>
      </c>
      <c r="AV6" s="7">
        <v>792052</v>
      </c>
      <c r="AW6" s="7">
        <v>865037</v>
      </c>
      <c r="AX6" s="7">
        <v>939874</v>
      </c>
      <c r="AY6" s="7">
        <v>1014495</v>
      </c>
      <c r="AZ6" s="7">
        <v>1090474</v>
      </c>
      <c r="BA6" s="7">
        <v>1161227</v>
      </c>
      <c r="BB6" s="7">
        <v>1225683</v>
      </c>
      <c r="BC6" s="7">
        <v>1283076</v>
      </c>
      <c r="BD6" s="7">
        <v>1355970</v>
      </c>
      <c r="BE6" s="7">
        <v>1430227</v>
      </c>
      <c r="BF6" s="7">
        <v>1498541</v>
      </c>
      <c r="BG6" s="7">
        <v>1592269</v>
      </c>
      <c r="BH6" s="7">
        <v>1695248</v>
      </c>
      <c r="BI6" s="7">
        <v>1840957</v>
      </c>
      <c r="BJ6" s="7">
        <v>1991386</v>
      </c>
      <c r="BK6" s="7">
        <v>2063746</v>
      </c>
      <c r="BL6" s="7">
        <v>2133146</v>
      </c>
      <c r="BM6" s="7">
        <v>2247834</v>
      </c>
      <c r="BN6" s="7">
        <v>2353195</v>
      </c>
      <c r="BO6" s="7">
        <v>2498798</v>
      </c>
      <c r="BP6" s="7">
        <v>2636552</v>
      </c>
      <c r="BQ6" s="7">
        <v>2814490</v>
      </c>
      <c r="BR6" s="7">
        <v>2955927</v>
      </c>
      <c r="BS6" s="7">
        <v>3040809</v>
      </c>
      <c r="BT6" s="7">
        <v>3184422</v>
      </c>
      <c r="BU6" s="7">
        <v>3329158</v>
      </c>
      <c r="BV6" s="7">
        <v>3456549</v>
      </c>
      <c r="BW6" s="7">
        <v>3637574</v>
      </c>
      <c r="BX6" s="7">
        <v>3780395</v>
      </c>
      <c r="BY6" s="7">
        <v>3878078</v>
      </c>
      <c r="BZ6" s="7">
        <v>4082967</v>
      </c>
      <c r="CA6" s="7">
        <v>4351383</v>
      </c>
      <c r="CB6" s="7">
        <v>4611801</v>
      </c>
      <c r="CC6" s="7">
        <v>4864936</v>
      </c>
      <c r="CD6" s="7">
        <v>5283579</v>
      </c>
      <c r="CE6" s="7">
        <v>5678132</v>
      </c>
      <c r="CF6" s="7">
        <v>6197836</v>
      </c>
      <c r="CG6" s="7">
        <v>6642357</v>
      </c>
      <c r="CH6" s="7">
        <v>7132104</v>
      </c>
    </row>
    <row r="7" spans="1:86">
      <c r="A7" s="7" t="s">
        <v>126</v>
      </c>
      <c r="B7" s="7" t="s">
        <v>88</v>
      </c>
      <c r="C7" s="7">
        <v>1000000</v>
      </c>
      <c r="D7" s="7" t="s">
        <v>89</v>
      </c>
      <c r="E7" s="7" t="s">
        <v>127</v>
      </c>
      <c r="F7" s="8" t="s">
        <v>128</v>
      </c>
      <c r="G7" s="7">
        <v>0</v>
      </c>
      <c r="H7" s="7">
        <v>0</v>
      </c>
      <c r="I7" s="7">
        <v>0</v>
      </c>
      <c r="J7" s="7">
        <v>0</v>
      </c>
      <c r="K7" s="7">
        <v>0</v>
      </c>
      <c r="L7" s="7">
        <v>0</v>
      </c>
      <c r="M7" s="7">
        <v>0</v>
      </c>
      <c r="N7" s="7">
        <v>0</v>
      </c>
      <c r="O7" s="7">
        <v>0</v>
      </c>
      <c r="P7" s="7">
        <v>0</v>
      </c>
      <c r="Q7" s="7">
        <v>0</v>
      </c>
      <c r="R7" s="7">
        <v>0</v>
      </c>
      <c r="S7" s="7">
        <v>0</v>
      </c>
      <c r="T7" s="7">
        <v>0</v>
      </c>
      <c r="U7" s="7">
        <v>13</v>
      </c>
      <c r="V7" s="7">
        <v>143</v>
      </c>
      <c r="W7" s="7">
        <v>276</v>
      </c>
      <c r="X7" s="7">
        <v>413</v>
      </c>
      <c r="Y7" s="7">
        <v>730</v>
      </c>
      <c r="Z7" s="7">
        <v>1057</v>
      </c>
      <c r="AA7" s="7">
        <v>1387</v>
      </c>
      <c r="AB7" s="7">
        <v>1973</v>
      </c>
      <c r="AC7" s="7">
        <v>2570</v>
      </c>
      <c r="AD7" s="7">
        <v>3176</v>
      </c>
      <c r="AE7" s="7">
        <v>4152</v>
      </c>
      <c r="AF7" s="7">
        <v>5362</v>
      </c>
      <c r="AG7" s="7">
        <v>6209</v>
      </c>
      <c r="AH7" s="7">
        <v>7288</v>
      </c>
      <c r="AI7" s="7">
        <v>8704</v>
      </c>
      <c r="AJ7" s="7">
        <v>10902</v>
      </c>
      <c r="AK7" s="7">
        <v>12923</v>
      </c>
      <c r="AL7" s="7">
        <v>14800</v>
      </c>
      <c r="AM7" s="7">
        <v>16206</v>
      </c>
      <c r="AN7" s="7">
        <v>18448</v>
      </c>
      <c r="AO7" s="7">
        <v>22522</v>
      </c>
      <c r="AP7" s="7">
        <v>27304</v>
      </c>
      <c r="AQ7" s="7">
        <v>33168</v>
      </c>
      <c r="AR7" s="7">
        <v>38683</v>
      </c>
      <c r="AS7" s="7">
        <v>44262</v>
      </c>
      <c r="AT7" s="7">
        <v>52415</v>
      </c>
      <c r="AU7" s="7">
        <v>60560</v>
      </c>
      <c r="AV7" s="7">
        <v>68323</v>
      </c>
      <c r="AW7" s="7">
        <v>77871</v>
      </c>
      <c r="AX7" s="7">
        <v>88016</v>
      </c>
      <c r="AY7" s="7">
        <v>100832</v>
      </c>
      <c r="AZ7" s="7">
        <v>116864</v>
      </c>
      <c r="BA7" s="7">
        <v>125564</v>
      </c>
      <c r="BB7" s="7">
        <v>134848</v>
      </c>
      <c r="BC7" s="7">
        <v>147349</v>
      </c>
      <c r="BD7" s="7">
        <v>156556</v>
      </c>
      <c r="BE7" s="7">
        <v>167936</v>
      </c>
      <c r="BF7" s="7">
        <v>178273</v>
      </c>
      <c r="BG7" s="7">
        <v>200364</v>
      </c>
      <c r="BH7" s="7">
        <v>230700</v>
      </c>
      <c r="BI7" s="7">
        <v>276063</v>
      </c>
      <c r="BJ7" s="7">
        <v>323314</v>
      </c>
      <c r="BK7" s="7">
        <v>344516</v>
      </c>
      <c r="BL7" s="7">
        <v>347925</v>
      </c>
      <c r="BM7" s="7">
        <v>348727</v>
      </c>
      <c r="BN7" s="7">
        <v>364112</v>
      </c>
      <c r="BO7" s="7">
        <v>387190</v>
      </c>
      <c r="BP7" s="7">
        <v>413355</v>
      </c>
      <c r="BQ7" s="7">
        <v>443973</v>
      </c>
      <c r="BR7" s="7">
        <v>481308</v>
      </c>
      <c r="BS7" s="7">
        <v>493420</v>
      </c>
      <c r="BT7" s="7">
        <v>510703</v>
      </c>
      <c r="BU7" s="7">
        <v>546240</v>
      </c>
      <c r="BV7" s="7">
        <v>582208</v>
      </c>
      <c r="BW7" s="7">
        <v>621812</v>
      </c>
      <c r="BX7" s="7">
        <v>660054</v>
      </c>
      <c r="BY7" s="7">
        <v>694015</v>
      </c>
      <c r="BZ7" s="7">
        <v>741107</v>
      </c>
      <c r="CA7" s="7">
        <v>801189</v>
      </c>
      <c r="CB7" s="7">
        <v>869362</v>
      </c>
      <c r="CC7" s="7">
        <v>926420</v>
      </c>
      <c r="CD7" s="7">
        <v>984547</v>
      </c>
      <c r="CE7" s="7">
        <v>1067325</v>
      </c>
      <c r="CF7" s="7">
        <v>1197965</v>
      </c>
      <c r="CG7" s="7">
        <v>1298439</v>
      </c>
      <c r="CH7" s="7">
        <v>1433440</v>
      </c>
    </row>
    <row r="8" spans="1:86">
      <c r="A8" s="7" t="s">
        <v>129</v>
      </c>
      <c r="B8" s="7" t="s">
        <v>88</v>
      </c>
      <c r="C8" s="7">
        <v>1000000</v>
      </c>
      <c r="D8" s="7" t="s">
        <v>89</v>
      </c>
      <c r="E8" s="7" t="s">
        <v>130</v>
      </c>
      <c r="F8" s="8" t="s">
        <v>131</v>
      </c>
      <c r="G8" s="7">
        <v>7056</v>
      </c>
      <c r="H8" s="7">
        <v>8274</v>
      </c>
      <c r="I8" s="7">
        <v>9381</v>
      </c>
      <c r="J8" s="7">
        <v>10389</v>
      </c>
      <c r="K8" s="7">
        <v>11080</v>
      </c>
      <c r="L8" s="7">
        <v>12686</v>
      </c>
      <c r="M8" s="7">
        <v>14289</v>
      </c>
      <c r="N8" s="7">
        <v>15854</v>
      </c>
      <c r="O8" s="7">
        <v>17805</v>
      </c>
      <c r="P8" s="7">
        <v>19864</v>
      </c>
      <c r="Q8" s="7">
        <v>22754</v>
      </c>
      <c r="R8" s="7">
        <v>27073</v>
      </c>
      <c r="S8" s="7">
        <v>31597</v>
      </c>
      <c r="T8" s="7">
        <v>36087</v>
      </c>
      <c r="U8" s="7">
        <v>40444</v>
      </c>
      <c r="V8" s="7">
        <v>44975</v>
      </c>
      <c r="W8" s="7">
        <v>49808</v>
      </c>
      <c r="X8" s="7">
        <v>54970</v>
      </c>
      <c r="Y8" s="7">
        <v>61797</v>
      </c>
      <c r="Z8" s="7">
        <v>69064</v>
      </c>
      <c r="AA8" s="7">
        <v>76848</v>
      </c>
      <c r="AB8" s="7">
        <v>86091</v>
      </c>
      <c r="AC8" s="7">
        <v>96393</v>
      </c>
      <c r="AD8" s="7">
        <v>108592</v>
      </c>
      <c r="AE8" s="7">
        <v>122543</v>
      </c>
      <c r="AF8" s="7">
        <v>136142</v>
      </c>
      <c r="AG8" s="7">
        <v>147435</v>
      </c>
      <c r="AH8" s="7">
        <v>159403</v>
      </c>
      <c r="AI8" s="7">
        <v>179540</v>
      </c>
      <c r="AJ8" s="7">
        <v>203107</v>
      </c>
      <c r="AK8" s="7">
        <v>219124</v>
      </c>
      <c r="AL8" s="7">
        <v>236710</v>
      </c>
      <c r="AM8" s="7">
        <v>257438</v>
      </c>
      <c r="AN8" s="7">
        <v>284296</v>
      </c>
      <c r="AO8" s="7">
        <v>321328</v>
      </c>
      <c r="AP8" s="7">
        <v>366160</v>
      </c>
      <c r="AQ8" s="7">
        <v>414134</v>
      </c>
      <c r="AR8" s="7">
        <v>455024</v>
      </c>
      <c r="AS8" s="7">
        <v>495864</v>
      </c>
      <c r="AT8" s="7">
        <v>536363</v>
      </c>
      <c r="AU8" s="7">
        <v>577850</v>
      </c>
      <c r="AV8" s="7">
        <v>615324</v>
      </c>
      <c r="AW8" s="7">
        <v>668065</v>
      </c>
      <c r="AX8" s="7">
        <v>723747</v>
      </c>
      <c r="AY8" s="7">
        <v>772926</v>
      </c>
      <c r="AZ8" s="7">
        <v>820163</v>
      </c>
      <c r="BA8" s="7">
        <v>871585</v>
      </c>
      <c r="BB8" s="7">
        <v>918347</v>
      </c>
      <c r="BC8" s="7">
        <v>953141</v>
      </c>
      <c r="BD8" s="7">
        <v>1004564</v>
      </c>
      <c r="BE8" s="7">
        <v>1051183</v>
      </c>
      <c r="BF8" s="7">
        <v>1093464</v>
      </c>
      <c r="BG8" s="7">
        <v>1150860</v>
      </c>
      <c r="BH8" s="7">
        <v>1212522</v>
      </c>
      <c r="BI8" s="7">
        <v>1291727</v>
      </c>
      <c r="BJ8" s="7">
        <v>1375426</v>
      </c>
      <c r="BK8" s="7">
        <v>1416155</v>
      </c>
      <c r="BL8" s="7">
        <v>1466436</v>
      </c>
      <c r="BM8" s="7">
        <v>1563265</v>
      </c>
      <c r="BN8" s="7">
        <v>1638260</v>
      </c>
      <c r="BO8" s="7">
        <v>1741960</v>
      </c>
      <c r="BP8" s="7">
        <v>1829618</v>
      </c>
      <c r="BQ8" s="7">
        <v>1965451</v>
      </c>
      <c r="BR8" s="7">
        <v>2059773</v>
      </c>
      <c r="BS8" s="7">
        <v>2131212</v>
      </c>
      <c r="BT8" s="7">
        <v>2248550</v>
      </c>
      <c r="BU8" s="7">
        <v>2352420</v>
      </c>
      <c r="BV8" s="7">
        <v>2431766</v>
      </c>
      <c r="BW8" s="7">
        <v>2566447</v>
      </c>
      <c r="BX8" s="7">
        <v>2659473</v>
      </c>
      <c r="BY8" s="7">
        <v>2704569</v>
      </c>
      <c r="BZ8" s="7">
        <v>2846151</v>
      </c>
      <c r="CA8" s="7">
        <v>3034315</v>
      </c>
      <c r="CB8" s="7">
        <v>3210017</v>
      </c>
      <c r="CC8" s="7">
        <v>3385581</v>
      </c>
      <c r="CD8" s="7">
        <v>3733117</v>
      </c>
      <c r="CE8" s="7">
        <v>4012474</v>
      </c>
      <c r="CF8" s="7">
        <v>4354341</v>
      </c>
      <c r="CG8" s="7">
        <v>4654251</v>
      </c>
      <c r="CH8" s="7">
        <v>4986446</v>
      </c>
    </row>
    <row r="9" spans="1:86">
      <c r="A9" s="7" t="s">
        <v>132</v>
      </c>
      <c r="B9" s="7" t="s">
        <v>88</v>
      </c>
      <c r="C9" s="7">
        <v>1000000</v>
      </c>
      <c r="D9" s="7" t="s">
        <v>89</v>
      </c>
      <c r="E9" s="7" t="s">
        <v>133</v>
      </c>
      <c r="F9" s="8" t="s">
        <v>134</v>
      </c>
      <c r="G9" s="7">
        <v>5297</v>
      </c>
      <c r="H9" s="7">
        <v>5893</v>
      </c>
      <c r="I9" s="7">
        <v>6756</v>
      </c>
      <c r="J9" s="7">
        <v>7102</v>
      </c>
      <c r="K9" s="7">
        <v>7339</v>
      </c>
      <c r="L9" s="7">
        <v>7867</v>
      </c>
      <c r="M9" s="7">
        <v>8108</v>
      </c>
      <c r="N9" s="7">
        <v>8417</v>
      </c>
      <c r="O9" s="7">
        <v>8973</v>
      </c>
      <c r="P9" s="7">
        <v>9459</v>
      </c>
      <c r="Q9" s="7">
        <v>10148</v>
      </c>
      <c r="R9" s="7">
        <v>10896</v>
      </c>
      <c r="S9" s="7">
        <v>11797</v>
      </c>
      <c r="T9" s="7">
        <v>12367</v>
      </c>
      <c r="U9" s="7">
        <v>13470</v>
      </c>
      <c r="V9" s="7">
        <v>14110</v>
      </c>
      <c r="W9" s="7">
        <v>15141</v>
      </c>
      <c r="X9" s="7">
        <v>15820</v>
      </c>
      <c r="Y9" s="7">
        <v>16978</v>
      </c>
      <c r="Z9" s="7">
        <v>18105</v>
      </c>
      <c r="AA9" s="7">
        <v>19802</v>
      </c>
      <c r="AB9" s="7">
        <v>21524</v>
      </c>
      <c r="AC9" s="7">
        <v>23940</v>
      </c>
      <c r="AD9" s="7">
        <v>26144</v>
      </c>
      <c r="AE9" s="7">
        <v>28661</v>
      </c>
      <c r="AF9" s="7">
        <v>30696</v>
      </c>
      <c r="AG9" s="7">
        <v>31518</v>
      </c>
      <c r="AH9" s="7">
        <v>32825</v>
      </c>
      <c r="AI9" s="7">
        <v>33970</v>
      </c>
      <c r="AJ9" s="7">
        <v>36806</v>
      </c>
      <c r="AK9" s="7">
        <v>39070</v>
      </c>
      <c r="AL9" s="7">
        <v>42259</v>
      </c>
      <c r="AM9" s="7">
        <v>46264</v>
      </c>
      <c r="AN9" s="7">
        <v>51001</v>
      </c>
      <c r="AO9" s="7">
        <v>56338</v>
      </c>
      <c r="AP9" s="7">
        <v>61330</v>
      </c>
      <c r="AQ9" s="7">
        <v>67801</v>
      </c>
      <c r="AR9" s="7">
        <v>74173</v>
      </c>
      <c r="AS9" s="7">
        <v>81271</v>
      </c>
      <c r="AT9" s="7">
        <v>90796</v>
      </c>
      <c r="AU9" s="7">
        <v>99038</v>
      </c>
      <c r="AV9" s="7">
        <v>108405</v>
      </c>
      <c r="AW9" s="7">
        <v>119101</v>
      </c>
      <c r="AX9" s="7">
        <v>128111</v>
      </c>
      <c r="AY9" s="7">
        <v>140737</v>
      </c>
      <c r="AZ9" s="7">
        <v>153447</v>
      </c>
      <c r="BA9" s="7">
        <v>164078</v>
      </c>
      <c r="BB9" s="7">
        <v>172488</v>
      </c>
      <c r="BC9" s="7">
        <v>182586</v>
      </c>
      <c r="BD9" s="7">
        <v>194850</v>
      </c>
      <c r="BE9" s="7">
        <v>211108</v>
      </c>
      <c r="BF9" s="7">
        <v>226804</v>
      </c>
      <c r="BG9" s="7">
        <v>241045</v>
      </c>
      <c r="BH9" s="7">
        <v>252026</v>
      </c>
      <c r="BI9" s="7">
        <v>273167</v>
      </c>
      <c r="BJ9" s="7">
        <v>292646</v>
      </c>
      <c r="BK9" s="7">
        <v>303075</v>
      </c>
      <c r="BL9" s="7">
        <v>318785</v>
      </c>
      <c r="BM9" s="7">
        <v>335842</v>
      </c>
      <c r="BN9" s="7">
        <v>350823</v>
      </c>
      <c r="BO9" s="7">
        <v>369648</v>
      </c>
      <c r="BP9" s="7">
        <v>393579</v>
      </c>
      <c r="BQ9" s="7">
        <v>405066</v>
      </c>
      <c r="BR9" s="7">
        <v>414846</v>
      </c>
      <c r="BS9" s="7">
        <v>416177</v>
      </c>
      <c r="BT9" s="7">
        <v>425169</v>
      </c>
      <c r="BU9" s="7">
        <v>430498</v>
      </c>
      <c r="BV9" s="7">
        <v>442575</v>
      </c>
      <c r="BW9" s="7">
        <v>449315</v>
      </c>
      <c r="BX9" s="7">
        <v>460868</v>
      </c>
      <c r="BY9" s="7">
        <v>479494</v>
      </c>
      <c r="BZ9" s="7">
        <v>495709</v>
      </c>
      <c r="CA9" s="7">
        <v>515879</v>
      </c>
      <c r="CB9" s="7">
        <v>532422</v>
      </c>
      <c r="CC9" s="7">
        <v>552935</v>
      </c>
      <c r="CD9" s="7">
        <v>565915</v>
      </c>
      <c r="CE9" s="7">
        <v>598333</v>
      </c>
      <c r="CF9" s="7">
        <v>645530</v>
      </c>
      <c r="CG9" s="7">
        <v>689667</v>
      </c>
      <c r="CH9" s="7">
        <v>712218</v>
      </c>
    </row>
    <row r="10" spans="1:86">
      <c r="A10" s="7" t="s">
        <v>114</v>
      </c>
      <c r="B10" s="7" t="s">
        <v>88</v>
      </c>
      <c r="C10" s="7">
        <v>1000000</v>
      </c>
      <c r="D10" s="7" t="s">
        <v>89</v>
      </c>
      <c r="E10" s="7" t="s">
        <v>115</v>
      </c>
      <c r="F10" s="8" t="s">
        <v>116</v>
      </c>
      <c r="G10" s="7">
        <v>554840</v>
      </c>
      <c r="H10" s="7">
        <v>639557</v>
      </c>
      <c r="I10" s="7">
        <v>734155</v>
      </c>
      <c r="J10" s="7">
        <v>779995</v>
      </c>
      <c r="K10" s="7">
        <v>785039</v>
      </c>
      <c r="L10" s="7">
        <v>871996</v>
      </c>
      <c r="M10" s="7">
        <v>957305</v>
      </c>
      <c r="N10" s="7">
        <v>1012970</v>
      </c>
      <c r="O10" s="7">
        <v>1051269</v>
      </c>
      <c r="P10" s="7">
        <v>1099956</v>
      </c>
      <c r="Q10" s="7">
        <v>1197093</v>
      </c>
      <c r="R10" s="7">
        <v>1301496</v>
      </c>
      <c r="S10" s="7">
        <v>1369440</v>
      </c>
      <c r="T10" s="7">
        <v>1415027</v>
      </c>
      <c r="U10" s="7">
        <v>1471124</v>
      </c>
      <c r="V10" s="7">
        <v>1520449</v>
      </c>
      <c r="W10" s="7">
        <v>1580092</v>
      </c>
      <c r="X10" s="7">
        <v>1652675</v>
      </c>
      <c r="Y10" s="7">
        <v>1717352</v>
      </c>
      <c r="Z10" s="7">
        <v>1829486</v>
      </c>
      <c r="AA10" s="7">
        <v>1954131</v>
      </c>
      <c r="AB10" s="7">
        <v>2119630</v>
      </c>
      <c r="AC10" s="7">
        <v>2285122</v>
      </c>
      <c r="AD10" s="7">
        <v>2511156</v>
      </c>
      <c r="AE10" s="7">
        <v>2743748</v>
      </c>
      <c r="AF10" s="7">
        <v>2990474</v>
      </c>
      <c r="AG10" s="7">
        <v>3294294</v>
      </c>
      <c r="AH10" s="7">
        <v>3621510</v>
      </c>
      <c r="AI10" s="7">
        <v>4110445</v>
      </c>
      <c r="AJ10" s="7">
        <v>4887525</v>
      </c>
      <c r="AK10" s="7">
        <v>5276582</v>
      </c>
      <c r="AL10" s="7">
        <v>5747011</v>
      </c>
      <c r="AM10" s="7">
        <v>6415098</v>
      </c>
      <c r="AN10" s="7">
        <v>7259791</v>
      </c>
      <c r="AO10" s="7">
        <v>8359565</v>
      </c>
      <c r="AP10" s="7">
        <v>9511476</v>
      </c>
      <c r="AQ10" s="7">
        <v>10489750</v>
      </c>
      <c r="AR10" s="7">
        <v>11083259</v>
      </c>
      <c r="AS10" s="7">
        <v>11467860</v>
      </c>
      <c r="AT10" s="7">
        <v>12138928</v>
      </c>
      <c r="AU10" s="7">
        <v>12757908</v>
      </c>
      <c r="AV10" s="7">
        <v>13547111</v>
      </c>
      <c r="AW10" s="7">
        <v>14341072</v>
      </c>
      <c r="AX10" s="7">
        <v>15226770</v>
      </c>
      <c r="AY10" s="7">
        <v>16092388</v>
      </c>
      <c r="AZ10" s="7">
        <v>16854534</v>
      </c>
      <c r="BA10" s="7">
        <v>17271370</v>
      </c>
      <c r="BB10" s="7">
        <v>17998077</v>
      </c>
      <c r="BC10" s="7">
        <v>18899579</v>
      </c>
      <c r="BD10" s="7">
        <v>20025720</v>
      </c>
      <c r="BE10" s="7">
        <v>20998211</v>
      </c>
      <c r="BF10" s="7">
        <v>21999462</v>
      </c>
      <c r="BG10" s="7">
        <v>23167721</v>
      </c>
      <c r="BH10" s="7">
        <v>24470593</v>
      </c>
      <c r="BI10" s="7">
        <v>26040669</v>
      </c>
      <c r="BJ10" s="7">
        <v>27757018</v>
      </c>
      <c r="BK10" s="7">
        <v>29308485</v>
      </c>
      <c r="BL10" s="7">
        <v>30735473</v>
      </c>
      <c r="BM10" s="7">
        <v>32394949</v>
      </c>
      <c r="BN10" s="7">
        <v>35710996</v>
      </c>
      <c r="BO10" s="7">
        <v>39290344</v>
      </c>
      <c r="BP10" s="7">
        <v>42505719</v>
      </c>
      <c r="BQ10" s="7">
        <v>44406957</v>
      </c>
      <c r="BR10" s="7">
        <v>45918921</v>
      </c>
      <c r="BS10" s="7">
        <v>45079011</v>
      </c>
      <c r="BT10" s="7">
        <v>45978958</v>
      </c>
      <c r="BU10" s="7">
        <v>47571642</v>
      </c>
      <c r="BV10" s="7">
        <v>49070496</v>
      </c>
      <c r="BW10" s="7">
        <v>51481571</v>
      </c>
      <c r="BX10" s="7">
        <v>53583348</v>
      </c>
      <c r="BY10" s="7">
        <v>54904898</v>
      </c>
      <c r="BZ10" s="7">
        <v>57232242</v>
      </c>
      <c r="CA10" s="7">
        <v>59662646</v>
      </c>
      <c r="CB10" s="7">
        <v>62780152</v>
      </c>
      <c r="CC10" s="7">
        <v>65316427</v>
      </c>
      <c r="CD10" s="7">
        <v>68156365</v>
      </c>
      <c r="CE10" s="7">
        <v>77384510</v>
      </c>
      <c r="CF10" s="7">
        <v>86358882</v>
      </c>
      <c r="CG10" s="7">
        <v>88606168</v>
      </c>
      <c r="CH10" s="7">
        <v>91548536</v>
      </c>
    </row>
    <row r="11" spans="1:86">
      <c r="A11" s="7" t="s">
        <v>135</v>
      </c>
      <c r="B11" s="7" t="s">
        <v>88</v>
      </c>
      <c r="C11" s="7">
        <v>1000000</v>
      </c>
      <c r="D11" s="7" t="s">
        <v>89</v>
      </c>
      <c r="E11" s="7" t="s">
        <v>136</v>
      </c>
      <c r="F11" s="8" t="s">
        <v>137</v>
      </c>
      <c r="G11" s="7">
        <v>118330</v>
      </c>
      <c r="H11" s="7">
        <v>149143</v>
      </c>
      <c r="I11" s="7">
        <v>179022</v>
      </c>
      <c r="J11" s="7">
        <v>195613</v>
      </c>
      <c r="K11" s="7">
        <v>207311</v>
      </c>
      <c r="L11" s="7">
        <v>237976</v>
      </c>
      <c r="M11" s="7">
        <v>262749</v>
      </c>
      <c r="N11" s="7">
        <v>279736</v>
      </c>
      <c r="O11" s="7">
        <v>293214</v>
      </c>
      <c r="P11" s="7">
        <v>312398</v>
      </c>
      <c r="Q11" s="7">
        <v>342242</v>
      </c>
      <c r="R11" s="7">
        <v>364380</v>
      </c>
      <c r="S11" s="7">
        <v>380726</v>
      </c>
      <c r="T11" s="7">
        <v>394216</v>
      </c>
      <c r="U11" s="7">
        <v>414618</v>
      </c>
      <c r="V11" s="7">
        <v>425533</v>
      </c>
      <c r="W11" s="7">
        <v>436417</v>
      </c>
      <c r="X11" s="7">
        <v>447857</v>
      </c>
      <c r="Y11" s="7">
        <v>463789</v>
      </c>
      <c r="Z11" s="7">
        <v>502626</v>
      </c>
      <c r="AA11" s="7">
        <v>536864</v>
      </c>
      <c r="AB11" s="7">
        <v>578944</v>
      </c>
      <c r="AC11" s="7">
        <v>620318</v>
      </c>
      <c r="AD11" s="7">
        <v>687440</v>
      </c>
      <c r="AE11" s="7">
        <v>738110</v>
      </c>
      <c r="AF11" s="7">
        <v>784272</v>
      </c>
      <c r="AG11" s="7">
        <v>879578</v>
      </c>
      <c r="AH11" s="7">
        <v>980457</v>
      </c>
      <c r="AI11" s="7">
        <v>1121114</v>
      </c>
      <c r="AJ11" s="7">
        <v>1274197</v>
      </c>
      <c r="AK11" s="7">
        <v>1376257</v>
      </c>
      <c r="AL11" s="7">
        <v>1533065</v>
      </c>
      <c r="AM11" s="7">
        <v>1787475</v>
      </c>
      <c r="AN11" s="7">
        <v>2071087</v>
      </c>
      <c r="AO11" s="7">
        <v>2408177</v>
      </c>
      <c r="AP11" s="7">
        <v>2712998</v>
      </c>
      <c r="AQ11" s="7">
        <v>2916614</v>
      </c>
      <c r="AR11" s="7">
        <v>3041916</v>
      </c>
      <c r="AS11" s="7">
        <v>3175101</v>
      </c>
      <c r="AT11" s="7">
        <v>3368015</v>
      </c>
      <c r="AU11" s="7">
        <v>3551264</v>
      </c>
      <c r="AV11" s="7">
        <v>3835364</v>
      </c>
      <c r="AW11" s="7">
        <v>4105574</v>
      </c>
      <c r="AX11" s="7">
        <v>4385882</v>
      </c>
      <c r="AY11" s="7">
        <v>4659584</v>
      </c>
      <c r="AZ11" s="7">
        <v>4859234</v>
      </c>
      <c r="BA11" s="7">
        <v>4978175</v>
      </c>
      <c r="BB11" s="7">
        <v>5265672</v>
      </c>
      <c r="BC11" s="7">
        <v>5612765</v>
      </c>
      <c r="BD11" s="7">
        <v>6038841</v>
      </c>
      <c r="BE11" s="7">
        <v>6316183</v>
      </c>
      <c r="BF11" s="7">
        <v>6667186</v>
      </c>
      <c r="BG11" s="7">
        <v>7046438</v>
      </c>
      <c r="BH11" s="7">
        <v>7529437</v>
      </c>
      <c r="BI11" s="7">
        <v>8124482</v>
      </c>
      <c r="BJ11" s="7">
        <v>8727350</v>
      </c>
      <c r="BK11" s="7">
        <v>9394813</v>
      </c>
      <c r="BL11" s="7">
        <v>10054459</v>
      </c>
      <c r="BM11" s="7">
        <v>10929524</v>
      </c>
      <c r="BN11" s="7">
        <v>12254392</v>
      </c>
      <c r="BO11" s="7">
        <v>13700007</v>
      </c>
      <c r="BP11" s="7">
        <v>14711656</v>
      </c>
      <c r="BQ11" s="7">
        <v>14973839</v>
      </c>
      <c r="BR11" s="7">
        <v>14796707</v>
      </c>
      <c r="BS11" s="7">
        <v>14472824</v>
      </c>
      <c r="BT11" s="7">
        <v>14542517</v>
      </c>
      <c r="BU11" s="7">
        <v>14737265</v>
      </c>
      <c r="BV11" s="7">
        <v>15194474</v>
      </c>
      <c r="BW11" s="7">
        <v>16315278</v>
      </c>
      <c r="BX11" s="7">
        <v>17075410</v>
      </c>
      <c r="BY11" s="7">
        <v>17640634</v>
      </c>
      <c r="BZ11" s="7">
        <v>18813149</v>
      </c>
      <c r="CA11" s="7">
        <v>19694807</v>
      </c>
      <c r="CB11" s="7">
        <v>20864375</v>
      </c>
      <c r="CC11" s="7">
        <v>21722190</v>
      </c>
      <c r="CD11" s="7">
        <v>23279585</v>
      </c>
      <c r="CE11" s="7">
        <v>27265038</v>
      </c>
      <c r="CF11" s="7">
        <v>30637552</v>
      </c>
      <c r="CG11" s="7">
        <v>31207265</v>
      </c>
      <c r="CH11" s="7">
        <v>32262867</v>
      </c>
    </row>
    <row r="12" spans="1:86">
      <c r="A12" s="7" t="s">
        <v>87</v>
      </c>
      <c r="B12" s="7" t="s">
        <v>88</v>
      </c>
      <c r="C12" s="7">
        <v>1000000</v>
      </c>
      <c r="D12" s="7" t="s">
        <v>89</v>
      </c>
      <c r="E12" s="7" t="s">
        <v>90</v>
      </c>
      <c r="F12" s="8" t="s">
        <v>91</v>
      </c>
      <c r="G12" s="7">
        <v>134003</v>
      </c>
      <c r="H12" s="7">
        <v>161715</v>
      </c>
      <c r="I12" s="7">
        <v>192728</v>
      </c>
      <c r="J12" s="7">
        <v>211039</v>
      </c>
      <c r="K12" s="7">
        <v>215670</v>
      </c>
      <c r="L12" s="7">
        <v>241922</v>
      </c>
      <c r="M12" s="7">
        <v>262117</v>
      </c>
      <c r="N12" s="7">
        <v>277786</v>
      </c>
      <c r="O12" s="7">
        <v>292501</v>
      </c>
      <c r="P12" s="7">
        <v>301966</v>
      </c>
      <c r="Q12" s="7">
        <v>332305</v>
      </c>
      <c r="R12" s="7">
        <v>368852</v>
      </c>
      <c r="S12" s="7">
        <v>396425</v>
      </c>
      <c r="T12" s="7">
        <v>404909</v>
      </c>
      <c r="U12" s="7">
        <v>422056</v>
      </c>
      <c r="V12" s="7">
        <v>431681</v>
      </c>
      <c r="W12" s="7">
        <v>443253</v>
      </c>
      <c r="X12" s="7">
        <v>457910</v>
      </c>
      <c r="Y12" s="7">
        <v>473397</v>
      </c>
      <c r="Z12" s="7">
        <v>499569</v>
      </c>
      <c r="AA12" s="7">
        <v>534604</v>
      </c>
      <c r="AB12" s="7">
        <v>582404</v>
      </c>
      <c r="AC12" s="7">
        <v>632740</v>
      </c>
      <c r="AD12" s="7">
        <v>696067</v>
      </c>
      <c r="AE12" s="7">
        <v>767095</v>
      </c>
      <c r="AF12" s="7">
        <v>843414</v>
      </c>
      <c r="AG12" s="7">
        <v>921543</v>
      </c>
      <c r="AH12" s="7">
        <v>998402</v>
      </c>
      <c r="AI12" s="7">
        <v>1124922</v>
      </c>
      <c r="AJ12" s="7">
        <v>1372197</v>
      </c>
      <c r="AK12" s="7">
        <v>1518806</v>
      </c>
      <c r="AL12" s="7">
        <v>1666379</v>
      </c>
      <c r="AM12" s="7">
        <v>1850996</v>
      </c>
      <c r="AN12" s="7">
        <v>2097947</v>
      </c>
      <c r="AO12" s="7">
        <v>2414174</v>
      </c>
      <c r="AP12" s="7">
        <v>2766412</v>
      </c>
      <c r="AQ12" s="7">
        <v>3125662</v>
      </c>
      <c r="AR12" s="7">
        <v>3320753</v>
      </c>
      <c r="AS12" s="7">
        <v>3415779</v>
      </c>
      <c r="AT12" s="7">
        <v>3613436</v>
      </c>
      <c r="AU12" s="7">
        <v>3801706</v>
      </c>
      <c r="AV12" s="7">
        <v>3959550</v>
      </c>
      <c r="AW12" s="7">
        <v>4154782</v>
      </c>
      <c r="AX12" s="7">
        <v>4404530</v>
      </c>
      <c r="AY12" s="7">
        <v>4650305</v>
      </c>
      <c r="AZ12" s="7">
        <v>4905710</v>
      </c>
      <c r="BA12" s="7">
        <v>5028761</v>
      </c>
      <c r="BB12" s="7">
        <v>5205412</v>
      </c>
      <c r="BC12" s="7">
        <v>5454731</v>
      </c>
      <c r="BD12" s="7">
        <v>5759417</v>
      </c>
      <c r="BE12" s="7">
        <v>6106994</v>
      </c>
      <c r="BF12" s="7">
        <v>6431220</v>
      </c>
      <c r="BG12" s="7">
        <v>6811806</v>
      </c>
      <c r="BH12" s="7">
        <v>7180238</v>
      </c>
      <c r="BI12" s="7">
        <v>7599121</v>
      </c>
      <c r="BJ12" s="7">
        <v>8137294</v>
      </c>
      <c r="BK12" s="7">
        <v>8540555</v>
      </c>
      <c r="BL12" s="7">
        <v>8810698</v>
      </c>
      <c r="BM12" s="7">
        <v>9081233</v>
      </c>
      <c r="BN12" s="7">
        <v>9838424</v>
      </c>
      <c r="BO12" s="7">
        <v>10724500</v>
      </c>
      <c r="BP12" s="7">
        <v>11601576</v>
      </c>
      <c r="BQ12" s="7">
        <v>12248969</v>
      </c>
      <c r="BR12" s="7">
        <v>13060202</v>
      </c>
      <c r="BS12" s="7">
        <v>12692474</v>
      </c>
      <c r="BT12" s="7">
        <v>13078840</v>
      </c>
      <c r="BU12" s="7">
        <v>13738373</v>
      </c>
      <c r="BV12" s="7">
        <v>14229170</v>
      </c>
      <c r="BW12" s="7">
        <v>14783467</v>
      </c>
      <c r="BX12" s="7">
        <v>15515241</v>
      </c>
      <c r="BY12" s="7">
        <v>15792585</v>
      </c>
      <c r="BZ12" s="7">
        <v>16251521</v>
      </c>
      <c r="CA12" s="7">
        <v>16888542</v>
      </c>
      <c r="CB12" s="7">
        <v>17670680</v>
      </c>
      <c r="CC12" s="7">
        <v>18471301</v>
      </c>
      <c r="CD12" s="7">
        <v>18843166</v>
      </c>
      <c r="CE12" s="7">
        <v>20906670</v>
      </c>
      <c r="CF12" s="7">
        <v>23313721</v>
      </c>
      <c r="CG12" s="7">
        <v>24166378</v>
      </c>
      <c r="CH12" s="7">
        <v>24954909</v>
      </c>
    </row>
    <row r="13" spans="1:86">
      <c r="A13" s="7" t="s">
        <v>138</v>
      </c>
      <c r="B13" s="7" t="s">
        <v>88</v>
      </c>
      <c r="C13" s="7">
        <v>1000000</v>
      </c>
      <c r="D13" s="7" t="s">
        <v>89</v>
      </c>
      <c r="E13" s="7" t="s">
        <v>139</v>
      </c>
      <c r="F13" s="8" t="s">
        <v>140</v>
      </c>
      <c r="G13" s="7">
        <v>95477</v>
      </c>
      <c r="H13" s="7">
        <v>116492</v>
      </c>
      <c r="I13" s="7">
        <v>136916</v>
      </c>
      <c r="J13" s="7">
        <v>146901</v>
      </c>
      <c r="K13" s="7">
        <v>150119</v>
      </c>
      <c r="L13" s="7">
        <v>166958</v>
      </c>
      <c r="M13" s="7">
        <v>178696</v>
      </c>
      <c r="N13" s="7">
        <v>183665</v>
      </c>
      <c r="O13" s="7">
        <v>186609</v>
      </c>
      <c r="P13" s="7">
        <v>189979</v>
      </c>
      <c r="Q13" s="7">
        <v>202176</v>
      </c>
      <c r="R13" s="7">
        <v>211433</v>
      </c>
      <c r="S13" s="7">
        <v>217070</v>
      </c>
      <c r="T13" s="7">
        <v>219780</v>
      </c>
      <c r="U13" s="7">
        <v>225631</v>
      </c>
      <c r="V13" s="7">
        <v>237390</v>
      </c>
      <c r="W13" s="7">
        <v>250699</v>
      </c>
      <c r="X13" s="7">
        <v>266191</v>
      </c>
      <c r="Y13" s="7">
        <v>272087</v>
      </c>
      <c r="Z13" s="7">
        <v>290340</v>
      </c>
      <c r="AA13" s="7">
        <v>307941</v>
      </c>
      <c r="AB13" s="7">
        <v>334844</v>
      </c>
      <c r="AC13" s="7">
        <v>354993</v>
      </c>
      <c r="AD13" s="7">
        <v>388516</v>
      </c>
      <c r="AE13" s="7">
        <v>420437</v>
      </c>
      <c r="AF13" s="7">
        <v>451479</v>
      </c>
      <c r="AG13" s="7">
        <v>503891</v>
      </c>
      <c r="AH13" s="7">
        <v>561565</v>
      </c>
      <c r="AI13" s="7">
        <v>639062</v>
      </c>
      <c r="AJ13" s="7">
        <v>744967</v>
      </c>
      <c r="AK13" s="7">
        <v>804139</v>
      </c>
      <c r="AL13" s="7">
        <v>871928</v>
      </c>
      <c r="AM13" s="7">
        <v>986513</v>
      </c>
      <c r="AN13" s="7">
        <v>1114531</v>
      </c>
      <c r="AO13" s="7">
        <v>1286193</v>
      </c>
      <c r="AP13" s="7">
        <v>1451349</v>
      </c>
      <c r="AQ13" s="7">
        <v>1598716</v>
      </c>
      <c r="AR13" s="7">
        <v>1685858</v>
      </c>
      <c r="AS13" s="7">
        <v>1734619</v>
      </c>
      <c r="AT13" s="7">
        <v>1822175</v>
      </c>
      <c r="AU13" s="7">
        <v>1917813</v>
      </c>
      <c r="AV13" s="7">
        <v>2042003</v>
      </c>
      <c r="AW13" s="7">
        <v>2146171</v>
      </c>
      <c r="AX13" s="7">
        <v>2260141</v>
      </c>
      <c r="AY13" s="7">
        <v>2356227</v>
      </c>
      <c r="AZ13" s="7">
        <v>2426893</v>
      </c>
      <c r="BA13" s="7">
        <v>2448646</v>
      </c>
      <c r="BB13" s="7">
        <v>2509920</v>
      </c>
      <c r="BC13" s="7">
        <v>2591047</v>
      </c>
      <c r="BD13" s="7">
        <v>2697101</v>
      </c>
      <c r="BE13" s="7">
        <v>2787377</v>
      </c>
      <c r="BF13" s="7">
        <v>2892140</v>
      </c>
      <c r="BG13" s="7">
        <v>3024830</v>
      </c>
      <c r="BH13" s="7">
        <v>3182096</v>
      </c>
      <c r="BI13" s="7">
        <v>3348826</v>
      </c>
      <c r="BJ13" s="7">
        <v>3534338</v>
      </c>
      <c r="BK13" s="7">
        <v>3712386</v>
      </c>
      <c r="BL13" s="7">
        <v>3881640</v>
      </c>
      <c r="BM13" s="7">
        <v>4069397</v>
      </c>
      <c r="BN13" s="7">
        <v>4435967</v>
      </c>
      <c r="BO13" s="7">
        <v>4858157</v>
      </c>
      <c r="BP13" s="7">
        <v>5199448</v>
      </c>
      <c r="BQ13" s="7">
        <v>5379404</v>
      </c>
      <c r="BR13" s="7">
        <v>5503855</v>
      </c>
      <c r="BS13" s="7">
        <v>5368975</v>
      </c>
      <c r="BT13" s="7">
        <v>5394471</v>
      </c>
      <c r="BU13" s="7">
        <v>5477039</v>
      </c>
      <c r="BV13" s="7">
        <v>5612151</v>
      </c>
      <c r="BW13" s="7">
        <v>5876039</v>
      </c>
      <c r="BX13" s="7">
        <v>6141055</v>
      </c>
      <c r="BY13" s="7">
        <v>6377636</v>
      </c>
      <c r="BZ13" s="7">
        <v>6627647</v>
      </c>
      <c r="CA13" s="7">
        <v>6915355</v>
      </c>
      <c r="CB13" s="7">
        <v>7241062</v>
      </c>
      <c r="CC13" s="7">
        <v>7495197</v>
      </c>
      <c r="CD13" s="7">
        <v>7794043</v>
      </c>
      <c r="CE13" s="7">
        <v>8834932</v>
      </c>
      <c r="CF13" s="7">
        <v>9847438</v>
      </c>
      <c r="CG13" s="7">
        <v>10083027</v>
      </c>
      <c r="CH13" s="7">
        <v>10410153</v>
      </c>
    </row>
    <row r="14" spans="1:86">
      <c r="A14" s="7" t="s">
        <v>141</v>
      </c>
      <c r="B14" s="7" t="s">
        <v>88</v>
      </c>
      <c r="C14" s="7">
        <v>1000000</v>
      </c>
      <c r="D14" s="7" t="s">
        <v>89</v>
      </c>
      <c r="E14" s="7" t="s">
        <v>142</v>
      </c>
      <c r="F14" s="8" t="s">
        <v>143</v>
      </c>
      <c r="G14" s="7">
        <v>135721</v>
      </c>
      <c r="H14" s="7">
        <v>132686</v>
      </c>
      <c r="I14" s="7">
        <v>124219</v>
      </c>
      <c r="J14" s="7">
        <v>116197</v>
      </c>
      <c r="K14" s="7">
        <v>106730</v>
      </c>
      <c r="L14" s="7">
        <v>106631</v>
      </c>
      <c r="M14" s="7">
        <v>120256</v>
      </c>
      <c r="N14" s="7">
        <v>130505</v>
      </c>
      <c r="O14" s="7">
        <v>138681</v>
      </c>
      <c r="P14" s="7">
        <v>149640</v>
      </c>
      <c r="Q14" s="7">
        <v>158331</v>
      </c>
      <c r="R14" s="7">
        <v>173094</v>
      </c>
      <c r="S14" s="7">
        <v>182371</v>
      </c>
      <c r="T14" s="7">
        <v>191377</v>
      </c>
      <c r="U14" s="7">
        <v>198000</v>
      </c>
      <c r="V14" s="7">
        <v>205213</v>
      </c>
      <c r="W14" s="7">
        <v>215738</v>
      </c>
      <c r="X14" s="7">
        <v>230254</v>
      </c>
      <c r="Y14" s="7">
        <v>240733</v>
      </c>
      <c r="Z14" s="7">
        <v>250987</v>
      </c>
      <c r="AA14" s="7">
        <v>262979</v>
      </c>
      <c r="AB14" s="7">
        <v>278893</v>
      </c>
      <c r="AC14" s="7">
        <v>299817</v>
      </c>
      <c r="AD14" s="7">
        <v>319583</v>
      </c>
      <c r="AE14" s="7">
        <v>343047</v>
      </c>
      <c r="AF14" s="7">
        <v>370168</v>
      </c>
      <c r="AG14" s="7">
        <v>391164</v>
      </c>
      <c r="AH14" s="7">
        <v>424729</v>
      </c>
      <c r="AI14" s="7">
        <v>470809</v>
      </c>
      <c r="AJ14" s="7">
        <v>539642</v>
      </c>
      <c r="AK14" s="7">
        <v>572069</v>
      </c>
      <c r="AL14" s="7">
        <v>619507</v>
      </c>
      <c r="AM14" s="7">
        <v>655972</v>
      </c>
      <c r="AN14" s="7">
        <v>721488</v>
      </c>
      <c r="AO14" s="7">
        <v>799572</v>
      </c>
      <c r="AP14" s="7">
        <v>888284</v>
      </c>
      <c r="AQ14" s="7">
        <v>959787</v>
      </c>
      <c r="AR14" s="7">
        <v>1024194</v>
      </c>
      <c r="AS14" s="7">
        <v>1084225</v>
      </c>
      <c r="AT14" s="7">
        <v>1181793</v>
      </c>
      <c r="AU14" s="7">
        <v>1210016</v>
      </c>
      <c r="AV14" s="7">
        <v>1259625</v>
      </c>
      <c r="AW14" s="7">
        <v>1317674</v>
      </c>
      <c r="AX14" s="7">
        <v>1405285</v>
      </c>
      <c r="AY14" s="7">
        <v>1477370</v>
      </c>
      <c r="AZ14" s="7">
        <v>1540287</v>
      </c>
      <c r="BA14" s="7">
        <v>1592104</v>
      </c>
      <c r="BB14" s="7">
        <v>1651570</v>
      </c>
      <c r="BC14" s="7">
        <v>1704204</v>
      </c>
      <c r="BD14" s="7">
        <v>1769893</v>
      </c>
      <c r="BE14" s="7">
        <v>1810541</v>
      </c>
      <c r="BF14" s="7">
        <v>1833376</v>
      </c>
      <c r="BG14" s="7">
        <v>1863751</v>
      </c>
      <c r="BH14" s="7">
        <v>1902223</v>
      </c>
      <c r="BI14" s="7">
        <v>1966997</v>
      </c>
      <c r="BJ14" s="7">
        <v>2003531</v>
      </c>
      <c r="BK14" s="7">
        <v>2026168</v>
      </c>
      <c r="BL14" s="7">
        <v>2077426</v>
      </c>
      <c r="BM14" s="7">
        <v>2149632</v>
      </c>
      <c r="BN14" s="7">
        <v>2288989</v>
      </c>
      <c r="BO14" s="7">
        <v>2432816</v>
      </c>
      <c r="BP14" s="7">
        <v>2579409</v>
      </c>
      <c r="BQ14" s="7">
        <v>2709774</v>
      </c>
      <c r="BR14" s="7">
        <v>2828666</v>
      </c>
      <c r="BS14" s="7">
        <v>2838363</v>
      </c>
      <c r="BT14" s="7">
        <v>2955727</v>
      </c>
      <c r="BU14" s="7">
        <v>3061248</v>
      </c>
      <c r="BV14" s="7">
        <v>3126659</v>
      </c>
      <c r="BW14" s="7">
        <v>3209295</v>
      </c>
      <c r="BX14" s="7">
        <v>3253273</v>
      </c>
      <c r="BY14" s="7">
        <v>3255708</v>
      </c>
      <c r="BZ14" s="7">
        <v>3325197</v>
      </c>
      <c r="CA14" s="7">
        <v>3422677</v>
      </c>
      <c r="CB14" s="7">
        <v>3547247</v>
      </c>
      <c r="CC14" s="7">
        <v>3626715</v>
      </c>
      <c r="CD14" s="7">
        <v>3766500</v>
      </c>
      <c r="CE14" s="7">
        <v>4107083</v>
      </c>
      <c r="CF14" s="7">
        <v>4442124</v>
      </c>
      <c r="CG14" s="7">
        <v>4570236</v>
      </c>
      <c r="CH14" s="7">
        <v>4710067</v>
      </c>
    </row>
    <row r="15" spans="1:86">
      <c r="A15" s="7" t="s">
        <v>144</v>
      </c>
      <c r="B15" s="7" t="s">
        <v>88</v>
      </c>
      <c r="C15" s="7">
        <v>1000000</v>
      </c>
      <c r="D15" s="7" t="s">
        <v>89</v>
      </c>
      <c r="E15" s="7" t="s">
        <v>145</v>
      </c>
      <c r="F15" s="8" t="s">
        <v>146</v>
      </c>
      <c r="G15" s="7">
        <v>66104</v>
      </c>
      <c r="H15" s="7">
        <v>72880</v>
      </c>
      <c r="I15" s="7">
        <v>93300</v>
      </c>
      <c r="J15" s="7">
        <v>101642</v>
      </c>
      <c r="K15" s="7">
        <v>97201</v>
      </c>
      <c r="L15" s="7">
        <v>109574</v>
      </c>
      <c r="M15" s="7">
        <v>123145</v>
      </c>
      <c r="N15" s="7">
        <v>130532</v>
      </c>
      <c r="O15" s="7">
        <v>129329</v>
      </c>
      <c r="P15" s="7">
        <v>135098</v>
      </c>
      <c r="Q15" s="7">
        <v>149966</v>
      </c>
      <c r="R15" s="7">
        <v>169923</v>
      </c>
      <c r="S15" s="7">
        <v>178167</v>
      </c>
      <c r="T15" s="7">
        <v>189650</v>
      </c>
      <c r="U15" s="7">
        <v>195058</v>
      </c>
      <c r="V15" s="7">
        <v>204261</v>
      </c>
      <c r="W15" s="7">
        <v>216712</v>
      </c>
      <c r="X15" s="7">
        <v>232036</v>
      </c>
      <c r="Y15" s="7">
        <v>247887</v>
      </c>
      <c r="Z15" s="7">
        <v>264560</v>
      </c>
      <c r="AA15" s="7">
        <v>288266</v>
      </c>
      <c r="AB15" s="7">
        <v>318657</v>
      </c>
      <c r="AC15" s="7">
        <v>348773</v>
      </c>
      <c r="AD15" s="7">
        <v>386827</v>
      </c>
      <c r="AE15" s="7">
        <v>437800</v>
      </c>
      <c r="AF15" s="7">
        <v>499335</v>
      </c>
      <c r="AG15" s="7">
        <v>550439</v>
      </c>
      <c r="AH15" s="7">
        <v>602849</v>
      </c>
      <c r="AI15" s="7">
        <v>692557</v>
      </c>
      <c r="AJ15" s="7">
        <v>879382</v>
      </c>
      <c r="AK15" s="7">
        <v>918386</v>
      </c>
      <c r="AL15" s="7">
        <v>958540</v>
      </c>
      <c r="AM15" s="7">
        <v>1023316</v>
      </c>
      <c r="AN15" s="7">
        <v>1125638</v>
      </c>
      <c r="AO15" s="7">
        <v>1295515</v>
      </c>
      <c r="AP15" s="7">
        <v>1505329</v>
      </c>
      <c r="AQ15" s="7">
        <v>1669531</v>
      </c>
      <c r="AR15" s="7">
        <v>1761861</v>
      </c>
      <c r="AS15" s="7">
        <v>1784065</v>
      </c>
      <c r="AT15" s="7">
        <v>1844662</v>
      </c>
      <c r="AU15" s="7">
        <v>1928856</v>
      </c>
      <c r="AV15" s="7">
        <v>2056726</v>
      </c>
      <c r="AW15" s="7">
        <v>2179932</v>
      </c>
      <c r="AX15" s="7">
        <v>2285320</v>
      </c>
      <c r="AY15" s="7">
        <v>2411943</v>
      </c>
      <c r="AZ15" s="7">
        <v>2540689</v>
      </c>
      <c r="BA15" s="7">
        <v>2620420</v>
      </c>
      <c r="BB15" s="7">
        <v>2737267</v>
      </c>
      <c r="BC15" s="7">
        <v>2873571</v>
      </c>
      <c r="BD15" s="7">
        <v>3052822</v>
      </c>
      <c r="BE15" s="7">
        <v>3236158</v>
      </c>
      <c r="BF15" s="7">
        <v>3398537</v>
      </c>
      <c r="BG15" s="7">
        <v>3600526</v>
      </c>
      <c r="BH15" s="7">
        <v>3793014</v>
      </c>
      <c r="BI15" s="7">
        <v>4046775</v>
      </c>
      <c r="BJ15" s="7">
        <v>4335444</v>
      </c>
      <c r="BK15" s="7">
        <v>4575928</v>
      </c>
      <c r="BL15" s="7">
        <v>4819332</v>
      </c>
      <c r="BM15" s="7">
        <v>5046102</v>
      </c>
      <c r="BN15" s="7">
        <v>5685182</v>
      </c>
      <c r="BO15" s="7">
        <v>6277698</v>
      </c>
      <c r="BP15" s="7">
        <v>7027147</v>
      </c>
      <c r="BQ15" s="7">
        <v>7642355</v>
      </c>
      <c r="BR15" s="7">
        <v>8206560</v>
      </c>
      <c r="BS15" s="7">
        <v>8248817</v>
      </c>
      <c r="BT15" s="7">
        <v>8558503</v>
      </c>
      <c r="BU15" s="7">
        <v>9068285</v>
      </c>
      <c r="BV15" s="7">
        <v>9389660</v>
      </c>
      <c r="BW15" s="7">
        <v>9736864</v>
      </c>
      <c r="BX15" s="7">
        <v>9994042</v>
      </c>
      <c r="BY15" s="7">
        <v>10186741</v>
      </c>
      <c r="BZ15" s="7">
        <v>10512097</v>
      </c>
      <c r="CA15" s="7">
        <v>10984583</v>
      </c>
      <c r="CB15" s="7">
        <v>11611268</v>
      </c>
      <c r="CC15" s="7">
        <v>12064261</v>
      </c>
      <c r="CD15" s="7">
        <v>12488679</v>
      </c>
      <c r="CE15" s="7">
        <v>14037789</v>
      </c>
      <c r="CF15" s="7">
        <v>15605207</v>
      </c>
      <c r="CG15" s="7">
        <v>16021305</v>
      </c>
      <c r="CH15" s="7">
        <v>16561948</v>
      </c>
    </row>
    <row r="16" spans="1:86">
      <c r="A16" s="7" t="s">
        <v>147</v>
      </c>
      <c r="B16" s="7" t="s">
        <v>88</v>
      </c>
      <c r="C16" s="7">
        <v>1000000</v>
      </c>
      <c r="D16" s="7" t="s">
        <v>89</v>
      </c>
      <c r="E16" s="7" t="s">
        <v>148</v>
      </c>
      <c r="F16" s="8" t="s">
        <v>149</v>
      </c>
      <c r="G16" s="7">
        <v>5205</v>
      </c>
      <c r="H16" s="7">
        <v>6641</v>
      </c>
      <c r="I16" s="7">
        <v>7970</v>
      </c>
      <c r="J16" s="7">
        <v>8603</v>
      </c>
      <c r="K16" s="7">
        <v>8008</v>
      </c>
      <c r="L16" s="7">
        <v>8935</v>
      </c>
      <c r="M16" s="7">
        <v>10342</v>
      </c>
      <c r="N16" s="7">
        <v>10746</v>
      </c>
      <c r="O16" s="7">
        <v>10935</v>
      </c>
      <c r="P16" s="7">
        <v>10875</v>
      </c>
      <c r="Q16" s="7">
        <v>12073</v>
      </c>
      <c r="R16" s="7">
        <v>13814</v>
      </c>
      <c r="S16" s="7">
        <v>14681</v>
      </c>
      <c r="T16" s="7">
        <v>15095</v>
      </c>
      <c r="U16" s="7">
        <v>15761</v>
      </c>
      <c r="V16" s="7">
        <v>16371</v>
      </c>
      <c r="W16" s="7">
        <v>17273</v>
      </c>
      <c r="X16" s="7">
        <v>18427</v>
      </c>
      <c r="Y16" s="7">
        <v>19459</v>
      </c>
      <c r="Z16" s="7">
        <v>21404</v>
      </c>
      <c r="AA16" s="7">
        <v>23477</v>
      </c>
      <c r="AB16" s="7">
        <v>25888</v>
      </c>
      <c r="AC16" s="7">
        <v>28481</v>
      </c>
      <c r="AD16" s="7">
        <v>32723</v>
      </c>
      <c r="AE16" s="7">
        <v>37259</v>
      </c>
      <c r="AF16" s="7">
        <v>41806</v>
      </c>
      <c r="AG16" s="7">
        <v>47679</v>
      </c>
      <c r="AH16" s="7">
        <v>53508</v>
      </c>
      <c r="AI16" s="7">
        <v>61981</v>
      </c>
      <c r="AJ16" s="7">
        <v>77140</v>
      </c>
      <c r="AK16" s="7">
        <v>86925</v>
      </c>
      <c r="AL16" s="7">
        <v>97592</v>
      </c>
      <c r="AM16" s="7">
        <v>110826</v>
      </c>
      <c r="AN16" s="7">
        <v>129100</v>
      </c>
      <c r="AO16" s="7">
        <v>155934</v>
      </c>
      <c r="AP16" s="7">
        <v>187104</v>
      </c>
      <c r="AQ16" s="7">
        <v>219440</v>
      </c>
      <c r="AR16" s="7">
        <v>248677</v>
      </c>
      <c r="AS16" s="7">
        <v>274071</v>
      </c>
      <c r="AT16" s="7">
        <v>308847</v>
      </c>
      <c r="AU16" s="7">
        <v>348253</v>
      </c>
      <c r="AV16" s="7">
        <v>393843</v>
      </c>
      <c r="AW16" s="7">
        <v>436939</v>
      </c>
      <c r="AX16" s="7">
        <v>485612</v>
      </c>
      <c r="AY16" s="7">
        <v>536959</v>
      </c>
      <c r="AZ16" s="7">
        <v>581721</v>
      </c>
      <c r="BA16" s="7">
        <v>603264</v>
      </c>
      <c r="BB16" s="7">
        <v>628236</v>
      </c>
      <c r="BC16" s="7">
        <v>663261</v>
      </c>
      <c r="BD16" s="7">
        <v>707646</v>
      </c>
      <c r="BE16" s="7">
        <v>740958</v>
      </c>
      <c r="BF16" s="7">
        <v>777003</v>
      </c>
      <c r="BG16" s="7">
        <v>820370</v>
      </c>
      <c r="BH16" s="7">
        <v>883585</v>
      </c>
      <c r="BI16" s="7">
        <v>954468</v>
      </c>
      <c r="BJ16" s="7">
        <v>1019061</v>
      </c>
      <c r="BK16" s="7">
        <v>1058635</v>
      </c>
      <c r="BL16" s="7">
        <v>1091918</v>
      </c>
      <c r="BM16" s="7">
        <v>1119061</v>
      </c>
      <c r="BN16" s="7">
        <v>1208042</v>
      </c>
      <c r="BO16" s="7">
        <v>1297166</v>
      </c>
      <c r="BP16" s="7">
        <v>1386483</v>
      </c>
      <c r="BQ16" s="7">
        <v>1452616</v>
      </c>
      <c r="BR16" s="7">
        <v>1522931</v>
      </c>
      <c r="BS16" s="7">
        <v>1457558</v>
      </c>
      <c r="BT16" s="7">
        <v>1448900</v>
      </c>
      <c r="BU16" s="7">
        <v>1489432</v>
      </c>
      <c r="BV16" s="7">
        <v>1518382</v>
      </c>
      <c r="BW16" s="7">
        <v>1560628</v>
      </c>
      <c r="BX16" s="7">
        <v>1604327</v>
      </c>
      <c r="BY16" s="7">
        <v>1651594</v>
      </c>
      <c r="BZ16" s="7">
        <v>1702631</v>
      </c>
      <c r="CA16" s="7">
        <v>1756682</v>
      </c>
      <c r="CB16" s="7">
        <v>1845520</v>
      </c>
      <c r="CC16" s="7">
        <v>1936763</v>
      </c>
      <c r="CD16" s="7">
        <v>1984392</v>
      </c>
      <c r="CE16" s="7">
        <v>2232998</v>
      </c>
      <c r="CF16" s="7">
        <v>2512840</v>
      </c>
      <c r="CG16" s="7">
        <v>2557957</v>
      </c>
      <c r="CH16" s="7">
        <v>2648592</v>
      </c>
    </row>
    <row r="17" spans="1:86">
      <c r="A17" s="7" t="s">
        <v>150</v>
      </c>
      <c r="B17" s="7" t="s">
        <v>88</v>
      </c>
      <c r="C17" s="7">
        <v>1000000</v>
      </c>
      <c r="D17" s="7" t="s">
        <v>89</v>
      </c>
      <c r="E17" s="7" t="s">
        <v>151</v>
      </c>
      <c r="F17" s="8" t="s">
        <v>152</v>
      </c>
      <c r="G17" s="7">
        <v>29</v>
      </c>
      <c r="H17" s="7">
        <v>34</v>
      </c>
      <c r="I17" s="7">
        <v>40</v>
      </c>
      <c r="J17" s="7">
        <v>44</v>
      </c>
      <c r="K17" s="7">
        <v>40</v>
      </c>
      <c r="L17" s="7">
        <v>47</v>
      </c>
      <c r="M17" s="7">
        <v>59</v>
      </c>
      <c r="N17" s="7">
        <v>65</v>
      </c>
      <c r="O17" s="7">
        <v>69</v>
      </c>
      <c r="P17" s="7">
        <v>69</v>
      </c>
      <c r="Q17" s="7">
        <v>75</v>
      </c>
      <c r="R17" s="7">
        <v>92</v>
      </c>
      <c r="S17" s="7">
        <v>111</v>
      </c>
      <c r="T17" s="7">
        <v>117</v>
      </c>
      <c r="U17" s="7">
        <v>122</v>
      </c>
      <c r="V17" s="7">
        <v>128</v>
      </c>
      <c r="W17" s="7">
        <v>133</v>
      </c>
      <c r="X17" s="7">
        <v>136</v>
      </c>
      <c r="Y17" s="7">
        <v>137</v>
      </c>
      <c r="Z17" s="7">
        <v>141</v>
      </c>
      <c r="AA17" s="7">
        <v>146</v>
      </c>
      <c r="AB17" s="7">
        <v>155</v>
      </c>
      <c r="AC17" s="7">
        <v>166</v>
      </c>
      <c r="AD17" s="7">
        <v>181</v>
      </c>
      <c r="AE17" s="7">
        <v>201</v>
      </c>
      <c r="AF17" s="7">
        <v>222</v>
      </c>
      <c r="AG17" s="7">
        <v>272</v>
      </c>
      <c r="AH17" s="7">
        <v>308</v>
      </c>
      <c r="AI17" s="7">
        <v>359</v>
      </c>
      <c r="AJ17" s="7">
        <v>443</v>
      </c>
      <c r="AK17" s="7">
        <v>505</v>
      </c>
      <c r="AL17" s="7">
        <v>576</v>
      </c>
      <c r="AM17" s="7">
        <v>663</v>
      </c>
      <c r="AN17" s="7">
        <v>752</v>
      </c>
      <c r="AO17" s="7">
        <v>854</v>
      </c>
      <c r="AP17" s="7">
        <v>981</v>
      </c>
      <c r="AQ17" s="7">
        <v>1121</v>
      </c>
      <c r="AR17" s="7">
        <v>1245</v>
      </c>
      <c r="AS17" s="7">
        <v>1311</v>
      </c>
      <c r="AT17" s="7">
        <v>1379</v>
      </c>
      <c r="AU17" s="7">
        <v>1491</v>
      </c>
      <c r="AV17" s="7">
        <v>1626</v>
      </c>
      <c r="AW17" s="7">
        <v>1761</v>
      </c>
      <c r="AX17" s="7">
        <v>1879</v>
      </c>
      <c r="AY17" s="7">
        <v>2012</v>
      </c>
      <c r="AZ17" s="7">
        <v>2132</v>
      </c>
      <c r="BA17" s="7">
        <v>2225</v>
      </c>
      <c r="BB17" s="7">
        <v>2379</v>
      </c>
      <c r="BC17" s="7">
        <v>2866</v>
      </c>
      <c r="BD17" s="7">
        <v>3430</v>
      </c>
      <c r="BE17" s="7">
        <v>4395</v>
      </c>
      <c r="BF17" s="7">
        <v>5255</v>
      </c>
      <c r="BG17" s="7">
        <v>6216</v>
      </c>
      <c r="BH17" s="7">
        <v>7124</v>
      </c>
      <c r="BI17" s="7">
        <v>8589</v>
      </c>
      <c r="BJ17" s="7">
        <v>9176</v>
      </c>
      <c r="BK17" s="7">
        <v>9143</v>
      </c>
      <c r="BL17" s="7">
        <v>8821</v>
      </c>
      <c r="BM17" s="7">
        <v>8675</v>
      </c>
      <c r="BN17" s="7">
        <v>9199</v>
      </c>
      <c r="BO17" s="7">
        <v>9561</v>
      </c>
      <c r="BP17" s="7">
        <v>10137</v>
      </c>
      <c r="BQ17" s="7">
        <v>10573</v>
      </c>
      <c r="BR17" s="7">
        <v>10956</v>
      </c>
      <c r="BS17" s="7">
        <v>10482</v>
      </c>
      <c r="BT17" s="7">
        <v>10286</v>
      </c>
      <c r="BU17" s="7">
        <v>10311</v>
      </c>
      <c r="BV17" s="7">
        <v>10278</v>
      </c>
      <c r="BW17" s="7">
        <v>10227</v>
      </c>
      <c r="BX17" s="7">
        <v>10265</v>
      </c>
      <c r="BY17" s="7">
        <v>10247</v>
      </c>
      <c r="BZ17" s="7">
        <v>10283</v>
      </c>
      <c r="CA17" s="7">
        <v>10479</v>
      </c>
      <c r="CB17" s="7">
        <v>10770</v>
      </c>
      <c r="CC17" s="7">
        <v>10956</v>
      </c>
      <c r="CD17" s="7">
        <v>11174</v>
      </c>
      <c r="CE17" s="7">
        <v>12727</v>
      </c>
      <c r="CF17" s="7">
        <v>14760</v>
      </c>
      <c r="CG17" s="7">
        <v>14930</v>
      </c>
      <c r="CH17" s="7">
        <v>15385</v>
      </c>
    </row>
    <row r="18" spans="1:86">
      <c r="A18" s="7" t="s">
        <v>153</v>
      </c>
      <c r="B18" s="7" t="s">
        <v>88</v>
      </c>
      <c r="C18" s="7">
        <v>1000000</v>
      </c>
      <c r="D18" s="7" t="s">
        <v>89</v>
      </c>
      <c r="E18" s="7" t="s">
        <v>154</v>
      </c>
      <c r="F18" s="8" t="s">
        <v>155</v>
      </c>
      <c r="G18" s="7">
        <v>1546</v>
      </c>
      <c r="H18" s="7">
        <v>1963</v>
      </c>
      <c r="I18" s="7">
        <v>2377</v>
      </c>
      <c r="J18" s="7">
        <v>2546</v>
      </c>
      <c r="K18" s="7">
        <v>2402</v>
      </c>
      <c r="L18" s="7">
        <v>2675</v>
      </c>
      <c r="M18" s="7">
        <v>3033</v>
      </c>
      <c r="N18" s="7">
        <v>3108</v>
      </c>
      <c r="O18" s="7">
        <v>3197</v>
      </c>
      <c r="P18" s="7">
        <v>3181</v>
      </c>
      <c r="Q18" s="7">
        <v>3554</v>
      </c>
      <c r="R18" s="7">
        <v>3968</v>
      </c>
      <c r="S18" s="7">
        <v>4205</v>
      </c>
      <c r="T18" s="7">
        <v>4350</v>
      </c>
      <c r="U18" s="7">
        <v>4547</v>
      </c>
      <c r="V18" s="7">
        <v>4714</v>
      </c>
      <c r="W18" s="7">
        <v>4983</v>
      </c>
      <c r="X18" s="7">
        <v>5371</v>
      </c>
      <c r="Y18" s="7">
        <v>5724</v>
      </c>
      <c r="Z18" s="7">
        <v>6372</v>
      </c>
      <c r="AA18" s="7">
        <v>6968</v>
      </c>
      <c r="AB18" s="7">
        <v>7672</v>
      </c>
      <c r="AC18" s="7">
        <v>8351</v>
      </c>
      <c r="AD18" s="7">
        <v>9495</v>
      </c>
      <c r="AE18" s="7">
        <v>10898</v>
      </c>
      <c r="AF18" s="7">
        <v>12141</v>
      </c>
      <c r="AG18" s="7">
        <v>13889</v>
      </c>
      <c r="AH18" s="7">
        <v>15557</v>
      </c>
      <c r="AI18" s="7">
        <v>18302</v>
      </c>
      <c r="AJ18" s="7">
        <v>23206</v>
      </c>
      <c r="AK18" s="7">
        <v>26894</v>
      </c>
      <c r="AL18" s="7">
        <v>30978</v>
      </c>
      <c r="AM18" s="7">
        <v>35570</v>
      </c>
      <c r="AN18" s="7">
        <v>42248</v>
      </c>
      <c r="AO18" s="7">
        <v>51717</v>
      </c>
      <c r="AP18" s="7">
        <v>62839</v>
      </c>
      <c r="AQ18" s="7">
        <v>74859</v>
      </c>
      <c r="AR18" s="7">
        <v>85367</v>
      </c>
      <c r="AS18" s="7">
        <v>92173</v>
      </c>
      <c r="AT18" s="7">
        <v>101179</v>
      </c>
      <c r="AU18" s="7">
        <v>112175</v>
      </c>
      <c r="AV18" s="7">
        <v>124715</v>
      </c>
      <c r="AW18" s="7">
        <v>136288</v>
      </c>
      <c r="AX18" s="7">
        <v>150983</v>
      </c>
      <c r="AY18" s="7">
        <v>165596</v>
      </c>
      <c r="AZ18" s="7">
        <v>178103</v>
      </c>
      <c r="BA18" s="7">
        <v>183743</v>
      </c>
      <c r="BB18" s="7">
        <v>193469</v>
      </c>
      <c r="BC18" s="7">
        <v>196997</v>
      </c>
      <c r="BD18" s="7">
        <v>202308</v>
      </c>
      <c r="BE18" s="7">
        <v>204990</v>
      </c>
      <c r="BF18" s="7">
        <v>211072</v>
      </c>
      <c r="BG18" s="7">
        <v>220489</v>
      </c>
      <c r="BH18" s="7">
        <v>233892</v>
      </c>
      <c r="BI18" s="7">
        <v>246952</v>
      </c>
      <c r="BJ18" s="7">
        <v>258381</v>
      </c>
      <c r="BK18" s="7">
        <v>265885</v>
      </c>
      <c r="BL18" s="7">
        <v>271221</v>
      </c>
      <c r="BM18" s="7">
        <v>279012</v>
      </c>
      <c r="BN18" s="7">
        <v>303006</v>
      </c>
      <c r="BO18" s="7">
        <v>325709</v>
      </c>
      <c r="BP18" s="7">
        <v>351862</v>
      </c>
      <c r="BQ18" s="7">
        <v>365707</v>
      </c>
      <c r="BR18" s="7">
        <v>388225</v>
      </c>
      <c r="BS18" s="7">
        <v>373899</v>
      </c>
      <c r="BT18" s="7">
        <v>370837</v>
      </c>
      <c r="BU18" s="7">
        <v>376873</v>
      </c>
      <c r="BV18" s="7">
        <v>378419</v>
      </c>
      <c r="BW18" s="7">
        <v>382318</v>
      </c>
      <c r="BX18" s="7">
        <v>386832</v>
      </c>
      <c r="BY18" s="7">
        <v>397486</v>
      </c>
      <c r="BZ18" s="7">
        <v>412045</v>
      </c>
      <c r="CA18" s="7">
        <v>432386</v>
      </c>
      <c r="CB18" s="7">
        <v>463521</v>
      </c>
      <c r="CC18" s="7">
        <v>504933</v>
      </c>
      <c r="CD18" s="7">
        <v>525866</v>
      </c>
      <c r="CE18" s="7">
        <v>598428</v>
      </c>
      <c r="CF18" s="7">
        <v>696324</v>
      </c>
      <c r="CG18" s="7">
        <v>713298</v>
      </c>
      <c r="CH18" s="7">
        <v>744641</v>
      </c>
    </row>
    <row r="19" spans="1:86">
      <c r="A19" s="7" t="s">
        <v>156</v>
      </c>
      <c r="B19" s="7" t="s">
        <v>88</v>
      </c>
      <c r="C19" s="7">
        <v>1000000</v>
      </c>
      <c r="D19" s="7" t="s">
        <v>89</v>
      </c>
      <c r="E19" s="7" t="s">
        <v>157</v>
      </c>
      <c r="F19" s="8" t="s">
        <v>158</v>
      </c>
      <c r="G19" s="7">
        <v>1489</v>
      </c>
      <c r="H19" s="7">
        <v>1936</v>
      </c>
      <c r="I19" s="7">
        <v>2331</v>
      </c>
      <c r="J19" s="7">
        <v>2483</v>
      </c>
      <c r="K19" s="7">
        <v>2331</v>
      </c>
      <c r="L19" s="7">
        <v>2582</v>
      </c>
      <c r="M19" s="7">
        <v>2919</v>
      </c>
      <c r="N19" s="7">
        <v>2982</v>
      </c>
      <c r="O19" s="7">
        <v>3054</v>
      </c>
      <c r="P19" s="7">
        <v>3026</v>
      </c>
      <c r="Q19" s="7">
        <v>3366</v>
      </c>
      <c r="R19" s="7">
        <v>3747</v>
      </c>
      <c r="S19" s="7">
        <v>3959</v>
      </c>
      <c r="T19" s="7">
        <v>4090</v>
      </c>
      <c r="U19" s="7">
        <v>4277</v>
      </c>
      <c r="V19" s="7">
        <v>4431</v>
      </c>
      <c r="W19" s="7">
        <v>4686</v>
      </c>
      <c r="X19" s="7">
        <v>5055</v>
      </c>
      <c r="Y19" s="7">
        <v>5429</v>
      </c>
      <c r="Z19" s="7">
        <v>6044</v>
      </c>
      <c r="AA19" s="7">
        <v>6611</v>
      </c>
      <c r="AB19" s="7">
        <v>7282</v>
      </c>
      <c r="AC19" s="7">
        <v>7909</v>
      </c>
      <c r="AD19" s="7">
        <v>8986</v>
      </c>
      <c r="AE19" s="7">
        <v>10381</v>
      </c>
      <c r="AF19" s="7">
        <v>11586</v>
      </c>
      <c r="AG19" s="7">
        <v>13242</v>
      </c>
      <c r="AH19" s="7">
        <v>14835</v>
      </c>
      <c r="AI19" s="7">
        <v>17462</v>
      </c>
      <c r="AJ19" s="7">
        <v>22170</v>
      </c>
      <c r="AK19" s="7">
        <v>25559</v>
      </c>
      <c r="AL19" s="7">
        <v>29258</v>
      </c>
      <c r="AM19" s="7">
        <v>33285</v>
      </c>
      <c r="AN19" s="7">
        <v>39092</v>
      </c>
      <c r="AO19" s="7">
        <v>47144</v>
      </c>
      <c r="AP19" s="7">
        <v>56545</v>
      </c>
      <c r="AQ19" s="7">
        <v>67653</v>
      </c>
      <c r="AR19" s="7">
        <v>77434</v>
      </c>
      <c r="AS19" s="7">
        <v>83450</v>
      </c>
      <c r="AT19" s="7">
        <v>91563</v>
      </c>
      <c r="AU19" s="7">
        <v>101547</v>
      </c>
      <c r="AV19" s="7">
        <v>112849</v>
      </c>
      <c r="AW19" s="7">
        <v>123032</v>
      </c>
      <c r="AX19" s="7">
        <v>135234</v>
      </c>
      <c r="AY19" s="7">
        <v>147191</v>
      </c>
      <c r="AZ19" s="7">
        <v>163465</v>
      </c>
      <c r="BA19" s="7">
        <v>167123</v>
      </c>
      <c r="BB19" s="7">
        <v>173318</v>
      </c>
      <c r="BC19" s="7">
        <v>171740</v>
      </c>
      <c r="BD19" s="7">
        <v>172445</v>
      </c>
      <c r="BE19" s="7">
        <v>172204</v>
      </c>
      <c r="BF19" s="7">
        <v>175902</v>
      </c>
      <c r="BG19" s="7">
        <v>181908</v>
      </c>
      <c r="BH19" s="7">
        <v>191720</v>
      </c>
      <c r="BI19" s="7">
        <v>201039</v>
      </c>
      <c r="BJ19" s="7">
        <v>207612</v>
      </c>
      <c r="BK19" s="7">
        <v>211816</v>
      </c>
      <c r="BL19" s="7">
        <v>214751</v>
      </c>
      <c r="BM19" s="7">
        <v>219936</v>
      </c>
      <c r="BN19" s="7">
        <v>236760</v>
      </c>
      <c r="BO19" s="7">
        <v>253470</v>
      </c>
      <c r="BP19" s="7">
        <v>274850</v>
      </c>
      <c r="BQ19" s="7">
        <v>285427</v>
      </c>
      <c r="BR19" s="7">
        <v>314139</v>
      </c>
      <c r="BS19" s="7">
        <v>303482</v>
      </c>
      <c r="BT19" s="7">
        <v>301612</v>
      </c>
      <c r="BU19" s="7">
        <v>297040</v>
      </c>
      <c r="BV19" s="7">
        <v>293423</v>
      </c>
      <c r="BW19" s="7">
        <v>299969</v>
      </c>
      <c r="BX19" s="7">
        <v>297374</v>
      </c>
      <c r="BY19" s="7">
        <v>306325</v>
      </c>
      <c r="BZ19" s="7">
        <v>316516</v>
      </c>
      <c r="CA19" s="7">
        <v>317258</v>
      </c>
      <c r="CB19" s="7">
        <v>339378</v>
      </c>
      <c r="CC19" s="7">
        <v>381519</v>
      </c>
      <c r="CD19" s="7">
        <v>391217</v>
      </c>
      <c r="CE19" s="7">
        <v>439742</v>
      </c>
      <c r="CF19" s="7">
        <v>502733</v>
      </c>
      <c r="CG19" s="7">
        <v>503123</v>
      </c>
      <c r="CH19" s="7">
        <v>534815</v>
      </c>
    </row>
    <row r="20" spans="1:86">
      <c r="A20" s="7" t="s">
        <v>159</v>
      </c>
      <c r="B20" s="7" t="s">
        <v>88</v>
      </c>
      <c r="C20" s="7">
        <v>1000000</v>
      </c>
      <c r="D20" s="7" t="s">
        <v>89</v>
      </c>
      <c r="E20" s="7" t="s">
        <v>160</v>
      </c>
      <c r="F20" s="8" t="s">
        <v>161</v>
      </c>
      <c r="G20" s="7">
        <v>49</v>
      </c>
      <c r="H20" s="7">
        <v>12</v>
      </c>
      <c r="I20" s="7">
        <v>23</v>
      </c>
      <c r="J20" s="7">
        <v>33</v>
      </c>
      <c r="K20" s="7">
        <v>37</v>
      </c>
      <c r="L20" s="7">
        <v>48</v>
      </c>
      <c r="M20" s="7">
        <v>57</v>
      </c>
      <c r="N20" s="7">
        <v>59</v>
      </c>
      <c r="O20" s="7">
        <v>63</v>
      </c>
      <c r="P20" s="7">
        <v>67</v>
      </c>
      <c r="Q20" s="7">
        <v>80</v>
      </c>
      <c r="R20" s="7">
        <v>92</v>
      </c>
      <c r="S20" s="7">
        <v>101</v>
      </c>
      <c r="T20" s="7">
        <v>105</v>
      </c>
      <c r="U20" s="7">
        <v>107</v>
      </c>
      <c r="V20" s="7">
        <v>113</v>
      </c>
      <c r="W20" s="7">
        <v>119</v>
      </c>
      <c r="X20" s="7">
        <v>126</v>
      </c>
      <c r="Y20" s="7">
        <v>117</v>
      </c>
      <c r="Z20" s="7">
        <v>128</v>
      </c>
      <c r="AA20" s="7">
        <v>138</v>
      </c>
      <c r="AB20" s="7">
        <v>152</v>
      </c>
      <c r="AC20" s="7">
        <v>173</v>
      </c>
      <c r="AD20" s="7">
        <v>196</v>
      </c>
      <c r="AE20" s="7">
        <v>196</v>
      </c>
      <c r="AF20" s="7">
        <v>209</v>
      </c>
      <c r="AG20" s="7">
        <v>235</v>
      </c>
      <c r="AH20" s="7">
        <v>253</v>
      </c>
      <c r="AI20" s="7">
        <v>290</v>
      </c>
      <c r="AJ20" s="7">
        <v>349</v>
      </c>
      <c r="AK20" s="7">
        <v>503</v>
      </c>
      <c r="AL20" s="7">
        <v>739</v>
      </c>
      <c r="AM20" s="7">
        <v>1093</v>
      </c>
      <c r="AN20" s="7">
        <v>1697</v>
      </c>
      <c r="AO20" s="7">
        <v>2812</v>
      </c>
      <c r="AP20" s="7">
        <v>4220</v>
      </c>
      <c r="AQ20" s="7">
        <v>4880</v>
      </c>
      <c r="AR20" s="7">
        <v>5283</v>
      </c>
      <c r="AS20" s="7">
        <v>5642</v>
      </c>
      <c r="AT20" s="7">
        <v>6131</v>
      </c>
      <c r="AU20" s="7">
        <v>6786</v>
      </c>
      <c r="AV20" s="7">
        <v>7498</v>
      </c>
      <c r="AW20" s="7">
        <v>8135</v>
      </c>
      <c r="AX20" s="7">
        <v>9684</v>
      </c>
      <c r="AY20" s="7">
        <v>11245</v>
      </c>
      <c r="AZ20" s="7">
        <v>9018</v>
      </c>
      <c r="BA20" s="7">
        <v>10297</v>
      </c>
      <c r="BB20" s="7">
        <v>12688</v>
      </c>
      <c r="BC20" s="7">
        <v>15914</v>
      </c>
      <c r="BD20" s="7">
        <v>18638</v>
      </c>
      <c r="BE20" s="7">
        <v>20400</v>
      </c>
      <c r="BF20" s="7">
        <v>21593</v>
      </c>
      <c r="BG20" s="7">
        <v>23531</v>
      </c>
      <c r="BH20" s="7">
        <v>25336</v>
      </c>
      <c r="BI20" s="7">
        <v>27314</v>
      </c>
      <c r="BJ20" s="7">
        <v>29921</v>
      </c>
      <c r="BK20" s="7">
        <v>31251</v>
      </c>
      <c r="BL20" s="7">
        <v>31813</v>
      </c>
      <c r="BM20" s="7">
        <v>32387</v>
      </c>
      <c r="BN20" s="7">
        <v>35145</v>
      </c>
      <c r="BO20" s="7">
        <v>37289</v>
      </c>
      <c r="BP20" s="7">
        <v>37361</v>
      </c>
      <c r="BQ20" s="7">
        <v>41355</v>
      </c>
      <c r="BR20" s="7">
        <v>30589</v>
      </c>
      <c r="BS20" s="7">
        <v>29623</v>
      </c>
      <c r="BT20" s="7">
        <v>29705</v>
      </c>
      <c r="BU20" s="7">
        <v>38606</v>
      </c>
      <c r="BV20" s="7">
        <v>41700</v>
      </c>
      <c r="BW20" s="7">
        <v>34733</v>
      </c>
      <c r="BX20" s="7">
        <v>38397</v>
      </c>
      <c r="BY20" s="7">
        <v>33584</v>
      </c>
      <c r="BZ20" s="7">
        <v>31730</v>
      </c>
      <c r="CA20" s="7">
        <v>49298</v>
      </c>
      <c r="CB20" s="7">
        <v>49803</v>
      </c>
      <c r="CC20" s="7">
        <v>58219</v>
      </c>
      <c r="CD20" s="7">
        <v>64601</v>
      </c>
      <c r="CE20" s="7">
        <v>76725</v>
      </c>
      <c r="CF20" s="7">
        <v>93798</v>
      </c>
      <c r="CG20" s="7">
        <v>107726</v>
      </c>
      <c r="CH20" s="7">
        <v>99244</v>
      </c>
    </row>
    <row r="21" spans="1:86">
      <c r="A21" s="7" t="s">
        <v>162</v>
      </c>
      <c r="B21" s="7" t="s">
        <v>88</v>
      </c>
      <c r="C21" s="7">
        <v>1000000</v>
      </c>
      <c r="D21" s="7" t="s">
        <v>89</v>
      </c>
      <c r="E21" s="7" t="s">
        <v>163</v>
      </c>
      <c r="F21" s="8" t="s">
        <v>164</v>
      </c>
      <c r="G21" s="7">
        <v>0</v>
      </c>
      <c r="H21" s="7">
        <v>0</v>
      </c>
      <c r="I21" s="7">
        <v>0</v>
      </c>
      <c r="J21" s="7">
        <v>2</v>
      </c>
      <c r="K21" s="7">
        <v>4</v>
      </c>
      <c r="L21" s="7">
        <v>6</v>
      </c>
      <c r="M21" s="7">
        <v>6</v>
      </c>
      <c r="N21" s="7">
        <v>8</v>
      </c>
      <c r="O21" s="7">
        <v>9</v>
      </c>
      <c r="P21" s="7">
        <v>10</v>
      </c>
      <c r="Q21" s="7">
        <v>13</v>
      </c>
      <c r="R21" s="7">
        <v>15</v>
      </c>
      <c r="S21" s="7">
        <v>16</v>
      </c>
      <c r="T21" s="7">
        <v>16</v>
      </c>
      <c r="U21" s="7">
        <v>16</v>
      </c>
      <c r="V21" s="7">
        <v>12</v>
      </c>
      <c r="W21" s="7">
        <v>12</v>
      </c>
      <c r="X21" s="7">
        <v>12</v>
      </c>
      <c r="Y21" s="7">
        <v>12</v>
      </c>
      <c r="Z21" s="7">
        <v>13</v>
      </c>
      <c r="AA21" s="7">
        <v>17</v>
      </c>
      <c r="AB21" s="7">
        <v>20</v>
      </c>
      <c r="AC21" s="7">
        <v>24</v>
      </c>
      <c r="AD21" s="7">
        <v>36</v>
      </c>
      <c r="AE21" s="7">
        <v>40</v>
      </c>
      <c r="AF21" s="7">
        <v>41</v>
      </c>
      <c r="AG21" s="7">
        <v>45</v>
      </c>
      <c r="AH21" s="7">
        <v>48</v>
      </c>
      <c r="AI21" s="7">
        <v>54</v>
      </c>
      <c r="AJ21" s="7">
        <v>73</v>
      </c>
      <c r="AK21" s="7">
        <v>106</v>
      </c>
      <c r="AL21" s="7">
        <v>108</v>
      </c>
      <c r="AM21" s="7">
        <v>114</v>
      </c>
      <c r="AN21" s="7">
        <v>122</v>
      </c>
      <c r="AO21" s="7">
        <v>146</v>
      </c>
      <c r="AP21" s="7">
        <v>172</v>
      </c>
      <c r="AQ21" s="7">
        <v>195</v>
      </c>
      <c r="AR21" s="7">
        <v>207</v>
      </c>
      <c r="AS21" s="7">
        <v>212</v>
      </c>
      <c r="AT21" s="7">
        <v>221</v>
      </c>
      <c r="AU21" s="7">
        <v>237</v>
      </c>
      <c r="AV21" s="7">
        <v>277</v>
      </c>
      <c r="AW21" s="7">
        <v>375</v>
      </c>
      <c r="AX21" s="7">
        <v>453</v>
      </c>
      <c r="AY21" s="7">
        <v>461</v>
      </c>
      <c r="AZ21" s="7">
        <v>374</v>
      </c>
      <c r="BA21" s="7">
        <v>474</v>
      </c>
      <c r="BB21" s="7">
        <v>536</v>
      </c>
      <c r="BC21" s="7">
        <v>772</v>
      </c>
      <c r="BD21" s="7">
        <v>1051</v>
      </c>
      <c r="BE21" s="7">
        <v>1079</v>
      </c>
      <c r="BF21" s="7">
        <v>1232</v>
      </c>
      <c r="BG21" s="7">
        <v>1360</v>
      </c>
      <c r="BH21" s="7">
        <v>1528</v>
      </c>
      <c r="BI21" s="7">
        <v>1525</v>
      </c>
      <c r="BJ21" s="7">
        <v>1571</v>
      </c>
      <c r="BK21" s="7">
        <v>1686</v>
      </c>
      <c r="BL21" s="7">
        <v>1762</v>
      </c>
      <c r="BM21" s="7">
        <v>1804</v>
      </c>
      <c r="BN21" s="7">
        <v>1933</v>
      </c>
      <c r="BO21" s="7">
        <v>2152</v>
      </c>
      <c r="BP21" s="7">
        <v>2390</v>
      </c>
      <c r="BQ21" s="7">
        <v>886</v>
      </c>
      <c r="BR21" s="7">
        <v>2024</v>
      </c>
      <c r="BS21" s="7">
        <v>1809</v>
      </c>
      <c r="BT21" s="7">
        <v>1373</v>
      </c>
      <c r="BU21" s="7">
        <v>1374</v>
      </c>
      <c r="BV21" s="7">
        <v>1438</v>
      </c>
      <c r="BW21" s="7">
        <v>1502</v>
      </c>
      <c r="BX21" s="7">
        <v>1496</v>
      </c>
      <c r="BY21" s="7">
        <v>1529</v>
      </c>
      <c r="BZ21" s="7">
        <v>1638</v>
      </c>
      <c r="CA21" s="7">
        <v>1565</v>
      </c>
      <c r="CB21" s="7">
        <v>1690</v>
      </c>
      <c r="CC21" s="7">
        <v>1767</v>
      </c>
      <c r="CD21" s="7">
        <v>1673</v>
      </c>
      <c r="CE21" s="7">
        <v>1849</v>
      </c>
      <c r="CF21" s="7">
        <v>2047</v>
      </c>
      <c r="CG21" s="7">
        <v>2121</v>
      </c>
      <c r="CH21" s="7">
        <v>2263</v>
      </c>
    </row>
    <row r="22" spans="1:86">
      <c r="A22" s="7" t="s">
        <v>165</v>
      </c>
      <c r="B22" s="7" t="s">
        <v>88</v>
      </c>
      <c r="C22" s="7">
        <v>1000000</v>
      </c>
      <c r="D22" s="7" t="s">
        <v>89</v>
      </c>
      <c r="E22" s="7" t="s">
        <v>166</v>
      </c>
      <c r="F22" s="8" t="s">
        <v>167</v>
      </c>
      <c r="G22" s="7">
        <v>8</v>
      </c>
      <c r="H22" s="7">
        <v>15</v>
      </c>
      <c r="I22" s="7">
        <v>23</v>
      </c>
      <c r="J22" s="7">
        <v>28</v>
      </c>
      <c r="K22" s="7">
        <v>30</v>
      </c>
      <c r="L22" s="7">
        <v>39</v>
      </c>
      <c r="M22" s="7">
        <v>51</v>
      </c>
      <c r="N22" s="7">
        <v>59</v>
      </c>
      <c r="O22" s="7">
        <v>71</v>
      </c>
      <c r="P22" s="7">
        <v>78</v>
      </c>
      <c r="Q22" s="7">
        <v>95</v>
      </c>
      <c r="R22" s="7">
        <v>114</v>
      </c>
      <c r="S22" s="7">
        <v>129</v>
      </c>
      <c r="T22" s="7">
        <v>139</v>
      </c>
      <c r="U22" s="7">
        <v>147</v>
      </c>
      <c r="V22" s="7">
        <v>158</v>
      </c>
      <c r="W22" s="7">
        <v>166</v>
      </c>
      <c r="X22" s="7">
        <v>178</v>
      </c>
      <c r="Y22" s="7">
        <v>166</v>
      </c>
      <c r="Z22" s="7">
        <v>187</v>
      </c>
      <c r="AA22" s="7">
        <v>202</v>
      </c>
      <c r="AB22" s="7">
        <v>218</v>
      </c>
      <c r="AC22" s="7">
        <v>245</v>
      </c>
      <c r="AD22" s="7">
        <v>277</v>
      </c>
      <c r="AE22" s="7">
        <v>281</v>
      </c>
      <c r="AF22" s="7">
        <v>305</v>
      </c>
      <c r="AG22" s="7">
        <v>367</v>
      </c>
      <c r="AH22" s="7">
        <v>421</v>
      </c>
      <c r="AI22" s="7">
        <v>496</v>
      </c>
      <c r="AJ22" s="7">
        <v>614</v>
      </c>
      <c r="AK22" s="7">
        <v>726</v>
      </c>
      <c r="AL22" s="7">
        <v>873</v>
      </c>
      <c r="AM22" s="7">
        <v>1078</v>
      </c>
      <c r="AN22" s="7">
        <v>1337</v>
      </c>
      <c r="AO22" s="7">
        <v>1615</v>
      </c>
      <c r="AP22" s="7">
        <v>1902</v>
      </c>
      <c r="AQ22" s="7">
        <v>2131</v>
      </c>
      <c r="AR22" s="7">
        <v>2443</v>
      </c>
      <c r="AS22" s="7">
        <v>2869</v>
      </c>
      <c r="AT22" s="7">
        <v>3264</v>
      </c>
      <c r="AU22" s="7">
        <v>3605</v>
      </c>
      <c r="AV22" s="7">
        <v>4091</v>
      </c>
      <c r="AW22" s="7">
        <v>4746</v>
      </c>
      <c r="AX22" s="7">
        <v>5612</v>
      </c>
      <c r="AY22" s="7">
        <v>6699</v>
      </c>
      <c r="AZ22" s="7">
        <v>5246</v>
      </c>
      <c r="BA22" s="7">
        <v>5849</v>
      </c>
      <c r="BB22" s="7">
        <v>6927</v>
      </c>
      <c r="BC22" s="7">
        <v>8571</v>
      </c>
      <c r="BD22" s="7">
        <v>10174</v>
      </c>
      <c r="BE22" s="7">
        <v>11307</v>
      </c>
      <c r="BF22" s="7">
        <v>12345</v>
      </c>
      <c r="BG22" s="7">
        <v>13690</v>
      </c>
      <c r="BH22" s="7">
        <v>15308</v>
      </c>
      <c r="BI22" s="7">
        <v>17074</v>
      </c>
      <c r="BJ22" s="7">
        <v>19277</v>
      </c>
      <c r="BK22" s="7">
        <v>21132</v>
      </c>
      <c r="BL22" s="7">
        <v>22895</v>
      </c>
      <c r="BM22" s="7">
        <v>24885</v>
      </c>
      <c r="BN22" s="7">
        <v>29168</v>
      </c>
      <c r="BO22" s="7">
        <v>32798</v>
      </c>
      <c r="BP22" s="7">
        <v>37261</v>
      </c>
      <c r="BQ22" s="7">
        <v>38039</v>
      </c>
      <c r="BR22" s="7">
        <v>41473</v>
      </c>
      <c r="BS22" s="7">
        <v>38985</v>
      </c>
      <c r="BT22" s="7">
        <v>38147</v>
      </c>
      <c r="BU22" s="7">
        <v>39853</v>
      </c>
      <c r="BV22" s="7">
        <v>41858</v>
      </c>
      <c r="BW22" s="7">
        <v>46114</v>
      </c>
      <c r="BX22" s="7">
        <v>49565</v>
      </c>
      <c r="BY22" s="7">
        <v>56048</v>
      </c>
      <c r="BZ22" s="7">
        <v>62161</v>
      </c>
      <c r="CA22" s="7">
        <v>64265</v>
      </c>
      <c r="CB22" s="7">
        <v>72650</v>
      </c>
      <c r="CC22" s="7">
        <v>63428</v>
      </c>
      <c r="CD22" s="7">
        <v>68375</v>
      </c>
      <c r="CE22" s="7">
        <v>80112</v>
      </c>
      <c r="CF22" s="7">
        <v>97746</v>
      </c>
      <c r="CG22" s="7">
        <v>100328</v>
      </c>
      <c r="CH22" s="7">
        <v>108319</v>
      </c>
    </row>
    <row r="23" spans="1:86">
      <c r="A23" s="7" t="s">
        <v>168</v>
      </c>
      <c r="B23" s="7" t="s">
        <v>88</v>
      </c>
      <c r="C23" s="7">
        <v>1000000</v>
      </c>
      <c r="D23" s="7" t="s">
        <v>89</v>
      </c>
      <c r="E23" s="7" t="s">
        <v>169</v>
      </c>
      <c r="F23" s="8" t="s">
        <v>170</v>
      </c>
      <c r="G23" s="7">
        <v>127</v>
      </c>
      <c r="H23" s="7">
        <v>165</v>
      </c>
      <c r="I23" s="7">
        <v>206</v>
      </c>
      <c r="J23" s="7">
        <v>240</v>
      </c>
      <c r="K23" s="7">
        <v>243</v>
      </c>
      <c r="L23" s="7">
        <v>298</v>
      </c>
      <c r="M23" s="7">
        <v>353</v>
      </c>
      <c r="N23" s="7">
        <v>367</v>
      </c>
      <c r="O23" s="7">
        <v>388</v>
      </c>
      <c r="P23" s="7">
        <v>402</v>
      </c>
      <c r="Q23" s="7">
        <v>468</v>
      </c>
      <c r="R23" s="7">
        <v>569</v>
      </c>
      <c r="S23" s="7">
        <v>636</v>
      </c>
      <c r="T23" s="7">
        <v>660</v>
      </c>
      <c r="U23" s="7">
        <v>731</v>
      </c>
      <c r="V23" s="7">
        <v>777</v>
      </c>
      <c r="W23" s="7">
        <v>830</v>
      </c>
      <c r="X23" s="7">
        <v>886</v>
      </c>
      <c r="Y23" s="7">
        <v>931</v>
      </c>
      <c r="Z23" s="7">
        <v>1062</v>
      </c>
      <c r="AA23" s="7">
        <v>1215</v>
      </c>
      <c r="AB23" s="7">
        <v>1378</v>
      </c>
      <c r="AC23" s="7">
        <v>1560</v>
      </c>
      <c r="AD23" s="7">
        <v>1778</v>
      </c>
      <c r="AE23" s="7">
        <v>2032</v>
      </c>
      <c r="AF23" s="7">
        <v>2321</v>
      </c>
      <c r="AG23" s="7">
        <v>2626</v>
      </c>
      <c r="AH23" s="7">
        <v>2880</v>
      </c>
      <c r="AI23" s="7">
        <v>3311</v>
      </c>
      <c r="AJ23" s="7">
        <v>4087</v>
      </c>
      <c r="AK23" s="7">
        <v>4661</v>
      </c>
      <c r="AL23" s="7">
        <v>5260</v>
      </c>
      <c r="AM23" s="7">
        <v>5991</v>
      </c>
      <c r="AN23" s="7">
        <v>7073</v>
      </c>
      <c r="AO23" s="7">
        <v>8853</v>
      </c>
      <c r="AP23" s="7">
        <v>10793</v>
      </c>
      <c r="AQ23" s="7">
        <v>12890</v>
      </c>
      <c r="AR23" s="7">
        <v>14889</v>
      </c>
      <c r="AS23" s="7">
        <v>16692</v>
      </c>
      <c r="AT23" s="7">
        <v>19214</v>
      </c>
      <c r="AU23" s="7">
        <v>22564</v>
      </c>
      <c r="AV23" s="7">
        <v>26207</v>
      </c>
      <c r="AW23" s="7">
        <v>29778</v>
      </c>
      <c r="AX23" s="7">
        <v>33663</v>
      </c>
      <c r="AY23" s="7">
        <v>38507</v>
      </c>
      <c r="AZ23" s="7">
        <v>43633</v>
      </c>
      <c r="BA23" s="7">
        <v>47094</v>
      </c>
      <c r="BB23" s="7">
        <v>51895</v>
      </c>
      <c r="BC23" s="7">
        <v>55850</v>
      </c>
      <c r="BD23" s="7">
        <v>61879</v>
      </c>
      <c r="BE23" s="7">
        <v>66950</v>
      </c>
      <c r="BF23" s="7">
        <v>69007</v>
      </c>
      <c r="BG23" s="7">
        <v>72330</v>
      </c>
      <c r="BH23" s="7">
        <v>78030</v>
      </c>
      <c r="BI23" s="7">
        <v>84522</v>
      </c>
      <c r="BJ23" s="7">
        <v>90787</v>
      </c>
      <c r="BK23" s="7">
        <v>95861</v>
      </c>
      <c r="BL23" s="7">
        <v>98924</v>
      </c>
      <c r="BM23" s="7">
        <v>104401</v>
      </c>
      <c r="BN23" s="7">
        <v>112410</v>
      </c>
      <c r="BO23" s="7">
        <v>118452</v>
      </c>
      <c r="BP23" s="7">
        <v>124116</v>
      </c>
      <c r="BQ23" s="7">
        <v>128022</v>
      </c>
      <c r="BR23" s="7">
        <v>134457</v>
      </c>
      <c r="BS23" s="7">
        <v>129394</v>
      </c>
      <c r="BT23" s="7">
        <v>127381</v>
      </c>
      <c r="BU23" s="7">
        <v>129791</v>
      </c>
      <c r="BV23" s="7">
        <v>131701</v>
      </c>
      <c r="BW23" s="7">
        <v>135820</v>
      </c>
      <c r="BX23" s="7">
        <v>138904</v>
      </c>
      <c r="BY23" s="7">
        <v>143818</v>
      </c>
      <c r="BZ23" s="7">
        <v>148405</v>
      </c>
      <c r="CA23" s="7">
        <v>154229</v>
      </c>
      <c r="CB23" s="7">
        <v>162638</v>
      </c>
      <c r="CC23" s="7">
        <v>170018</v>
      </c>
      <c r="CD23" s="7">
        <v>179279</v>
      </c>
      <c r="CE23" s="7">
        <v>205207</v>
      </c>
      <c r="CF23" s="7">
        <v>229848</v>
      </c>
      <c r="CG23" s="7">
        <v>232219</v>
      </c>
      <c r="CH23" s="7">
        <v>239562</v>
      </c>
    </row>
    <row r="24" spans="1:86">
      <c r="A24" s="7" t="s">
        <v>171</v>
      </c>
      <c r="B24" s="7" t="s">
        <v>88</v>
      </c>
      <c r="C24" s="7">
        <v>1000000</v>
      </c>
      <c r="D24" s="7" t="s">
        <v>89</v>
      </c>
      <c r="E24" s="7" t="s">
        <v>172</v>
      </c>
      <c r="F24" s="8" t="s">
        <v>173</v>
      </c>
      <c r="G24" s="7">
        <v>105</v>
      </c>
      <c r="H24" s="7">
        <v>136</v>
      </c>
      <c r="I24" s="7">
        <v>172</v>
      </c>
      <c r="J24" s="7">
        <v>201</v>
      </c>
      <c r="K24" s="7">
        <v>201</v>
      </c>
      <c r="L24" s="7">
        <v>240</v>
      </c>
      <c r="M24" s="7">
        <v>282</v>
      </c>
      <c r="N24" s="7">
        <v>294</v>
      </c>
      <c r="O24" s="7">
        <v>300</v>
      </c>
      <c r="P24" s="7">
        <v>306</v>
      </c>
      <c r="Q24" s="7">
        <v>348</v>
      </c>
      <c r="R24" s="7">
        <v>428</v>
      </c>
      <c r="S24" s="7">
        <v>479</v>
      </c>
      <c r="T24" s="7">
        <v>503</v>
      </c>
      <c r="U24" s="7">
        <v>560</v>
      </c>
      <c r="V24" s="7">
        <v>603</v>
      </c>
      <c r="W24" s="7">
        <v>652</v>
      </c>
      <c r="X24" s="7">
        <v>705</v>
      </c>
      <c r="Y24" s="7">
        <v>745</v>
      </c>
      <c r="Z24" s="7">
        <v>856</v>
      </c>
      <c r="AA24" s="7">
        <v>984</v>
      </c>
      <c r="AB24" s="7">
        <v>1108</v>
      </c>
      <c r="AC24" s="7">
        <v>1245</v>
      </c>
      <c r="AD24" s="7">
        <v>1416</v>
      </c>
      <c r="AE24" s="7">
        <v>1606</v>
      </c>
      <c r="AF24" s="7">
        <v>1823</v>
      </c>
      <c r="AG24" s="7">
        <v>2073</v>
      </c>
      <c r="AH24" s="7">
        <v>2292</v>
      </c>
      <c r="AI24" s="7">
        <v>2681</v>
      </c>
      <c r="AJ24" s="7">
        <v>3363</v>
      </c>
      <c r="AK24" s="7">
        <v>3885</v>
      </c>
      <c r="AL24" s="7">
        <v>4446</v>
      </c>
      <c r="AM24" s="7">
        <v>5128</v>
      </c>
      <c r="AN24" s="7">
        <v>6130</v>
      </c>
      <c r="AO24" s="7">
        <v>7747</v>
      </c>
      <c r="AP24" s="7">
        <v>9485</v>
      </c>
      <c r="AQ24" s="7">
        <v>11366</v>
      </c>
      <c r="AR24" s="7">
        <v>13137</v>
      </c>
      <c r="AS24" s="7">
        <v>14748</v>
      </c>
      <c r="AT24" s="7">
        <v>16991</v>
      </c>
      <c r="AU24" s="7">
        <v>19960</v>
      </c>
      <c r="AV24" s="7">
        <v>23189</v>
      </c>
      <c r="AW24" s="7">
        <v>26394</v>
      </c>
      <c r="AX24" s="7">
        <v>29972</v>
      </c>
      <c r="AY24" s="7">
        <v>34439</v>
      </c>
      <c r="AZ24" s="7">
        <v>39245</v>
      </c>
      <c r="BA24" s="7">
        <v>42844</v>
      </c>
      <c r="BB24" s="7">
        <v>47692</v>
      </c>
      <c r="BC24" s="7">
        <v>51706</v>
      </c>
      <c r="BD24" s="7">
        <v>57561</v>
      </c>
      <c r="BE24" s="7">
        <v>62442</v>
      </c>
      <c r="BF24" s="7">
        <v>64648</v>
      </c>
      <c r="BG24" s="7">
        <v>67960</v>
      </c>
      <c r="BH24" s="7">
        <v>73022</v>
      </c>
      <c r="BI24" s="7">
        <v>78479</v>
      </c>
      <c r="BJ24" s="7">
        <v>83876</v>
      </c>
      <c r="BK24" s="7">
        <v>87477</v>
      </c>
      <c r="BL24" s="7">
        <v>88852</v>
      </c>
      <c r="BM24" s="7">
        <v>89954</v>
      </c>
      <c r="BN24" s="7">
        <v>95799</v>
      </c>
      <c r="BO24" s="7">
        <v>101021</v>
      </c>
      <c r="BP24" s="7">
        <v>105674</v>
      </c>
      <c r="BQ24" s="7">
        <v>108502</v>
      </c>
      <c r="BR24" s="7">
        <v>112810</v>
      </c>
      <c r="BS24" s="7">
        <v>107882</v>
      </c>
      <c r="BT24" s="7">
        <v>106014</v>
      </c>
      <c r="BU24" s="7">
        <v>107882</v>
      </c>
      <c r="BV24" s="7">
        <v>109137</v>
      </c>
      <c r="BW24" s="7">
        <v>112917</v>
      </c>
      <c r="BX24" s="7">
        <v>115779</v>
      </c>
      <c r="BY24" s="7">
        <v>119697</v>
      </c>
      <c r="BZ24" s="7">
        <v>123998</v>
      </c>
      <c r="CA24" s="7">
        <v>129558</v>
      </c>
      <c r="CB24" s="7">
        <v>137145</v>
      </c>
      <c r="CC24" s="7">
        <v>144454</v>
      </c>
      <c r="CD24" s="7">
        <v>154187</v>
      </c>
      <c r="CE24" s="7">
        <v>176326</v>
      </c>
      <c r="CF24" s="7">
        <v>198543</v>
      </c>
      <c r="CG24" s="7">
        <v>204726</v>
      </c>
      <c r="CH24" s="7">
        <v>214901</v>
      </c>
    </row>
    <row r="25" spans="1:86">
      <c r="A25" s="7" t="s">
        <v>174</v>
      </c>
      <c r="B25" s="7" t="s">
        <v>88</v>
      </c>
      <c r="C25" s="7">
        <v>1000000</v>
      </c>
      <c r="D25" s="7" t="s">
        <v>89</v>
      </c>
      <c r="E25" s="7" t="s">
        <v>175</v>
      </c>
      <c r="F25" s="8" t="s">
        <v>176</v>
      </c>
      <c r="G25" s="7">
        <v>10</v>
      </c>
      <c r="H25" s="7">
        <v>13</v>
      </c>
      <c r="I25" s="7">
        <v>16</v>
      </c>
      <c r="J25" s="7">
        <v>16</v>
      </c>
      <c r="K25" s="7">
        <v>14</v>
      </c>
      <c r="L25" s="7">
        <v>16</v>
      </c>
      <c r="M25" s="7">
        <v>20</v>
      </c>
      <c r="N25" s="7">
        <v>22</v>
      </c>
      <c r="O25" s="7">
        <v>22</v>
      </c>
      <c r="P25" s="7">
        <v>23</v>
      </c>
      <c r="Q25" s="7">
        <v>27</v>
      </c>
      <c r="R25" s="7">
        <v>34</v>
      </c>
      <c r="S25" s="7">
        <v>36</v>
      </c>
      <c r="T25" s="7">
        <v>36</v>
      </c>
      <c r="U25" s="7">
        <v>40</v>
      </c>
      <c r="V25" s="7">
        <v>41</v>
      </c>
      <c r="W25" s="7">
        <v>45</v>
      </c>
      <c r="X25" s="7">
        <v>49</v>
      </c>
      <c r="Y25" s="7">
        <v>53</v>
      </c>
      <c r="Z25" s="7">
        <v>58</v>
      </c>
      <c r="AA25" s="7">
        <v>66</v>
      </c>
      <c r="AB25" s="7">
        <v>76</v>
      </c>
      <c r="AC25" s="7">
        <v>86</v>
      </c>
      <c r="AD25" s="7">
        <v>99</v>
      </c>
      <c r="AE25" s="7">
        <v>117</v>
      </c>
      <c r="AF25" s="7">
        <v>136</v>
      </c>
      <c r="AG25" s="7">
        <v>162</v>
      </c>
      <c r="AH25" s="7">
        <v>191</v>
      </c>
      <c r="AI25" s="7">
        <v>222</v>
      </c>
      <c r="AJ25" s="7">
        <v>253</v>
      </c>
      <c r="AK25" s="7">
        <v>263</v>
      </c>
      <c r="AL25" s="7">
        <v>276</v>
      </c>
      <c r="AM25" s="7">
        <v>296</v>
      </c>
      <c r="AN25" s="7">
        <v>323</v>
      </c>
      <c r="AO25" s="7">
        <v>373</v>
      </c>
      <c r="AP25" s="7">
        <v>427</v>
      </c>
      <c r="AQ25" s="7">
        <v>475</v>
      </c>
      <c r="AR25" s="7">
        <v>523</v>
      </c>
      <c r="AS25" s="7">
        <v>571</v>
      </c>
      <c r="AT25" s="7">
        <v>628</v>
      </c>
      <c r="AU25" s="7">
        <v>710</v>
      </c>
      <c r="AV25" s="7">
        <v>825</v>
      </c>
      <c r="AW25" s="7">
        <v>923</v>
      </c>
      <c r="AX25" s="7">
        <v>977</v>
      </c>
      <c r="AY25" s="7">
        <v>1111</v>
      </c>
      <c r="AZ25" s="7">
        <v>1100</v>
      </c>
      <c r="BA25" s="7">
        <v>1056</v>
      </c>
      <c r="BB25" s="7">
        <v>961</v>
      </c>
      <c r="BC25" s="7">
        <v>947</v>
      </c>
      <c r="BD25" s="7">
        <v>1249</v>
      </c>
      <c r="BE25" s="7">
        <v>1359</v>
      </c>
      <c r="BF25" s="7">
        <v>1457</v>
      </c>
      <c r="BG25" s="7">
        <v>1605</v>
      </c>
      <c r="BH25" s="7">
        <v>1810</v>
      </c>
      <c r="BI25" s="7">
        <v>1854</v>
      </c>
      <c r="BJ25" s="7">
        <v>1590</v>
      </c>
      <c r="BK25" s="7">
        <v>1874</v>
      </c>
      <c r="BL25" s="7">
        <v>1861</v>
      </c>
      <c r="BM25" s="7">
        <v>1850</v>
      </c>
      <c r="BN25" s="7">
        <v>2140</v>
      </c>
      <c r="BO25" s="7">
        <v>2197</v>
      </c>
      <c r="BP25" s="7">
        <v>1778</v>
      </c>
      <c r="BQ25" s="7">
        <v>1514</v>
      </c>
      <c r="BR25" s="7">
        <v>1955</v>
      </c>
      <c r="BS25" s="7">
        <v>1854</v>
      </c>
      <c r="BT25" s="7">
        <v>1950</v>
      </c>
      <c r="BU25" s="7">
        <v>2095</v>
      </c>
      <c r="BV25" s="7">
        <v>2260</v>
      </c>
      <c r="BW25" s="7">
        <v>2026</v>
      </c>
      <c r="BX25" s="7">
        <v>1930</v>
      </c>
      <c r="BY25" s="7">
        <v>2084</v>
      </c>
      <c r="BZ25" s="7">
        <v>2482</v>
      </c>
      <c r="CA25" s="7">
        <v>2974</v>
      </c>
      <c r="CB25" s="7">
        <v>3141</v>
      </c>
      <c r="CC25" s="7">
        <v>2060</v>
      </c>
      <c r="CD25" s="7">
        <v>2054</v>
      </c>
      <c r="CE25" s="7">
        <v>3594</v>
      </c>
      <c r="CF25" s="7">
        <v>5267</v>
      </c>
      <c r="CG25" s="7">
        <v>7875</v>
      </c>
      <c r="CH25" s="7">
        <v>9785</v>
      </c>
    </row>
    <row r="26" spans="1:86">
      <c r="A26" s="7" t="s">
        <v>177</v>
      </c>
      <c r="B26" s="7" t="s">
        <v>88</v>
      </c>
      <c r="C26" s="7">
        <v>1000000</v>
      </c>
      <c r="D26" s="7" t="s">
        <v>89</v>
      </c>
      <c r="E26" s="7" t="s">
        <v>178</v>
      </c>
      <c r="F26" s="8" t="s">
        <v>179</v>
      </c>
      <c r="G26" s="7">
        <v>0</v>
      </c>
      <c r="H26" s="7">
        <v>0</v>
      </c>
      <c r="I26" s="7">
        <v>1</v>
      </c>
      <c r="J26" s="7">
        <v>1</v>
      </c>
      <c r="K26" s="7">
        <v>1</v>
      </c>
      <c r="L26" s="7">
        <v>1</v>
      </c>
      <c r="M26" s="7">
        <v>2</v>
      </c>
      <c r="N26" s="7">
        <v>3</v>
      </c>
      <c r="O26" s="7">
        <v>3</v>
      </c>
      <c r="P26" s="7">
        <v>4</v>
      </c>
      <c r="Q26" s="7">
        <v>4</v>
      </c>
      <c r="R26" s="7">
        <v>5</v>
      </c>
      <c r="S26" s="7">
        <v>5</v>
      </c>
      <c r="T26" s="7">
        <v>4</v>
      </c>
      <c r="U26" s="7">
        <v>5</v>
      </c>
      <c r="V26" s="7">
        <v>5</v>
      </c>
      <c r="W26" s="7">
        <v>5</v>
      </c>
      <c r="X26" s="7">
        <v>5</v>
      </c>
      <c r="Y26" s="7">
        <v>5</v>
      </c>
      <c r="Z26" s="7">
        <v>6</v>
      </c>
      <c r="AA26" s="7">
        <v>7</v>
      </c>
      <c r="AB26" s="7">
        <v>8</v>
      </c>
      <c r="AC26" s="7">
        <v>10</v>
      </c>
      <c r="AD26" s="7">
        <v>11</v>
      </c>
      <c r="AE26" s="7">
        <v>13</v>
      </c>
      <c r="AF26" s="7">
        <v>14</v>
      </c>
      <c r="AG26" s="7">
        <v>15</v>
      </c>
      <c r="AH26" s="7">
        <v>16</v>
      </c>
      <c r="AI26" s="7">
        <v>15</v>
      </c>
      <c r="AJ26" s="7">
        <v>27</v>
      </c>
      <c r="AK26" s="7">
        <v>27</v>
      </c>
      <c r="AL26" s="7">
        <v>33</v>
      </c>
      <c r="AM26" s="7">
        <v>36</v>
      </c>
      <c r="AN26" s="7">
        <v>42</v>
      </c>
      <c r="AO26" s="7">
        <v>52</v>
      </c>
      <c r="AP26" s="7">
        <v>58</v>
      </c>
      <c r="AQ26" s="7">
        <v>65</v>
      </c>
      <c r="AR26" s="7">
        <v>68</v>
      </c>
      <c r="AS26" s="7">
        <v>72</v>
      </c>
      <c r="AT26" s="7">
        <v>102</v>
      </c>
      <c r="AU26" s="7">
        <v>126</v>
      </c>
      <c r="AV26" s="7">
        <v>143</v>
      </c>
      <c r="AW26" s="7">
        <v>187</v>
      </c>
      <c r="AX26" s="7">
        <v>283</v>
      </c>
      <c r="AY26" s="7">
        <v>313</v>
      </c>
      <c r="AZ26" s="7">
        <v>474</v>
      </c>
      <c r="BA26" s="7">
        <v>607</v>
      </c>
      <c r="BB26" s="7">
        <v>826</v>
      </c>
      <c r="BC26" s="7">
        <v>1011</v>
      </c>
      <c r="BD26" s="7">
        <v>888</v>
      </c>
      <c r="BE26" s="7">
        <v>933</v>
      </c>
      <c r="BF26" s="7">
        <v>992</v>
      </c>
      <c r="BG26" s="7">
        <v>1070</v>
      </c>
      <c r="BH26" s="7">
        <v>1129</v>
      </c>
      <c r="BI26" s="7">
        <v>1340</v>
      </c>
      <c r="BJ26" s="7">
        <v>1844</v>
      </c>
      <c r="BK26" s="7">
        <v>1774</v>
      </c>
      <c r="BL26" s="7">
        <v>1909</v>
      </c>
      <c r="BM26" s="7">
        <v>2047</v>
      </c>
      <c r="BN26" s="7">
        <v>2378</v>
      </c>
      <c r="BO26" s="7">
        <v>3000</v>
      </c>
      <c r="BP26" s="7">
        <v>3962</v>
      </c>
      <c r="BQ26" s="7">
        <v>4732</v>
      </c>
      <c r="BR26" s="7">
        <v>4986</v>
      </c>
      <c r="BS26" s="7">
        <v>4959</v>
      </c>
      <c r="BT26" s="7">
        <v>5097</v>
      </c>
      <c r="BU26" s="7">
        <v>5436</v>
      </c>
      <c r="BV26" s="7">
        <v>5911</v>
      </c>
      <c r="BW26" s="7">
        <v>6051</v>
      </c>
      <c r="BX26" s="7">
        <v>6107</v>
      </c>
      <c r="BY26" s="7">
        <v>6020</v>
      </c>
      <c r="BZ26" s="7">
        <v>5838</v>
      </c>
      <c r="CA26" s="7">
        <v>5677</v>
      </c>
      <c r="CB26" s="7">
        <v>5302</v>
      </c>
      <c r="CC26" s="7">
        <v>6276</v>
      </c>
      <c r="CD26" s="7">
        <v>6192</v>
      </c>
      <c r="CE26" s="7">
        <v>9486</v>
      </c>
      <c r="CF26" s="7">
        <v>16778</v>
      </c>
      <c r="CG26" s="7">
        <v>20703</v>
      </c>
      <c r="CH26" s="7">
        <v>25500</v>
      </c>
    </row>
    <row r="27" spans="1:86">
      <c r="A27" s="7" t="s">
        <v>180</v>
      </c>
      <c r="B27" s="7" t="s">
        <v>88</v>
      </c>
      <c r="C27" s="7">
        <v>1000000</v>
      </c>
      <c r="D27" s="7" t="s">
        <v>89</v>
      </c>
      <c r="E27" s="7" t="s">
        <v>181</v>
      </c>
      <c r="F27" s="8" t="s">
        <v>182</v>
      </c>
      <c r="G27" s="7">
        <v>0</v>
      </c>
      <c r="H27" s="7">
        <v>0</v>
      </c>
      <c r="I27" s="7">
        <v>0</v>
      </c>
      <c r="J27" s="7">
        <v>0</v>
      </c>
      <c r="K27" s="7">
        <v>0</v>
      </c>
      <c r="L27" s="7">
        <v>0</v>
      </c>
      <c r="M27" s="7">
        <v>0</v>
      </c>
      <c r="N27" s="7">
        <v>0</v>
      </c>
      <c r="O27" s="7">
        <v>0</v>
      </c>
      <c r="P27" s="7">
        <v>0</v>
      </c>
      <c r="Q27" s="7">
        <v>0</v>
      </c>
      <c r="R27" s="7">
        <v>0</v>
      </c>
      <c r="S27" s="7">
        <v>1</v>
      </c>
      <c r="T27" s="7">
        <v>5</v>
      </c>
      <c r="U27" s="7">
        <v>8</v>
      </c>
      <c r="V27" s="7">
        <v>14</v>
      </c>
      <c r="W27" s="7">
        <v>52</v>
      </c>
      <c r="X27" s="7">
        <v>50</v>
      </c>
      <c r="Y27" s="7">
        <v>40</v>
      </c>
      <c r="Z27" s="7">
        <v>28</v>
      </c>
      <c r="AA27" s="7">
        <v>15</v>
      </c>
      <c r="AB27" s="7">
        <v>20</v>
      </c>
      <c r="AC27" s="7">
        <v>22</v>
      </c>
      <c r="AD27" s="7">
        <v>20</v>
      </c>
      <c r="AE27" s="7">
        <v>23</v>
      </c>
      <c r="AF27" s="7">
        <v>88</v>
      </c>
      <c r="AG27" s="7">
        <v>136</v>
      </c>
      <c r="AH27" s="7">
        <v>267</v>
      </c>
      <c r="AI27" s="7">
        <v>202</v>
      </c>
      <c r="AJ27" s="7">
        <v>232</v>
      </c>
      <c r="AK27" s="7">
        <v>251</v>
      </c>
      <c r="AL27" s="7">
        <v>142</v>
      </c>
      <c r="AM27" s="7">
        <v>155</v>
      </c>
      <c r="AN27" s="7">
        <v>139</v>
      </c>
      <c r="AO27" s="7">
        <v>109</v>
      </c>
      <c r="AP27" s="7">
        <v>105</v>
      </c>
      <c r="AQ27" s="7">
        <v>173</v>
      </c>
      <c r="AR27" s="7">
        <v>417</v>
      </c>
      <c r="AS27" s="7">
        <v>824</v>
      </c>
      <c r="AT27" s="7">
        <v>1160</v>
      </c>
      <c r="AU27" s="7">
        <v>1846</v>
      </c>
      <c r="AV27" s="7">
        <v>2107</v>
      </c>
      <c r="AW27" s="7">
        <v>1841</v>
      </c>
      <c r="AX27" s="7">
        <v>1625</v>
      </c>
      <c r="AY27" s="7">
        <v>1454</v>
      </c>
      <c r="AZ27" s="7">
        <v>1384</v>
      </c>
      <c r="BA27" s="7">
        <v>1561</v>
      </c>
      <c r="BB27" s="7">
        <v>1922</v>
      </c>
      <c r="BC27" s="7">
        <v>2189</v>
      </c>
      <c r="BD27" s="7">
        <v>1957</v>
      </c>
      <c r="BE27" s="7">
        <v>1722</v>
      </c>
      <c r="BF27" s="7">
        <v>2024</v>
      </c>
      <c r="BG27" s="7">
        <v>1818</v>
      </c>
      <c r="BH27" s="7">
        <v>1613</v>
      </c>
      <c r="BI27" s="7">
        <v>1259</v>
      </c>
      <c r="BJ27" s="7">
        <v>1619</v>
      </c>
      <c r="BK27" s="7">
        <v>1830</v>
      </c>
      <c r="BL27" s="7">
        <v>2405</v>
      </c>
      <c r="BM27" s="7">
        <v>3017</v>
      </c>
      <c r="BN27" s="7">
        <v>3518</v>
      </c>
      <c r="BO27" s="7">
        <v>3554</v>
      </c>
      <c r="BP27" s="7">
        <v>4206</v>
      </c>
      <c r="BQ27" s="7">
        <v>7033</v>
      </c>
      <c r="BR27" s="7">
        <v>12780</v>
      </c>
      <c r="BS27" s="7">
        <v>17216</v>
      </c>
      <c r="BT27" s="7">
        <v>28284</v>
      </c>
      <c r="BU27" s="7">
        <v>21359</v>
      </c>
      <c r="BV27" s="7">
        <v>18702</v>
      </c>
      <c r="BW27" s="7">
        <v>20131</v>
      </c>
      <c r="BX27" s="7">
        <v>16614</v>
      </c>
      <c r="BY27" s="7">
        <v>11206</v>
      </c>
      <c r="BZ27" s="7">
        <v>8054</v>
      </c>
      <c r="CA27" s="7">
        <v>6338</v>
      </c>
      <c r="CB27" s="7">
        <v>5321</v>
      </c>
      <c r="CC27" s="7">
        <v>5012</v>
      </c>
      <c r="CD27" s="7">
        <v>3469</v>
      </c>
      <c r="CE27" s="7">
        <v>3823</v>
      </c>
      <c r="CF27" s="7">
        <v>4406</v>
      </c>
      <c r="CG27" s="7">
        <v>4765</v>
      </c>
      <c r="CH27" s="7">
        <v>4721</v>
      </c>
    </row>
    <row r="28" spans="1:86">
      <c r="A28" s="7" t="s">
        <v>183</v>
      </c>
      <c r="B28" s="7" t="s">
        <v>88</v>
      </c>
      <c r="C28" s="7">
        <v>1000000</v>
      </c>
      <c r="D28" s="7" t="s">
        <v>89</v>
      </c>
      <c r="E28" s="7" t="s">
        <v>184</v>
      </c>
      <c r="F28" s="8" t="s">
        <v>185</v>
      </c>
      <c r="G28" s="7">
        <v>0</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c r="AF28" s="7">
        <v>0</v>
      </c>
      <c r="AG28" s="7">
        <v>0</v>
      </c>
      <c r="AH28" s="7">
        <v>0</v>
      </c>
      <c r="AI28" s="7">
        <v>0</v>
      </c>
      <c r="AJ28" s="7">
        <v>0</v>
      </c>
      <c r="AK28" s="7">
        <v>0</v>
      </c>
      <c r="AL28" s="7">
        <v>0</v>
      </c>
      <c r="AM28" s="7">
        <v>0</v>
      </c>
      <c r="AN28" s="7">
        <v>0</v>
      </c>
      <c r="AO28" s="7">
        <v>0</v>
      </c>
      <c r="AP28" s="7">
        <v>0</v>
      </c>
      <c r="AQ28" s="7">
        <v>0</v>
      </c>
      <c r="AR28" s="7">
        <v>0</v>
      </c>
      <c r="AS28" s="7">
        <v>0</v>
      </c>
      <c r="AT28" s="7">
        <v>0</v>
      </c>
      <c r="AU28" s="7">
        <v>0</v>
      </c>
      <c r="AV28" s="7">
        <v>0</v>
      </c>
      <c r="AW28" s="7">
        <v>0</v>
      </c>
      <c r="AX28" s="7">
        <v>0</v>
      </c>
      <c r="AY28" s="7">
        <v>0</v>
      </c>
      <c r="AZ28" s="7">
        <v>1485</v>
      </c>
      <c r="BA28" s="7">
        <v>1982</v>
      </c>
      <c r="BB28" s="7">
        <v>1860</v>
      </c>
      <c r="BC28" s="7">
        <v>1873</v>
      </c>
      <c r="BD28" s="7">
        <v>2156</v>
      </c>
      <c r="BE28" s="7">
        <v>3461</v>
      </c>
      <c r="BF28" s="7">
        <v>8743</v>
      </c>
      <c r="BG28" s="7">
        <v>10848</v>
      </c>
      <c r="BH28" s="7">
        <v>12655</v>
      </c>
      <c r="BI28" s="7">
        <v>9737</v>
      </c>
      <c r="BJ28" s="7">
        <v>6563</v>
      </c>
      <c r="BK28" s="7">
        <v>6825</v>
      </c>
      <c r="BL28" s="7">
        <v>5742</v>
      </c>
      <c r="BM28" s="7">
        <v>5538</v>
      </c>
      <c r="BN28" s="7">
        <v>4792</v>
      </c>
      <c r="BO28" s="7">
        <v>4157</v>
      </c>
      <c r="BP28" s="7">
        <v>3610</v>
      </c>
      <c r="BQ28" s="7">
        <v>3123</v>
      </c>
      <c r="BR28" s="7">
        <v>2702</v>
      </c>
      <c r="BS28" s="7">
        <v>2337</v>
      </c>
      <c r="BT28" s="7">
        <v>0</v>
      </c>
      <c r="BU28" s="7">
        <v>0</v>
      </c>
      <c r="BV28" s="7">
        <v>0</v>
      </c>
      <c r="BW28" s="7">
        <v>0</v>
      </c>
      <c r="BX28" s="7">
        <v>0</v>
      </c>
      <c r="BY28" s="7">
        <v>0</v>
      </c>
      <c r="BZ28" s="7">
        <v>0</v>
      </c>
      <c r="CA28" s="7">
        <v>0</v>
      </c>
      <c r="CB28" s="7">
        <v>0</v>
      </c>
      <c r="CC28" s="7">
        <v>0</v>
      </c>
      <c r="CD28" s="7">
        <v>0</v>
      </c>
      <c r="CE28" s="7">
        <v>0</v>
      </c>
      <c r="CF28" s="7">
        <v>0</v>
      </c>
      <c r="CG28" s="7">
        <v>0</v>
      </c>
      <c r="CH28" s="7">
        <v>0</v>
      </c>
    </row>
    <row r="29" spans="1:86">
      <c r="A29" s="7" t="s">
        <v>186</v>
      </c>
      <c r="B29" s="7" t="s">
        <v>88</v>
      </c>
      <c r="C29" s="7">
        <v>1000000</v>
      </c>
      <c r="D29" s="7" t="s">
        <v>89</v>
      </c>
      <c r="E29" s="7" t="s">
        <v>187</v>
      </c>
      <c r="F29" s="8" t="s">
        <v>188</v>
      </c>
      <c r="G29" s="7">
        <v>364</v>
      </c>
      <c r="H29" s="7">
        <v>470</v>
      </c>
      <c r="I29" s="7">
        <v>551</v>
      </c>
      <c r="J29" s="7">
        <v>572</v>
      </c>
      <c r="K29" s="7">
        <v>521</v>
      </c>
      <c r="L29" s="7">
        <v>562</v>
      </c>
      <c r="M29" s="7">
        <v>714</v>
      </c>
      <c r="N29" s="7">
        <v>832</v>
      </c>
      <c r="O29" s="7">
        <v>853</v>
      </c>
      <c r="P29" s="7">
        <v>864</v>
      </c>
      <c r="Q29" s="7">
        <v>982</v>
      </c>
      <c r="R29" s="7">
        <v>1113</v>
      </c>
      <c r="S29" s="7">
        <v>1170</v>
      </c>
      <c r="T29" s="7">
        <v>1206</v>
      </c>
      <c r="U29" s="7">
        <v>1285</v>
      </c>
      <c r="V29" s="7">
        <v>1335</v>
      </c>
      <c r="W29" s="7">
        <v>1282</v>
      </c>
      <c r="X29" s="7">
        <v>1346</v>
      </c>
      <c r="Y29" s="7">
        <v>1323</v>
      </c>
      <c r="Z29" s="7">
        <v>1478</v>
      </c>
      <c r="AA29" s="7">
        <v>1702</v>
      </c>
      <c r="AB29" s="7">
        <v>1936</v>
      </c>
      <c r="AC29" s="7">
        <v>2386</v>
      </c>
      <c r="AD29" s="7">
        <v>3368</v>
      </c>
      <c r="AE29" s="7">
        <v>4030</v>
      </c>
      <c r="AF29" s="7">
        <v>4566</v>
      </c>
      <c r="AG29" s="7">
        <v>5065</v>
      </c>
      <c r="AH29" s="7">
        <v>5461</v>
      </c>
      <c r="AI29" s="7">
        <v>6455</v>
      </c>
      <c r="AJ29" s="7">
        <v>8565</v>
      </c>
      <c r="AK29" s="7">
        <v>10107</v>
      </c>
      <c r="AL29" s="7">
        <v>11680</v>
      </c>
      <c r="AM29" s="7">
        <v>13561</v>
      </c>
      <c r="AN29" s="7">
        <v>15940</v>
      </c>
      <c r="AO29" s="7">
        <v>18888</v>
      </c>
      <c r="AP29" s="7">
        <v>22245</v>
      </c>
      <c r="AQ29" s="7">
        <v>24984</v>
      </c>
      <c r="AR29" s="7">
        <v>26420</v>
      </c>
      <c r="AS29" s="7">
        <v>29967</v>
      </c>
      <c r="AT29" s="7">
        <v>35415</v>
      </c>
      <c r="AU29" s="7">
        <v>40937</v>
      </c>
      <c r="AV29" s="7">
        <v>48847</v>
      </c>
      <c r="AW29" s="7">
        <v>55845</v>
      </c>
      <c r="AX29" s="7">
        <v>63802</v>
      </c>
      <c r="AY29" s="7">
        <v>73379</v>
      </c>
      <c r="AZ29" s="7">
        <v>80399</v>
      </c>
      <c r="BA29" s="7">
        <v>83283</v>
      </c>
      <c r="BB29" s="7">
        <v>84317</v>
      </c>
      <c r="BC29" s="7">
        <v>95501</v>
      </c>
      <c r="BD29" s="7">
        <v>110644</v>
      </c>
      <c r="BE29" s="7">
        <v>121089</v>
      </c>
      <c r="BF29" s="7">
        <v>131427</v>
      </c>
      <c r="BG29" s="7">
        <v>141348</v>
      </c>
      <c r="BH29" s="7">
        <v>159424</v>
      </c>
      <c r="BI29" s="7">
        <v>187541</v>
      </c>
      <c r="BJ29" s="7">
        <v>212945</v>
      </c>
      <c r="BK29" s="7">
        <v>225288</v>
      </c>
      <c r="BL29" s="7">
        <v>239822</v>
      </c>
      <c r="BM29" s="7">
        <v>247523</v>
      </c>
      <c r="BN29" s="7">
        <v>272502</v>
      </c>
      <c r="BO29" s="7">
        <v>301072</v>
      </c>
      <c r="BP29" s="7">
        <v>327232</v>
      </c>
      <c r="BQ29" s="7">
        <v>347904</v>
      </c>
      <c r="BR29" s="7">
        <v>346255</v>
      </c>
      <c r="BS29" s="7">
        <v>312809</v>
      </c>
      <c r="BT29" s="7">
        <v>301879</v>
      </c>
      <c r="BU29" s="7">
        <v>322758</v>
      </c>
      <c r="BV29" s="7">
        <v>343158</v>
      </c>
      <c r="BW29" s="7">
        <v>364545</v>
      </c>
      <c r="BX29" s="7">
        <v>396675</v>
      </c>
      <c r="BY29" s="7">
        <v>427636</v>
      </c>
      <c r="BZ29" s="7">
        <v>449872</v>
      </c>
      <c r="CA29" s="7">
        <v>457013</v>
      </c>
      <c r="CB29" s="7">
        <v>474177</v>
      </c>
      <c r="CC29" s="7">
        <v>487065</v>
      </c>
      <c r="CD29" s="7">
        <v>480356</v>
      </c>
      <c r="CE29" s="7">
        <v>514391</v>
      </c>
      <c r="CF29" s="7">
        <v>524516</v>
      </c>
      <c r="CG29" s="7">
        <v>519704</v>
      </c>
      <c r="CH29" s="7">
        <v>523077</v>
      </c>
    </row>
    <row r="30" spans="1:86">
      <c r="A30" s="7" t="s">
        <v>189</v>
      </c>
      <c r="B30" s="7" t="s">
        <v>88</v>
      </c>
      <c r="C30" s="7">
        <v>1000000</v>
      </c>
      <c r="D30" s="7" t="s">
        <v>89</v>
      </c>
      <c r="E30" s="7" t="s">
        <v>190</v>
      </c>
      <c r="F30" s="8" t="s">
        <v>191</v>
      </c>
      <c r="G30" s="7">
        <v>134</v>
      </c>
      <c r="H30" s="7">
        <v>157</v>
      </c>
      <c r="I30" s="7">
        <v>192</v>
      </c>
      <c r="J30" s="7">
        <v>213</v>
      </c>
      <c r="K30" s="7">
        <v>215</v>
      </c>
      <c r="L30" s="7">
        <v>243</v>
      </c>
      <c r="M30" s="7">
        <v>271</v>
      </c>
      <c r="N30" s="7">
        <v>272</v>
      </c>
      <c r="O30" s="7">
        <v>276</v>
      </c>
      <c r="P30" s="7">
        <v>267</v>
      </c>
      <c r="Q30" s="7">
        <v>286</v>
      </c>
      <c r="R30" s="7">
        <v>310</v>
      </c>
      <c r="S30" s="7">
        <v>317</v>
      </c>
      <c r="T30" s="7">
        <v>312</v>
      </c>
      <c r="U30" s="7">
        <v>314</v>
      </c>
      <c r="V30" s="7">
        <v>324</v>
      </c>
      <c r="W30" s="7">
        <v>343</v>
      </c>
      <c r="X30" s="7">
        <v>371</v>
      </c>
      <c r="Y30" s="7">
        <v>411</v>
      </c>
      <c r="Z30" s="7">
        <v>474</v>
      </c>
      <c r="AA30" s="7">
        <v>550</v>
      </c>
      <c r="AB30" s="7">
        <v>606</v>
      </c>
      <c r="AC30" s="7">
        <v>712</v>
      </c>
      <c r="AD30" s="7">
        <v>885</v>
      </c>
      <c r="AE30" s="7">
        <v>1117</v>
      </c>
      <c r="AF30" s="7">
        <v>1366</v>
      </c>
      <c r="AG30" s="7">
        <v>1581</v>
      </c>
      <c r="AH30" s="7">
        <v>1922</v>
      </c>
      <c r="AI30" s="7">
        <v>2313</v>
      </c>
      <c r="AJ30" s="7">
        <v>2804</v>
      </c>
      <c r="AK30" s="7">
        <v>3105</v>
      </c>
      <c r="AL30" s="7">
        <v>3418</v>
      </c>
      <c r="AM30" s="7">
        <v>3719</v>
      </c>
      <c r="AN30" s="7">
        <v>4237</v>
      </c>
      <c r="AO30" s="7">
        <v>5652</v>
      </c>
      <c r="AP30" s="7">
        <v>7349</v>
      </c>
      <c r="AQ30" s="7">
        <v>9567</v>
      </c>
      <c r="AR30" s="7">
        <v>12283</v>
      </c>
      <c r="AS30" s="7">
        <v>15248</v>
      </c>
      <c r="AT30" s="7">
        <v>19339</v>
      </c>
      <c r="AU30" s="7">
        <v>24021</v>
      </c>
      <c r="AV30" s="7">
        <v>30301</v>
      </c>
      <c r="AW30" s="7">
        <v>37112</v>
      </c>
      <c r="AX30" s="7">
        <v>44034</v>
      </c>
      <c r="AY30" s="7">
        <v>50098</v>
      </c>
      <c r="AZ30" s="7">
        <v>54348</v>
      </c>
      <c r="BA30" s="7">
        <v>55824</v>
      </c>
      <c r="BB30" s="7">
        <v>53233</v>
      </c>
      <c r="BC30" s="7">
        <v>57492</v>
      </c>
      <c r="BD30" s="7">
        <v>60199</v>
      </c>
      <c r="BE30" s="7">
        <v>61994</v>
      </c>
      <c r="BF30" s="7">
        <v>63958</v>
      </c>
      <c r="BG30" s="7">
        <v>67700</v>
      </c>
      <c r="BH30" s="7">
        <v>74030</v>
      </c>
      <c r="BI30" s="7">
        <v>81851</v>
      </c>
      <c r="BJ30" s="7">
        <v>91495</v>
      </c>
      <c r="BK30" s="7">
        <v>96589</v>
      </c>
      <c r="BL30" s="7">
        <v>99350</v>
      </c>
      <c r="BM30" s="7">
        <v>100703</v>
      </c>
      <c r="BN30" s="7">
        <v>109292</v>
      </c>
      <c r="BO30" s="7">
        <v>117445</v>
      </c>
      <c r="BP30" s="7">
        <v>127961</v>
      </c>
      <c r="BQ30" s="7">
        <v>138918</v>
      </c>
      <c r="BR30" s="7">
        <v>148632</v>
      </c>
      <c r="BS30" s="7">
        <v>149963</v>
      </c>
      <c r="BT30" s="7">
        <v>151591</v>
      </c>
      <c r="BU30" s="7">
        <v>155441</v>
      </c>
      <c r="BV30" s="7">
        <v>154672</v>
      </c>
      <c r="BW30" s="7">
        <v>157277</v>
      </c>
      <c r="BX30" s="7">
        <v>160184</v>
      </c>
      <c r="BY30" s="7">
        <v>163668</v>
      </c>
      <c r="BZ30" s="7">
        <v>170563</v>
      </c>
      <c r="CA30" s="7">
        <v>180409</v>
      </c>
      <c r="CB30" s="7">
        <v>193247</v>
      </c>
      <c r="CC30" s="7">
        <v>206376</v>
      </c>
      <c r="CD30" s="7">
        <v>221383</v>
      </c>
      <c r="CE30" s="7">
        <v>255488</v>
      </c>
      <c r="CF30" s="7">
        <v>303172</v>
      </c>
      <c r="CG30" s="7">
        <v>320725</v>
      </c>
      <c r="CH30" s="7">
        <v>343258</v>
      </c>
    </row>
    <row r="31" spans="1:86">
      <c r="A31" s="7" t="s">
        <v>192</v>
      </c>
      <c r="B31" s="7" t="s">
        <v>88</v>
      </c>
      <c r="C31" s="7">
        <v>1000000</v>
      </c>
      <c r="D31" s="7" t="s">
        <v>89</v>
      </c>
      <c r="E31" s="7" t="s">
        <v>193</v>
      </c>
      <c r="F31" s="8" t="s">
        <v>194</v>
      </c>
      <c r="G31" s="7">
        <v>2886</v>
      </c>
      <c r="H31" s="7">
        <v>3701</v>
      </c>
      <c r="I31" s="7">
        <v>4415</v>
      </c>
      <c r="J31" s="7">
        <v>4768</v>
      </c>
      <c r="K31" s="7">
        <v>4367</v>
      </c>
      <c r="L31" s="7">
        <v>4848</v>
      </c>
      <c r="M31" s="7">
        <v>5606</v>
      </c>
      <c r="N31" s="7">
        <v>5783</v>
      </c>
      <c r="O31" s="7">
        <v>5828</v>
      </c>
      <c r="P31" s="7">
        <v>5761</v>
      </c>
      <c r="Q31" s="7">
        <v>6332</v>
      </c>
      <c r="R31" s="7">
        <v>7299</v>
      </c>
      <c r="S31" s="7">
        <v>7725</v>
      </c>
      <c r="T31" s="7">
        <v>7904</v>
      </c>
      <c r="U31" s="7">
        <v>8151</v>
      </c>
      <c r="V31" s="7">
        <v>8432</v>
      </c>
      <c r="W31" s="7">
        <v>8950</v>
      </c>
      <c r="X31" s="7">
        <v>9513</v>
      </c>
      <c r="Y31" s="7">
        <v>10090</v>
      </c>
      <c r="Z31" s="7">
        <v>10931</v>
      </c>
      <c r="AA31" s="7">
        <v>11825</v>
      </c>
      <c r="AB31" s="7">
        <v>12931</v>
      </c>
      <c r="AC31" s="7">
        <v>13943</v>
      </c>
      <c r="AD31" s="7">
        <v>15471</v>
      </c>
      <c r="AE31" s="7">
        <v>17225</v>
      </c>
      <c r="AF31" s="7">
        <v>19131</v>
      </c>
      <c r="AG31" s="7">
        <v>21861</v>
      </c>
      <c r="AH31" s="7">
        <v>24616</v>
      </c>
      <c r="AI31" s="7">
        <v>28121</v>
      </c>
      <c r="AJ31" s="7">
        <v>34163</v>
      </c>
      <c r="AK31" s="7">
        <v>37226</v>
      </c>
      <c r="AL31" s="7">
        <v>40785</v>
      </c>
      <c r="AM31" s="7">
        <v>45710</v>
      </c>
      <c r="AN31" s="7">
        <v>52220</v>
      </c>
      <c r="AO31" s="7">
        <v>61693</v>
      </c>
      <c r="AP31" s="7">
        <v>72826</v>
      </c>
      <c r="AQ31" s="7">
        <v>83944</v>
      </c>
      <c r="AR31" s="7">
        <v>94330</v>
      </c>
      <c r="AS31" s="7">
        <v>102465</v>
      </c>
      <c r="AT31" s="7">
        <v>113443</v>
      </c>
      <c r="AU31" s="7">
        <v>124425</v>
      </c>
      <c r="AV31" s="7">
        <v>135888</v>
      </c>
      <c r="AW31" s="7">
        <v>146820</v>
      </c>
      <c r="AX31" s="7">
        <v>158394</v>
      </c>
      <c r="AY31" s="7">
        <v>170054</v>
      </c>
      <c r="AZ31" s="7">
        <v>179421</v>
      </c>
      <c r="BA31" s="7">
        <v>183048</v>
      </c>
      <c r="BB31" s="7">
        <v>189681</v>
      </c>
      <c r="BC31" s="7">
        <v>196828</v>
      </c>
      <c r="BD31" s="7">
        <v>205376</v>
      </c>
      <c r="BE31" s="7">
        <v>211626</v>
      </c>
      <c r="BF31" s="7">
        <v>218425</v>
      </c>
      <c r="BG31" s="7">
        <v>228991</v>
      </c>
      <c r="BH31" s="7">
        <v>240857</v>
      </c>
      <c r="BI31" s="7">
        <v>252348</v>
      </c>
      <c r="BJ31" s="7">
        <v>260788</v>
      </c>
      <c r="BK31" s="7">
        <v>266093</v>
      </c>
      <c r="BL31" s="7">
        <v>273014</v>
      </c>
      <c r="BM31" s="7">
        <v>276345</v>
      </c>
      <c r="BN31" s="7">
        <v>293009</v>
      </c>
      <c r="BO31" s="7">
        <v>311000</v>
      </c>
      <c r="BP31" s="7">
        <v>325948</v>
      </c>
      <c r="BQ31" s="7">
        <v>336590</v>
      </c>
      <c r="BR31" s="7">
        <v>359175</v>
      </c>
      <c r="BS31" s="7">
        <v>346764</v>
      </c>
      <c r="BT31" s="7">
        <v>345584</v>
      </c>
      <c r="BU31" s="7">
        <v>357486</v>
      </c>
      <c r="BV31" s="7">
        <v>364149</v>
      </c>
      <c r="BW31" s="7">
        <v>369318</v>
      </c>
      <c r="BX31" s="7">
        <v>371038</v>
      </c>
      <c r="BY31" s="7">
        <v>369735</v>
      </c>
      <c r="BZ31" s="7">
        <v>371095</v>
      </c>
      <c r="CA31" s="7">
        <v>377618</v>
      </c>
      <c r="CB31" s="7">
        <v>390259</v>
      </c>
      <c r="CC31" s="7">
        <v>399614</v>
      </c>
      <c r="CD31" s="7">
        <v>400435</v>
      </c>
      <c r="CE31" s="7">
        <v>453531</v>
      </c>
      <c r="CF31" s="7">
        <v>519229</v>
      </c>
      <c r="CG31" s="7">
        <v>519012</v>
      </c>
      <c r="CH31" s="7">
        <v>527766</v>
      </c>
    </row>
    <row r="32" spans="1:86">
      <c r="A32" s="7" t="s">
        <v>195</v>
      </c>
      <c r="B32" s="7" t="s">
        <v>88</v>
      </c>
      <c r="C32" s="7">
        <v>1000000</v>
      </c>
      <c r="D32" s="7" t="s">
        <v>89</v>
      </c>
      <c r="E32" s="7" t="s">
        <v>196</v>
      </c>
      <c r="F32" s="8" t="s">
        <v>197</v>
      </c>
      <c r="G32" s="7">
        <v>53999</v>
      </c>
      <c r="H32" s="7">
        <v>61760</v>
      </c>
      <c r="I32" s="7">
        <v>73356</v>
      </c>
      <c r="J32" s="7">
        <v>83073</v>
      </c>
      <c r="K32" s="7">
        <v>91782</v>
      </c>
      <c r="L32" s="7">
        <v>107480</v>
      </c>
      <c r="M32" s="7">
        <v>120011</v>
      </c>
      <c r="N32" s="7">
        <v>127000</v>
      </c>
      <c r="O32" s="7">
        <v>135125</v>
      </c>
      <c r="P32" s="7">
        <v>138718</v>
      </c>
      <c r="Q32" s="7">
        <v>148099</v>
      </c>
      <c r="R32" s="7">
        <v>159072</v>
      </c>
      <c r="S32" s="7">
        <v>168497</v>
      </c>
      <c r="T32" s="7">
        <v>172603</v>
      </c>
      <c r="U32" s="7">
        <v>180216</v>
      </c>
      <c r="V32" s="7">
        <v>185419</v>
      </c>
      <c r="W32" s="7">
        <v>188375</v>
      </c>
      <c r="X32" s="7">
        <v>194709</v>
      </c>
      <c r="Y32" s="7">
        <v>204844</v>
      </c>
      <c r="Z32" s="7">
        <v>215398</v>
      </c>
      <c r="AA32" s="7">
        <v>227868</v>
      </c>
      <c r="AB32" s="7">
        <v>249517</v>
      </c>
      <c r="AC32" s="7">
        <v>271922</v>
      </c>
      <c r="AD32" s="7">
        <v>302059</v>
      </c>
      <c r="AE32" s="7">
        <v>329711</v>
      </c>
      <c r="AF32" s="7">
        <v>354257</v>
      </c>
      <c r="AG32" s="7">
        <v>377896</v>
      </c>
      <c r="AH32" s="7">
        <v>409508</v>
      </c>
      <c r="AI32" s="7">
        <v>454032</v>
      </c>
      <c r="AJ32" s="7">
        <v>525671</v>
      </c>
      <c r="AK32" s="7">
        <v>577996</v>
      </c>
      <c r="AL32" s="7">
        <v>635521</v>
      </c>
      <c r="AM32" s="7">
        <v>705116</v>
      </c>
      <c r="AN32" s="7">
        <v>795098</v>
      </c>
      <c r="AO32" s="7">
        <v>895576</v>
      </c>
      <c r="AP32" s="7">
        <v>990869</v>
      </c>
      <c r="AQ32" s="7">
        <v>1060779</v>
      </c>
      <c r="AR32" s="7">
        <v>1102424</v>
      </c>
      <c r="AS32" s="7">
        <v>1175092</v>
      </c>
      <c r="AT32" s="7">
        <v>1269583</v>
      </c>
      <c r="AU32" s="7">
        <v>1377130</v>
      </c>
      <c r="AV32" s="7">
        <v>1522384</v>
      </c>
      <c r="AW32" s="7">
        <v>1652662</v>
      </c>
      <c r="AX32" s="7">
        <v>1800326</v>
      </c>
      <c r="AY32" s="7">
        <v>1925583</v>
      </c>
      <c r="AZ32" s="7">
        <v>2039042</v>
      </c>
      <c r="BA32" s="7">
        <v>2117447</v>
      </c>
      <c r="BB32" s="7">
        <v>2193468</v>
      </c>
      <c r="BC32" s="7">
        <v>2302248</v>
      </c>
      <c r="BD32" s="7">
        <v>2424136</v>
      </c>
      <c r="BE32" s="7">
        <v>2529306</v>
      </c>
      <c r="BF32" s="7">
        <v>2627929</v>
      </c>
      <c r="BG32" s="7">
        <v>2717961</v>
      </c>
      <c r="BH32" s="7">
        <v>2833763</v>
      </c>
      <c r="BI32" s="7">
        <v>2991093</v>
      </c>
      <c r="BJ32" s="7">
        <v>3201756</v>
      </c>
      <c r="BK32" s="7">
        <v>3364300</v>
      </c>
      <c r="BL32" s="7">
        <v>3526184</v>
      </c>
      <c r="BM32" s="7">
        <v>3677601</v>
      </c>
      <c r="BN32" s="7">
        <v>3898219</v>
      </c>
      <c r="BO32" s="7">
        <v>4106270</v>
      </c>
      <c r="BP32" s="7">
        <v>4298259</v>
      </c>
      <c r="BQ32" s="7">
        <v>4474789</v>
      </c>
      <c r="BR32" s="7">
        <v>4566247</v>
      </c>
      <c r="BS32" s="7">
        <v>4560133</v>
      </c>
      <c r="BT32" s="7">
        <v>4535502</v>
      </c>
      <c r="BU32" s="7">
        <v>4644654</v>
      </c>
      <c r="BV32" s="7">
        <v>4727440</v>
      </c>
      <c r="BW32" s="7">
        <v>4777334</v>
      </c>
      <c r="BX32" s="7">
        <v>4851760</v>
      </c>
      <c r="BY32" s="7">
        <v>4990625</v>
      </c>
      <c r="BZ32" s="7">
        <v>5136728</v>
      </c>
      <c r="CA32" s="7">
        <v>5267636</v>
      </c>
      <c r="CB32" s="7">
        <v>5471605</v>
      </c>
      <c r="CC32" s="7">
        <v>5671343</v>
      </c>
      <c r="CD32" s="7">
        <v>6022274</v>
      </c>
      <c r="CE32" s="7">
        <v>6995956</v>
      </c>
      <c r="CF32" s="7">
        <v>7639315</v>
      </c>
      <c r="CG32" s="7">
        <v>7856571</v>
      </c>
      <c r="CH32" s="7">
        <v>8111190</v>
      </c>
    </row>
    <row r="33" spans="1:86">
      <c r="A33" s="7" t="s">
        <v>198</v>
      </c>
      <c r="B33" s="7" t="s">
        <v>88</v>
      </c>
      <c r="C33" s="7">
        <v>1000000</v>
      </c>
      <c r="D33" s="7" t="s">
        <v>89</v>
      </c>
      <c r="E33" s="7" t="s">
        <v>199</v>
      </c>
      <c r="F33" s="8" t="s">
        <v>200</v>
      </c>
      <c r="G33" s="7">
        <v>60394</v>
      </c>
      <c r="H33" s="7">
        <v>72600</v>
      </c>
      <c r="I33" s="7">
        <v>81200</v>
      </c>
      <c r="J33" s="7">
        <v>88050</v>
      </c>
      <c r="K33" s="7">
        <v>82750</v>
      </c>
      <c r="L33" s="7">
        <v>87650</v>
      </c>
      <c r="M33" s="7">
        <v>108025</v>
      </c>
      <c r="N33" s="7">
        <v>105100</v>
      </c>
      <c r="O33" s="7">
        <v>103500</v>
      </c>
      <c r="P33" s="7">
        <v>101800</v>
      </c>
      <c r="Q33" s="7">
        <v>104300</v>
      </c>
      <c r="R33" s="7">
        <v>112200</v>
      </c>
      <c r="S33" s="7">
        <v>116200</v>
      </c>
      <c r="T33" s="7">
        <v>119700</v>
      </c>
      <c r="U33" s="7">
        <v>121400</v>
      </c>
      <c r="V33" s="7">
        <v>124900</v>
      </c>
      <c r="W33" s="7">
        <v>128200</v>
      </c>
      <c r="X33" s="7">
        <v>135400</v>
      </c>
      <c r="Y33" s="7">
        <v>137700</v>
      </c>
      <c r="Z33" s="7">
        <v>143000</v>
      </c>
      <c r="AA33" s="7">
        <v>157200</v>
      </c>
      <c r="AB33" s="7">
        <v>173700</v>
      </c>
      <c r="AC33" s="7">
        <v>184100</v>
      </c>
      <c r="AD33" s="7">
        <v>197400</v>
      </c>
      <c r="AE33" s="7">
        <v>215800</v>
      </c>
      <c r="AF33" s="7">
        <v>222900</v>
      </c>
      <c r="AG33" s="7">
        <v>240700</v>
      </c>
      <c r="AH33" s="7">
        <v>266800</v>
      </c>
      <c r="AI33" s="7">
        <v>322800</v>
      </c>
      <c r="AJ33" s="7">
        <v>382300</v>
      </c>
      <c r="AK33" s="7">
        <v>387300</v>
      </c>
      <c r="AL33" s="7">
        <v>419300</v>
      </c>
      <c r="AM33" s="7">
        <v>462700</v>
      </c>
      <c r="AN33" s="7">
        <v>546800</v>
      </c>
      <c r="AO33" s="7">
        <v>644700</v>
      </c>
      <c r="AP33" s="7">
        <v>710800</v>
      </c>
      <c r="AQ33" s="7">
        <v>754900</v>
      </c>
      <c r="AR33" s="7">
        <v>752100</v>
      </c>
      <c r="AS33" s="7">
        <v>769600</v>
      </c>
      <c r="AT33" s="7">
        <v>845600</v>
      </c>
      <c r="AU33" s="7">
        <v>856500</v>
      </c>
      <c r="AV33" s="7">
        <v>839400</v>
      </c>
      <c r="AW33" s="7">
        <v>901000</v>
      </c>
      <c r="AX33" s="7">
        <v>968800</v>
      </c>
      <c r="AY33" s="7">
        <v>1016300</v>
      </c>
      <c r="AZ33" s="7">
        <v>1054600</v>
      </c>
      <c r="BA33" s="7">
        <v>1028000</v>
      </c>
      <c r="BB33" s="7">
        <v>1051900</v>
      </c>
      <c r="BC33" s="7">
        <v>1082800</v>
      </c>
      <c r="BD33" s="7">
        <v>1162900</v>
      </c>
      <c r="BE33" s="7">
        <v>1222400</v>
      </c>
      <c r="BF33" s="7">
        <v>1284650</v>
      </c>
      <c r="BG33" s="7">
        <v>1329795</v>
      </c>
      <c r="BH33" s="7">
        <v>1342316</v>
      </c>
      <c r="BI33" s="7">
        <v>1433438</v>
      </c>
      <c r="BJ33" s="7">
        <v>1524806</v>
      </c>
      <c r="BK33" s="7">
        <v>1447653</v>
      </c>
      <c r="BL33" s="7">
        <v>1495772</v>
      </c>
      <c r="BM33" s="7">
        <v>1560315</v>
      </c>
      <c r="BN33" s="7">
        <v>1700028</v>
      </c>
      <c r="BO33" s="7">
        <v>1836852</v>
      </c>
      <c r="BP33" s="7">
        <v>1942323</v>
      </c>
      <c r="BQ33" s="7">
        <v>2102808</v>
      </c>
      <c r="BR33" s="7">
        <v>2044108</v>
      </c>
      <c r="BS33" s="7">
        <v>1919715</v>
      </c>
      <c r="BT33" s="7">
        <v>2104760</v>
      </c>
      <c r="BU33" s="7">
        <v>2274572</v>
      </c>
      <c r="BV33" s="7">
        <v>2370153</v>
      </c>
      <c r="BW33" s="7">
        <v>2482735</v>
      </c>
      <c r="BX33" s="7">
        <v>2551676</v>
      </c>
      <c r="BY33" s="7">
        <v>2532214</v>
      </c>
      <c r="BZ33" s="7">
        <v>2609034</v>
      </c>
      <c r="CA33" s="7">
        <v>2711026</v>
      </c>
      <c r="CB33" s="7">
        <v>2840634</v>
      </c>
      <c r="CC33" s="7">
        <v>2907955</v>
      </c>
      <c r="CD33" s="7">
        <v>2915314</v>
      </c>
      <c r="CE33" s="7">
        <v>3462033</v>
      </c>
      <c r="CF33" s="7">
        <v>3828554</v>
      </c>
      <c r="CG33" s="7">
        <v>3813695</v>
      </c>
      <c r="CH33" s="7">
        <v>3913313</v>
      </c>
    </row>
  </sheetData>
  <hyperlinks>
    <hyperlink ref="A1" r:id="rId1" display="https://www.federalreserve.gov/datadownload/Download.aspx?rel=Z1&amp;series=757ab95c0390f4abfffd4cfda8155eb2&amp;filetype=spreadsheetml&amp;label=include&amp;layout=seriesrow&amp;from=01/01/1945&amp;to=12/31/2025" xr:uid="{2B6F1C13-51A7-A348-BCF0-D72D1326726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68D78-417C-244B-9721-78BD9BE2940C}">
  <dimension ref="A1:CI23"/>
  <sheetViews>
    <sheetView workbookViewId="0">
      <selection activeCell="I20" sqref="I20:CI23"/>
    </sheetView>
  </sheetViews>
  <sheetFormatPr baseColWidth="10" defaultColWidth="11.5" defaultRowHeight="16"/>
  <cols>
    <col min="1" max="1" width="107.5" customWidth="1"/>
    <col min="2" max="2" width="59.1640625" customWidth="1"/>
    <col min="6" max="6" width="21.33203125" customWidth="1"/>
  </cols>
  <sheetData>
    <row r="1" spans="1:87" ht="17" thickBot="1">
      <c r="A1" t="s">
        <v>1567</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c r="W1" s="22" t="s">
        <v>22</v>
      </c>
      <c r="X1" s="22" t="s">
        <v>23</v>
      </c>
      <c r="Y1" s="22" t="s">
        <v>24</v>
      </c>
      <c r="Z1" s="22" t="s">
        <v>25</v>
      </c>
      <c r="AA1" s="22" t="s">
        <v>26</v>
      </c>
      <c r="AB1" s="22" t="s">
        <v>27</v>
      </c>
      <c r="AC1" s="22" t="s">
        <v>28</v>
      </c>
      <c r="AD1" s="22" t="s">
        <v>29</v>
      </c>
      <c r="AE1" s="22" t="s">
        <v>30</v>
      </c>
      <c r="AF1" s="22" t="s">
        <v>31</v>
      </c>
      <c r="AG1" s="22" t="s">
        <v>32</v>
      </c>
      <c r="AH1" s="22" t="s">
        <v>33</v>
      </c>
      <c r="AI1" s="22" t="s">
        <v>34</v>
      </c>
      <c r="AJ1" s="22" t="s">
        <v>35</v>
      </c>
      <c r="AK1" s="22" t="s">
        <v>36</v>
      </c>
      <c r="AL1" s="22" t="s">
        <v>37</v>
      </c>
      <c r="AM1" s="22" t="s">
        <v>38</v>
      </c>
      <c r="AN1" s="22" t="s">
        <v>39</v>
      </c>
      <c r="AO1" s="22" t="s">
        <v>40</v>
      </c>
      <c r="AP1" s="22" t="s">
        <v>41</v>
      </c>
      <c r="AQ1" s="22" t="s">
        <v>42</v>
      </c>
      <c r="AR1" s="22" t="s">
        <v>43</v>
      </c>
      <c r="AS1" s="22" t="s">
        <v>44</v>
      </c>
      <c r="AT1" s="22" t="s">
        <v>45</v>
      </c>
      <c r="AU1" s="22" t="s">
        <v>46</v>
      </c>
      <c r="AV1" s="22" t="s">
        <v>47</v>
      </c>
      <c r="AW1" s="22" t="s">
        <v>48</v>
      </c>
      <c r="AX1" s="22" t="s">
        <v>49</v>
      </c>
      <c r="AY1" s="22" t="s">
        <v>50</v>
      </c>
      <c r="AZ1" s="22" t="s">
        <v>51</v>
      </c>
      <c r="BA1" s="22" t="s">
        <v>52</v>
      </c>
      <c r="BB1" s="22" t="s">
        <v>53</v>
      </c>
      <c r="BC1" s="22" t="s">
        <v>54</v>
      </c>
      <c r="BD1" s="22" t="s">
        <v>55</v>
      </c>
      <c r="BE1" s="22" t="s">
        <v>56</v>
      </c>
      <c r="BF1" s="22" t="s">
        <v>57</v>
      </c>
      <c r="BG1" s="22" t="s">
        <v>58</v>
      </c>
      <c r="BH1" s="22" t="s">
        <v>59</v>
      </c>
      <c r="BI1" s="22" t="s">
        <v>60</v>
      </c>
      <c r="BJ1" s="22" t="s">
        <v>61</v>
      </c>
      <c r="BK1" s="22" t="s">
        <v>62</v>
      </c>
      <c r="BL1" s="22" t="s">
        <v>63</v>
      </c>
      <c r="BM1" s="22" t="s">
        <v>64</v>
      </c>
      <c r="BN1" s="22" t="s">
        <v>65</v>
      </c>
      <c r="BO1" s="22" t="s">
        <v>66</v>
      </c>
      <c r="BP1" s="22" t="s">
        <v>67</v>
      </c>
      <c r="BQ1" s="22" t="s">
        <v>68</v>
      </c>
      <c r="BR1" s="22" t="s">
        <v>69</v>
      </c>
      <c r="BS1" s="22" t="s">
        <v>70</v>
      </c>
      <c r="BT1" s="22" t="s">
        <v>71</v>
      </c>
      <c r="BU1" s="22" t="s">
        <v>72</v>
      </c>
      <c r="BV1" s="22" t="s">
        <v>73</v>
      </c>
      <c r="BW1" s="22" t="s">
        <v>74</v>
      </c>
      <c r="BX1" s="22" t="s">
        <v>75</v>
      </c>
      <c r="BY1" s="22" t="s">
        <v>76</v>
      </c>
      <c r="BZ1" s="22" t="s">
        <v>77</v>
      </c>
      <c r="CA1" s="22" t="s">
        <v>78</v>
      </c>
      <c r="CB1" s="22" t="s">
        <v>79</v>
      </c>
      <c r="CC1" s="22" t="s">
        <v>80</v>
      </c>
      <c r="CD1" s="22" t="s">
        <v>81</v>
      </c>
      <c r="CE1" s="22" t="s">
        <v>82</v>
      </c>
      <c r="CF1" s="22" t="s">
        <v>83</v>
      </c>
      <c r="CG1" s="22" t="s">
        <v>84</v>
      </c>
      <c r="CH1" s="22" t="s">
        <v>85</v>
      </c>
      <c r="CI1" s="22" t="s">
        <v>86</v>
      </c>
    </row>
    <row r="2" spans="1:87">
      <c r="A2" t="s">
        <v>1568</v>
      </c>
      <c r="B2" t="s">
        <v>87</v>
      </c>
      <c r="C2" t="s">
        <v>88</v>
      </c>
      <c r="D2">
        <v>1000000</v>
      </c>
      <c r="E2" t="s">
        <v>89</v>
      </c>
      <c r="F2" t="s">
        <v>90</v>
      </c>
      <c r="G2" s="23" t="s">
        <v>91</v>
      </c>
      <c r="H2">
        <v>134003</v>
      </c>
      <c r="I2">
        <v>161715</v>
      </c>
      <c r="J2">
        <v>192728</v>
      </c>
      <c r="K2">
        <v>211039</v>
      </c>
      <c r="L2">
        <v>215670</v>
      </c>
      <c r="M2">
        <v>241922</v>
      </c>
      <c r="N2">
        <v>262117</v>
      </c>
      <c r="O2">
        <v>277786</v>
      </c>
      <c r="P2">
        <v>292501</v>
      </c>
      <c r="Q2">
        <v>301966</v>
      </c>
      <c r="R2">
        <v>332305</v>
      </c>
      <c r="S2">
        <v>368852</v>
      </c>
      <c r="T2">
        <v>396425</v>
      </c>
      <c r="U2">
        <v>404909</v>
      </c>
      <c r="V2">
        <v>422056</v>
      </c>
      <c r="W2">
        <v>431681</v>
      </c>
      <c r="X2">
        <v>443253</v>
      </c>
      <c r="Y2">
        <v>457910</v>
      </c>
      <c r="Z2">
        <v>473397</v>
      </c>
      <c r="AA2">
        <v>499569</v>
      </c>
      <c r="AB2">
        <v>534604</v>
      </c>
      <c r="AC2">
        <v>582404</v>
      </c>
      <c r="AD2">
        <v>632740</v>
      </c>
      <c r="AE2">
        <v>696067</v>
      </c>
      <c r="AF2">
        <v>767095</v>
      </c>
      <c r="AG2">
        <v>843414</v>
      </c>
      <c r="AH2">
        <v>921543</v>
      </c>
      <c r="AI2">
        <v>998402</v>
      </c>
      <c r="AJ2">
        <v>1124922</v>
      </c>
      <c r="AK2">
        <v>1372197</v>
      </c>
      <c r="AL2">
        <v>1518806</v>
      </c>
      <c r="AM2">
        <v>1666379</v>
      </c>
      <c r="AN2">
        <v>1850996</v>
      </c>
      <c r="AO2">
        <v>2097947</v>
      </c>
      <c r="AP2">
        <v>2414174</v>
      </c>
      <c r="AQ2">
        <v>2766412</v>
      </c>
      <c r="AR2">
        <v>3125662</v>
      </c>
      <c r="AS2">
        <v>3320753</v>
      </c>
      <c r="AT2">
        <v>3415779</v>
      </c>
      <c r="AU2">
        <v>3613436</v>
      </c>
      <c r="AV2">
        <v>3801706</v>
      </c>
      <c r="AW2">
        <v>3959550</v>
      </c>
      <c r="AX2">
        <v>4154782</v>
      </c>
      <c r="AY2">
        <v>4404530</v>
      </c>
      <c r="AZ2">
        <v>4650305</v>
      </c>
      <c r="BA2">
        <v>4905710</v>
      </c>
      <c r="BB2">
        <v>5028761</v>
      </c>
      <c r="BC2">
        <v>5205412</v>
      </c>
      <c r="BD2">
        <v>5454731</v>
      </c>
      <c r="BE2">
        <v>5759417</v>
      </c>
      <c r="BF2">
        <v>6106994</v>
      </c>
      <c r="BG2">
        <v>6431220</v>
      </c>
      <c r="BH2">
        <v>6811806</v>
      </c>
      <c r="BI2">
        <v>7180238</v>
      </c>
      <c r="BJ2">
        <v>7599121</v>
      </c>
      <c r="BK2">
        <v>8137294</v>
      </c>
      <c r="BL2">
        <v>8540555</v>
      </c>
      <c r="BM2">
        <v>8810698</v>
      </c>
      <c r="BN2">
        <v>9081233</v>
      </c>
      <c r="BO2">
        <v>9838424</v>
      </c>
      <c r="BP2">
        <v>10724500</v>
      </c>
      <c r="BQ2">
        <v>11601576</v>
      </c>
      <c r="BR2">
        <v>12248969</v>
      </c>
      <c r="BS2">
        <v>13060202</v>
      </c>
      <c r="BT2">
        <v>12692474</v>
      </c>
      <c r="BU2">
        <v>13078840</v>
      </c>
      <c r="BV2">
        <v>13738373</v>
      </c>
      <c r="BW2">
        <v>14229170</v>
      </c>
      <c r="BX2">
        <v>14783467</v>
      </c>
      <c r="BY2">
        <v>15515241</v>
      </c>
      <c r="BZ2">
        <v>15792585</v>
      </c>
      <c r="CA2">
        <v>16251521</v>
      </c>
      <c r="CB2">
        <v>16888542</v>
      </c>
      <c r="CC2">
        <v>17670680</v>
      </c>
      <c r="CD2">
        <v>18471301</v>
      </c>
      <c r="CE2">
        <v>18843166</v>
      </c>
      <c r="CF2">
        <v>20906670</v>
      </c>
      <c r="CG2">
        <v>23313721</v>
      </c>
      <c r="CH2">
        <v>24166378</v>
      </c>
      <c r="CI2">
        <v>24954909</v>
      </c>
    </row>
    <row r="3" spans="1:87">
      <c r="A3" t="s">
        <v>1455</v>
      </c>
      <c r="B3" t="s">
        <v>100</v>
      </c>
      <c r="C3" t="s">
        <v>88</v>
      </c>
      <c r="D3">
        <v>1000000</v>
      </c>
      <c r="E3" t="s">
        <v>89</v>
      </c>
      <c r="F3" t="s">
        <v>101</v>
      </c>
      <c r="G3" s="23" t="s">
        <v>102</v>
      </c>
      <c r="H3" t="s">
        <v>97</v>
      </c>
      <c r="I3">
        <v>13361</v>
      </c>
      <c r="J3">
        <v>17296</v>
      </c>
      <c r="K3">
        <v>19102</v>
      </c>
      <c r="L3">
        <v>17269</v>
      </c>
      <c r="M3">
        <v>18961</v>
      </c>
      <c r="N3">
        <v>22779</v>
      </c>
      <c r="O3">
        <v>24384</v>
      </c>
      <c r="P3">
        <v>26910</v>
      </c>
      <c r="Q3">
        <v>26662</v>
      </c>
      <c r="R3">
        <v>29403</v>
      </c>
      <c r="S3">
        <v>35688</v>
      </c>
      <c r="T3">
        <v>38576</v>
      </c>
      <c r="U3">
        <v>33721</v>
      </c>
      <c r="V3">
        <v>37278</v>
      </c>
      <c r="W3">
        <v>40431</v>
      </c>
      <c r="X3">
        <v>40444</v>
      </c>
      <c r="Y3">
        <v>43578</v>
      </c>
      <c r="Z3">
        <v>46438</v>
      </c>
      <c r="AA3">
        <v>51851</v>
      </c>
      <c r="AB3">
        <v>61704</v>
      </c>
      <c r="AC3">
        <v>71952</v>
      </c>
      <c r="AD3">
        <v>73874</v>
      </c>
      <c r="AE3">
        <v>80346</v>
      </c>
      <c r="AF3">
        <v>89281</v>
      </c>
      <c r="AG3">
        <v>92336</v>
      </c>
      <c r="AH3">
        <v>95421</v>
      </c>
      <c r="AI3">
        <v>107865</v>
      </c>
      <c r="AJ3">
        <v>125804</v>
      </c>
      <c r="AK3">
        <v>141538</v>
      </c>
      <c r="AL3">
        <v>144183</v>
      </c>
      <c r="AM3">
        <v>161805</v>
      </c>
      <c r="AN3">
        <v>193035</v>
      </c>
      <c r="AO3">
        <v>233472</v>
      </c>
      <c r="AP3">
        <v>274491</v>
      </c>
      <c r="AQ3">
        <v>299969</v>
      </c>
      <c r="AR3">
        <v>343054</v>
      </c>
      <c r="AS3">
        <v>349908</v>
      </c>
      <c r="AT3">
        <v>348271</v>
      </c>
      <c r="AU3">
        <v>405891</v>
      </c>
      <c r="AV3">
        <v>431584</v>
      </c>
      <c r="AW3">
        <v>426903</v>
      </c>
      <c r="AX3">
        <v>422235</v>
      </c>
      <c r="AY3">
        <v>450558</v>
      </c>
      <c r="AZ3">
        <v>489804</v>
      </c>
      <c r="BA3">
        <v>524972</v>
      </c>
      <c r="BB3">
        <v>522908</v>
      </c>
      <c r="BC3">
        <v>543625</v>
      </c>
      <c r="BD3">
        <v>582993</v>
      </c>
      <c r="BE3">
        <v>636979</v>
      </c>
      <c r="BF3">
        <v>719057</v>
      </c>
      <c r="BG3">
        <v>779768</v>
      </c>
      <c r="BH3">
        <v>858482</v>
      </c>
      <c r="BI3">
        <v>915633</v>
      </c>
      <c r="BJ3">
        <v>994652</v>
      </c>
      <c r="BK3">
        <v>1101403</v>
      </c>
      <c r="BL3">
        <v>1065402</v>
      </c>
      <c r="BM3">
        <v>956646</v>
      </c>
      <c r="BN3">
        <v>976342</v>
      </c>
      <c r="BO3">
        <v>1029817</v>
      </c>
      <c r="BP3">
        <v>1156258</v>
      </c>
      <c r="BQ3">
        <v>1287718</v>
      </c>
      <c r="BR3">
        <v>1384599</v>
      </c>
      <c r="BS3">
        <v>1422603</v>
      </c>
      <c r="BT3">
        <v>1201475</v>
      </c>
      <c r="BU3">
        <v>1251054</v>
      </c>
      <c r="BV3">
        <v>1390984</v>
      </c>
      <c r="BW3">
        <v>1543068</v>
      </c>
      <c r="BX3">
        <v>1590872</v>
      </c>
      <c r="BY3">
        <v>1767580</v>
      </c>
      <c r="BZ3">
        <v>1801861</v>
      </c>
      <c r="CA3">
        <v>1826792</v>
      </c>
      <c r="CB3">
        <v>1919803</v>
      </c>
      <c r="CC3">
        <v>2080197</v>
      </c>
      <c r="CD3">
        <v>2127035</v>
      </c>
      <c r="CE3">
        <v>2051296</v>
      </c>
      <c r="CF3">
        <v>2236870</v>
      </c>
      <c r="CG3">
        <v>2548806</v>
      </c>
      <c r="CH3">
        <v>2810202</v>
      </c>
      <c r="CI3">
        <v>2914282</v>
      </c>
    </row>
    <row r="4" spans="1:87">
      <c r="A4" t="s">
        <v>1569</v>
      </c>
      <c r="B4" t="s">
        <v>104</v>
      </c>
      <c r="C4" t="s">
        <v>88</v>
      </c>
      <c r="D4">
        <v>1000000</v>
      </c>
      <c r="E4" t="s">
        <v>89</v>
      </c>
      <c r="F4" t="s">
        <v>105</v>
      </c>
      <c r="G4" s="23" t="s">
        <v>106</v>
      </c>
      <c r="H4" t="s">
        <v>97</v>
      </c>
      <c r="I4">
        <v>7759</v>
      </c>
      <c r="J4">
        <v>9485</v>
      </c>
      <c r="K4">
        <v>11130</v>
      </c>
      <c r="L4">
        <v>12019</v>
      </c>
      <c r="M4">
        <v>12861</v>
      </c>
      <c r="N4">
        <v>14653</v>
      </c>
      <c r="O4">
        <v>15598</v>
      </c>
      <c r="P4">
        <v>16749</v>
      </c>
      <c r="Q4">
        <v>17748</v>
      </c>
      <c r="R4">
        <v>18937</v>
      </c>
      <c r="S4">
        <v>21385</v>
      </c>
      <c r="T4">
        <v>23788</v>
      </c>
      <c r="U4">
        <v>25529</v>
      </c>
      <c r="V4">
        <v>26722</v>
      </c>
      <c r="W4">
        <v>27597</v>
      </c>
      <c r="X4">
        <v>28603</v>
      </c>
      <c r="Y4">
        <v>29863</v>
      </c>
      <c r="Z4">
        <v>31380</v>
      </c>
      <c r="AA4">
        <v>33298</v>
      </c>
      <c r="AB4">
        <v>35882</v>
      </c>
      <c r="AC4">
        <v>39454</v>
      </c>
      <c r="AD4">
        <v>43526</v>
      </c>
      <c r="AE4">
        <v>48177</v>
      </c>
      <c r="AF4">
        <v>53585</v>
      </c>
      <c r="AG4">
        <v>59376</v>
      </c>
      <c r="AH4">
        <v>64871</v>
      </c>
      <c r="AI4">
        <v>70349</v>
      </c>
      <c r="AJ4">
        <v>78370</v>
      </c>
      <c r="AK4">
        <v>91609</v>
      </c>
      <c r="AL4">
        <v>107974</v>
      </c>
      <c r="AM4">
        <v>118530</v>
      </c>
      <c r="AN4">
        <v>132826</v>
      </c>
      <c r="AO4">
        <v>150435</v>
      </c>
      <c r="AP4">
        <v>172753</v>
      </c>
      <c r="AQ4">
        <v>199206</v>
      </c>
      <c r="AR4">
        <v>229468</v>
      </c>
      <c r="AS4">
        <v>254302</v>
      </c>
      <c r="AT4">
        <v>265069</v>
      </c>
      <c r="AU4">
        <v>279453</v>
      </c>
      <c r="AV4">
        <v>299499</v>
      </c>
      <c r="AW4">
        <v>318424</v>
      </c>
      <c r="AX4">
        <v>335309</v>
      </c>
      <c r="AY4">
        <v>358874</v>
      </c>
      <c r="AZ4">
        <v>380877</v>
      </c>
      <c r="BA4">
        <v>403383</v>
      </c>
      <c r="BB4">
        <v>424348</v>
      </c>
      <c r="BC4">
        <v>437048</v>
      </c>
      <c r="BD4">
        <v>456668</v>
      </c>
      <c r="BE4">
        <v>483213</v>
      </c>
      <c r="BF4">
        <v>521779</v>
      </c>
      <c r="BG4">
        <v>555194</v>
      </c>
      <c r="BH4">
        <v>595775</v>
      </c>
      <c r="BI4">
        <v>635467</v>
      </c>
      <c r="BJ4">
        <v>680702</v>
      </c>
      <c r="BK4">
        <v>739330</v>
      </c>
      <c r="BL4">
        <v>783516</v>
      </c>
      <c r="BM4">
        <v>805023</v>
      </c>
      <c r="BN4">
        <v>818192</v>
      </c>
      <c r="BO4">
        <v>851953</v>
      </c>
      <c r="BP4">
        <v>913611</v>
      </c>
      <c r="BQ4">
        <v>984446</v>
      </c>
      <c r="BR4">
        <v>1047220</v>
      </c>
      <c r="BS4">
        <v>1108750</v>
      </c>
      <c r="BT4">
        <v>1114627</v>
      </c>
      <c r="BU4">
        <v>1123496</v>
      </c>
      <c r="BV4">
        <v>1173464</v>
      </c>
      <c r="BW4">
        <v>1234809</v>
      </c>
      <c r="BX4">
        <v>1282796</v>
      </c>
      <c r="BY4">
        <v>1352680</v>
      </c>
      <c r="BZ4">
        <v>1408264</v>
      </c>
      <c r="CA4">
        <v>1441019</v>
      </c>
      <c r="CB4">
        <v>1509413</v>
      </c>
      <c r="CC4">
        <v>1582147</v>
      </c>
      <c r="CD4">
        <v>1664697</v>
      </c>
      <c r="CE4">
        <v>1728115</v>
      </c>
      <c r="CF4">
        <v>1815454</v>
      </c>
      <c r="CG4">
        <v>2010486</v>
      </c>
      <c r="CH4">
        <v>2154291</v>
      </c>
      <c r="CI4">
        <v>2274356</v>
      </c>
    </row>
    <row r="5" spans="1:87">
      <c r="A5" t="s">
        <v>1570</v>
      </c>
      <c r="B5" t="s">
        <v>87</v>
      </c>
      <c r="C5" t="s">
        <v>88</v>
      </c>
      <c r="D5">
        <v>1000000</v>
      </c>
      <c r="E5" t="s">
        <v>89</v>
      </c>
      <c r="F5" t="s">
        <v>95</v>
      </c>
      <c r="G5" s="23" t="s">
        <v>96</v>
      </c>
      <c r="H5" t="s">
        <v>97</v>
      </c>
      <c r="I5">
        <v>22110</v>
      </c>
      <c r="J5">
        <v>23202</v>
      </c>
      <c r="K5">
        <v>10339</v>
      </c>
      <c r="L5">
        <v>-619</v>
      </c>
      <c r="M5">
        <v>20152</v>
      </c>
      <c r="N5">
        <v>12069</v>
      </c>
      <c r="O5">
        <v>6883</v>
      </c>
      <c r="P5">
        <v>4554</v>
      </c>
      <c r="Q5">
        <v>551</v>
      </c>
      <c r="R5">
        <v>19873</v>
      </c>
      <c r="S5">
        <v>22244</v>
      </c>
      <c r="T5">
        <v>12785</v>
      </c>
      <c r="U5">
        <v>292</v>
      </c>
      <c r="V5">
        <v>6591</v>
      </c>
      <c r="W5">
        <v>-3209</v>
      </c>
      <c r="X5">
        <v>-269</v>
      </c>
      <c r="Y5">
        <v>942</v>
      </c>
      <c r="Z5">
        <v>429</v>
      </c>
      <c r="AA5">
        <v>7619</v>
      </c>
      <c r="AB5">
        <v>9213</v>
      </c>
      <c r="AC5">
        <v>15302</v>
      </c>
      <c r="AD5">
        <v>19988</v>
      </c>
      <c r="AE5">
        <v>31158</v>
      </c>
      <c r="AF5">
        <v>35332</v>
      </c>
      <c r="AG5">
        <v>43359</v>
      </c>
      <c r="AH5">
        <v>47579</v>
      </c>
      <c r="AI5">
        <v>39464</v>
      </c>
      <c r="AJ5">
        <v>79124</v>
      </c>
      <c r="AK5">
        <v>197359</v>
      </c>
      <c r="AL5">
        <v>110400</v>
      </c>
      <c r="AM5">
        <v>104319</v>
      </c>
      <c r="AN5">
        <v>124459</v>
      </c>
      <c r="AO5">
        <v>163914</v>
      </c>
      <c r="AP5">
        <v>214568</v>
      </c>
      <c r="AQ5">
        <v>251475</v>
      </c>
      <c r="AR5">
        <v>245664</v>
      </c>
      <c r="AS5">
        <v>99487</v>
      </c>
      <c r="AT5">
        <v>11843</v>
      </c>
      <c r="AU5">
        <v>71219</v>
      </c>
      <c r="AV5">
        <v>56186</v>
      </c>
      <c r="AW5">
        <v>49365</v>
      </c>
      <c r="AX5">
        <v>108306</v>
      </c>
      <c r="AY5">
        <v>158064</v>
      </c>
      <c r="AZ5">
        <v>138104</v>
      </c>
      <c r="BA5">
        <v>133816</v>
      </c>
      <c r="BB5">
        <v>24491</v>
      </c>
      <c r="BC5">
        <v>72449</v>
      </c>
      <c r="BD5">
        <v>124101</v>
      </c>
      <c r="BE5">
        <v>152522</v>
      </c>
      <c r="BF5">
        <v>150467</v>
      </c>
      <c r="BG5">
        <v>99652</v>
      </c>
      <c r="BH5">
        <v>117879</v>
      </c>
      <c r="BI5">
        <v>88266</v>
      </c>
      <c r="BJ5">
        <v>105337</v>
      </c>
      <c r="BK5">
        <v>176100</v>
      </c>
      <c r="BL5">
        <v>124959</v>
      </c>
      <c r="BM5">
        <v>118520</v>
      </c>
      <c r="BN5">
        <v>112385</v>
      </c>
      <c r="BO5">
        <v>583692</v>
      </c>
      <c r="BP5">
        <v>652245</v>
      </c>
      <c r="BQ5">
        <v>573804</v>
      </c>
      <c r="BR5">
        <v>310014</v>
      </c>
      <c r="BS5">
        <v>498794</v>
      </c>
      <c r="BT5">
        <v>-454576</v>
      </c>
      <c r="BU5">
        <v>258808</v>
      </c>
      <c r="BV5">
        <v>442013</v>
      </c>
      <c r="BW5">
        <v>184938</v>
      </c>
      <c r="BX5">
        <v>246221</v>
      </c>
      <c r="BY5">
        <v>316874</v>
      </c>
      <c r="BZ5">
        <v>-116253</v>
      </c>
      <c r="CA5">
        <v>73163</v>
      </c>
      <c r="CB5">
        <v>232187</v>
      </c>
      <c r="CC5">
        <v>286130</v>
      </c>
      <c r="CD5">
        <v>338284</v>
      </c>
      <c r="CE5">
        <v>48684</v>
      </c>
      <c r="CF5">
        <v>1649262</v>
      </c>
      <c r="CG5">
        <v>1872865</v>
      </c>
      <c r="CH5">
        <v>196746</v>
      </c>
      <c r="CI5">
        <v>150559</v>
      </c>
    </row>
    <row r="6" spans="1:87">
      <c r="A6" t="s">
        <v>1571</v>
      </c>
      <c r="B6" t="s">
        <v>1572</v>
      </c>
      <c r="I6">
        <f>I2-H2-I3+I4-I5</f>
        <v>0</v>
      </c>
      <c r="J6">
        <f t="shared" ref="J6:BU6" si="0">J2-I2-J3+J4-J5</f>
        <v>0</v>
      </c>
      <c r="K6">
        <f t="shared" si="0"/>
        <v>0</v>
      </c>
      <c r="L6">
        <f t="shared" si="0"/>
        <v>0</v>
      </c>
      <c r="M6">
        <f t="shared" si="0"/>
        <v>0</v>
      </c>
      <c r="N6">
        <f t="shared" si="0"/>
        <v>0</v>
      </c>
      <c r="O6">
        <f t="shared" si="0"/>
        <v>0</v>
      </c>
      <c r="P6">
        <f t="shared" si="0"/>
        <v>0</v>
      </c>
      <c r="Q6">
        <f t="shared" si="0"/>
        <v>0</v>
      </c>
      <c r="R6">
        <f t="shared" si="0"/>
        <v>0</v>
      </c>
      <c r="S6">
        <f t="shared" si="0"/>
        <v>0</v>
      </c>
      <c r="T6">
        <f t="shared" si="0"/>
        <v>0</v>
      </c>
      <c r="U6">
        <f t="shared" si="0"/>
        <v>0</v>
      </c>
      <c r="V6">
        <f t="shared" si="0"/>
        <v>0</v>
      </c>
      <c r="W6">
        <f t="shared" si="0"/>
        <v>0</v>
      </c>
      <c r="X6">
        <f t="shared" si="0"/>
        <v>0</v>
      </c>
      <c r="Y6">
        <f t="shared" si="0"/>
        <v>0</v>
      </c>
      <c r="Z6">
        <f t="shared" si="0"/>
        <v>0</v>
      </c>
      <c r="AA6">
        <f t="shared" si="0"/>
        <v>0</v>
      </c>
      <c r="AB6">
        <f t="shared" si="0"/>
        <v>0</v>
      </c>
      <c r="AC6">
        <f t="shared" si="0"/>
        <v>0</v>
      </c>
      <c r="AD6">
        <f t="shared" si="0"/>
        <v>0</v>
      </c>
      <c r="AE6">
        <f t="shared" si="0"/>
        <v>0</v>
      </c>
      <c r="AF6">
        <f t="shared" si="0"/>
        <v>0</v>
      </c>
      <c r="AG6">
        <f t="shared" si="0"/>
        <v>0</v>
      </c>
      <c r="AH6">
        <f t="shared" si="0"/>
        <v>0</v>
      </c>
      <c r="AI6">
        <f t="shared" si="0"/>
        <v>-121</v>
      </c>
      <c r="AJ6">
        <f t="shared" si="0"/>
        <v>-38</v>
      </c>
      <c r="AK6">
        <f t="shared" si="0"/>
        <v>-13</v>
      </c>
      <c r="AL6">
        <f t="shared" si="0"/>
        <v>0</v>
      </c>
      <c r="AM6">
        <f t="shared" si="0"/>
        <v>-21</v>
      </c>
      <c r="AN6">
        <f t="shared" si="0"/>
        <v>-51</v>
      </c>
      <c r="AO6">
        <f t="shared" si="0"/>
        <v>0</v>
      </c>
      <c r="AP6">
        <f t="shared" si="0"/>
        <v>-79</v>
      </c>
      <c r="AQ6">
        <f t="shared" si="0"/>
        <v>0</v>
      </c>
      <c r="AR6">
        <f t="shared" si="0"/>
        <v>0</v>
      </c>
      <c r="AS6">
        <f t="shared" si="0"/>
        <v>-2</v>
      </c>
      <c r="AT6">
        <f t="shared" si="0"/>
        <v>-19</v>
      </c>
      <c r="AU6">
        <f t="shared" si="0"/>
        <v>0</v>
      </c>
      <c r="AV6">
        <f t="shared" si="0"/>
        <v>-1</v>
      </c>
      <c r="AW6">
        <f t="shared" si="0"/>
        <v>0</v>
      </c>
      <c r="AX6">
        <f t="shared" si="0"/>
        <v>0</v>
      </c>
      <c r="AY6">
        <f t="shared" si="0"/>
        <v>0</v>
      </c>
      <c r="AZ6">
        <f t="shared" si="0"/>
        <v>-1256</v>
      </c>
      <c r="BA6">
        <f t="shared" si="0"/>
        <v>0</v>
      </c>
      <c r="BB6">
        <f t="shared" si="0"/>
        <v>0</v>
      </c>
      <c r="BC6">
        <f t="shared" si="0"/>
        <v>-2375</v>
      </c>
      <c r="BD6">
        <f t="shared" si="0"/>
        <v>-1107</v>
      </c>
      <c r="BE6">
        <f t="shared" si="0"/>
        <v>-1602</v>
      </c>
      <c r="BF6">
        <f t="shared" si="0"/>
        <v>-168</v>
      </c>
      <c r="BG6">
        <f t="shared" si="0"/>
        <v>0</v>
      </c>
      <c r="BH6">
        <f t="shared" si="0"/>
        <v>0</v>
      </c>
      <c r="BI6">
        <f t="shared" si="0"/>
        <v>0</v>
      </c>
      <c r="BJ6">
        <f t="shared" si="0"/>
        <v>-404</v>
      </c>
      <c r="BK6">
        <f t="shared" si="0"/>
        <v>0</v>
      </c>
      <c r="BL6">
        <f t="shared" si="0"/>
        <v>-3584</v>
      </c>
      <c r="BM6">
        <f t="shared" si="0"/>
        <v>0</v>
      </c>
      <c r="BN6">
        <f t="shared" si="0"/>
        <v>0</v>
      </c>
      <c r="BO6">
        <f t="shared" si="0"/>
        <v>-4365</v>
      </c>
      <c r="BP6">
        <f t="shared" si="0"/>
        <v>-8816</v>
      </c>
      <c r="BQ6">
        <f t="shared" si="0"/>
        <v>0</v>
      </c>
      <c r="BR6">
        <f t="shared" si="0"/>
        <v>0</v>
      </c>
      <c r="BS6">
        <f t="shared" si="0"/>
        <v>-1414</v>
      </c>
      <c r="BT6">
        <f t="shared" si="0"/>
        <v>0</v>
      </c>
      <c r="BU6">
        <f t="shared" si="0"/>
        <v>0</v>
      </c>
      <c r="BV6">
        <f t="shared" ref="BV6:CI6" si="1">BV2-BU2-BV3+BV4-BV5</f>
        <v>0</v>
      </c>
      <c r="BW6">
        <f t="shared" si="1"/>
        <v>-2400</v>
      </c>
      <c r="BX6">
        <f t="shared" si="1"/>
        <v>0</v>
      </c>
      <c r="BY6">
        <f t="shared" si="1"/>
        <v>0</v>
      </c>
      <c r="BZ6">
        <f t="shared" si="1"/>
        <v>0</v>
      </c>
      <c r="CA6">
        <f t="shared" si="1"/>
        <v>0</v>
      </c>
      <c r="CB6">
        <f t="shared" si="1"/>
        <v>-5556</v>
      </c>
      <c r="CC6">
        <f t="shared" si="1"/>
        <v>-2042</v>
      </c>
      <c r="CD6">
        <f t="shared" si="1"/>
        <v>-1</v>
      </c>
      <c r="CE6">
        <f t="shared" si="1"/>
        <v>0</v>
      </c>
      <c r="CF6">
        <f t="shared" si="1"/>
        <v>-7174</v>
      </c>
      <c r="CG6">
        <f t="shared" si="1"/>
        <v>-4134</v>
      </c>
      <c r="CH6">
        <f t="shared" si="1"/>
        <v>0</v>
      </c>
      <c r="CI6">
        <f t="shared" si="1"/>
        <v>-1954</v>
      </c>
    </row>
    <row r="8" spans="1:87">
      <c r="A8" t="s">
        <v>1573</v>
      </c>
    </row>
    <row r="9" spans="1:87">
      <c r="A9" t="s">
        <v>1568</v>
      </c>
      <c r="B9" t="s">
        <v>92</v>
      </c>
      <c r="C9" t="s">
        <v>88</v>
      </c>
      <c r="D9">
        <v>1000000</v>
      </c>
      <c r="E9" t="s">
        <v>89</v>
      </c>
      <c r="F9" t="s">
        <v>93</v>
      </c>
      <c r="G9" s="23" t="s">
        <v>94</v>
      </c>
      <c r="H9">
        <v>5205</v>
      </c>
      <c r="I9">
        <v>6641</v>
      </c>
      <c r="J9">
        <v>7970</v>
      </c>
      <c r="K9">
        <v>8603</v>
      </c>
      <c r="L9">
        <v>8008</v>
      </c>
      <c r="M9">
        <v>8935</v>
      </c>
      <c r="N9">
        <v>10342</v>
      </c>
      <c r="O9">
        <v>10746</v>
      </c>
      <c r="P9">
        <v>10935</v>
      </c>
      <c r="Q9">
        <v>10875</v>
      </c>
      <c r="R9">
        <v>12073</v>
      </c>
      <c r="S9">
        <v>13814</v>
      </c>
      <c r="T9">
        <v>14681</v>
      </c>
      <c r="U9">
        <v>15095</v>
      </c>
      <c r="V9">
        <v>15761</v>
      </c>
      <c r="W9">
        <v>16371</v>
      </c>
      <c r="X9">
        <v>17273</v>
      </c>
      <c r="Y9">
        <v>18427</v>
      </c>
      <c r="Z9">
        <v>19459</v>
      </c>
      <c r="AA9">
        <v>21404</v>
      </c>
      <c r="AB9">
        <v>23477</v>
      </c>
      <c r="AC9">
        <v>25888</v>
      </c>
      <c r="AD9">
        <v>28481</v>
      </c>
      <c r="AE9">
        <v>32723</v>
      </c>
      <c r="AF9">
        <v>37259</v>
      </c>
      <c r="AG9">
        <v>41806</v>
      </c>
      <c r="AH9">
        <v>47679</v>
      </c>
      <c r="AI9">
        <v>53508</v>
      </c>
      <c r="AJ9">
        <v>61981</v>
      </c>
      <c r="AK9">
        <v>77140</v>
      </c>
      <c r="AL9">
        <v>86925</v>
      </c>
      <c r="AM9">
        <v>97592</v>
      </c>
      <c r="AN9">
        <v>110826</v>
      </c>
      <c r="AO9">
        <v>129100</v>
      </c>
      <c r="AP9">
        <v>155934</v>
      </c>
      <c r="AQ9">
        <v>187104</v>
      </c>
      <c r="AR9">
        <v>219440</v>
      </c>
      <c r="AS9">
        <v>248677</v>
      </c>
      <c r="AT9">
        <v>274071</v>
      </c>
      <c r="AU9">
        <v>308847</v>
      </c>
      <c r="AV9">
        <v>348253</v>
      </c>
      <c r="AW9">
        <v>393843</v>
      </c>
      <c r="AX9">
        <v>436939</v>
      </c>
      <c r="AY9">
        <v>485612</v>
      </c>
      <c r="AZ9">
        <v>536959</v>
      </c>
      <c r="BA9">
        <v>581721</v>
      </c>
      <c r="BB9">
        <v>603264</v>
      </c>
      <c r="BC9">
        <v>628236</v>
      </c>
      <c r="BD9">
        <v>663261</v>
      </c>
      <c r="BE9">
        <v>707646</v>
      </c>
      <c r="BF9">
        <v>740958</v>
      </c>
      <c r="BG9">
        <v>777003</v>
      </c>
      <c r="BH9">
        <v>820370</v>
      </c>
      <c r="BI9">
        <v>883585</v>
      </c>
      <c r="BJ9">
        <v>954468</v>
      </c>
      <c r="BK9">
        <v>1019061</v>
      </c>
      <c r="BL9">
        <v>1058635</v>
      </c>
      <c r="BM9">
        <v>1091918</v>
      </c>
      <c r="BN9">
        <v>1119061</v>
      </c>
      <c r="BO9">
        <v>1208042</v>
      </c>
      <c r="BP9">
        <v>1297166</v>
      </c>
      <c r="BQ9">
        <v>1386483</v>
      </c>
      <c r="BR9">
        <v>1452616</v>
      </c>
      <c r="BS9">
        <v>1522931</v>
      </c>
      <c r="BT9">
        <v>1457558</v>
      </c>
      <c r="BU9">
        <v>1448900</v>
      </c>
      <c r="BV9">
        <v>1489432</v>
      </c>
      <c r="BW9">
        <v>1518382</v>
      </c>
      <c r="BX9">
        <v>1560628</v>
      </c>
      <c r="BY9">
        <v>1604327</v>
      </c>
      <c r="BZ9">
        <v>1651594</v>
      </c>
      <c r="CA9">
        <v>1702631</v>
      </c>
      <c r="CB9">
        <v>1756682</v>
      </c>
      <c r="CC9">
        <v>1845520</v>
      </c>
      <c r="CD9">
        <v>1936763</v>
      </c>
      <c r="CE9">
        <v>1984392</v>
      </c>
      <c r="CF9">
        <v>2232998</v>
      </c>
      <c r="CG9">
        <v>2512840</v>
      </c>
      <c r="CH9">
        <v>2557957</v>
      </c>
      <c r="CI9">
        <v>2648592</v>
      </c>
    </row>
    <row r="10" spans="1:87">
      <c r="A10" t="s">
        <v>1574</v>
      </c>
      <c r="B10" t="s">
        <v>107</v>
      </c>
      <c r="C10" t="s">
        <v>88</v>
      </c>
      <c r="D10">
        <v>1000000</v>
      </c>
      <c r="E10" t="s">
        <v>89</v>
      </c>
      <c r="F10" t="s">
        <v>108</v>
      </c>
      <c r="G10" s="23" t="s">
        <v>109</v>
      </c>
      <c r="H10" t="s">
        <v>97</v>
      </c>
      <c r="I10">
        <v>540</v>
      </c>
      <c r="J10">
        <v>621</v>
      </c>
      <c r="K10">
        <v>705</v>
      </c>
      <c r="L10">
        <v>747</v>
      </c>
      <c r="M10">
        <v>835</v>
      </c>
      <c r="N10">
        <v>979</v>
      </c>
      <c r="O10">
        <v>910</v>
      </c>
      <c r="P10">
        <v>1178</v>
      </c>
      <c r="Q10">
        <v>1203</v>
      </c>
      <c r="R10">
        <v>1537</v>
      </c>
      <c r="S10">
        <v>1666</v>
      </c>
      <c r="T10">
        <v>1706</v>
      </c>
      <c r="U10">
        <v>1631</v>
      </c>
      <c r="V10">
        <v>1815</v>
      </c>
      <c r="W10">
        <v>2045</v>
      </c>
      <c r="X10">
        <v>2038</v>
      </c>
      <c r="Y10">
        <v>2293</v>
      </c>
      <c r="Z10">
        <v>2263</v>
      </c>
      <c r="AA10">
        <v>2943</v>
      </c>
      <c r="AB10">
        <v>3474</v>
      </c>
      <c r="AC10">
        <v>3626</v>
      </c>
      <c r="AD10">
        <v>3978</v>
      </c>
      <c r="AE10">
        <v>5126</v>
      </c>
      <c r="AF10">
        <v>5534</v>
      </c>
      <c r="AG10">
        <v>5786</v>
      </c>
      <c r="AH10">
        <v>6842</v>
      </c>
      <c r="AI10">
        <v>7309</v>
      </c>
      <c r="AJ10">
        <v>9612</v>
      </c>
      <c r="AK10">
        <v>11950</v>
      </c>
      <c r="AL10">
        <v>12923</v>
      </c>
      <c r="AM10">
        <v>14105</v>
      </c>
      <c r="AN10">
        <v>15736</v>
      </c>
      <c r="AO10">
        <v>20435</v>
      </c>
      <c r="AP10">
        <v>26002</v>
      </c>
      <c r="AQ10">
        <v>31633</v>
      </c>
      <c r="AR10">
        <v>37510</v>
      </c>
      <c r="AS10">
        <v>41342</v>
      </c>
      <c r="AT10">
        <v>45815</v>
      </c>
      <c r="AU10">
        <v>55850</v>
      </c>
      <c r="AV10">
        <v>64130</v>
      </c>
      <c r="AW10">
        <v>69944</v>
      </c>
      <c r="AX10">
        <v>72912</v>
      </c>
      <c r="AY10">
        <v>80344</v>
      </c>
      <c r="AZ10">
        <v>89580</v>
      </c>
      <c r="BA10">
        <v>87889</v>
      </c>
      <c r="BB10">
        <v>80576</v>
      </c>
      <c r="BC10">
        <v>80613</v>
      </c>
      <c r="BD10">
        <v>88380</v>
      </c>
      <c r="BE10">
        <v>96119</v>
      </c>
      <c r="BF10">
        <v>98229</v>
      </c>
      <c r="BG10">
        <v>109546</v>
      </c>
      <c r="BH10">
        <v>116162</v>
      </c>
      <c r="BI10">
        <v>139972</v>
      </c>
      <c r="BJ10">
        <v>153838</v>
      </c>
      <c r="BK10">
        <v>156857</v>
      </c>
      <c r="BL10">
        <v>151426</v>
      </c>
      <c r="BM10">
        <v>144412</v>
      </c>
      <c r="BN10">
        <v>143295</v>
      </c>
      <c r="BO10">
        <v>164517</v>
      </c>
      <c r="BP10">
        <v>169291</v>
      </c>
      <c r="BQ10">
        <v>175965</v>
      </c>
      <c r="BR10">
        <v>198114</v>
      </c>
      <c r="BS10">
        <v>181022</v>
      </c>
      <c r="BT10">
        <v>147686</v>
      </c>
      <c r="BU10">
        <v>153492</v>
      </c>
      <c r="BV10">
        <v>168104</v>
      </c>
      <c r="BW10">
        <v>193222</v>
      </c>
      <c r="BX10">
        <v>194426</v>
      </c>
      <c r="BY10">
        <v>207539</v>
      </c>
      <c r="BZ10">
        <v>228690</v>
      </c>
      <c r="CA10">
        <v>244084</v>
      </c>
      <c r="CB10">
        <v>247513</v>
      </c>
      <c r="CC10">
        <v>266701</v>
      </c>
      <c r="CD10">
        <v>301336</v>
      </c>
      <c r="CE10">
        <v>284977</v>
      </c>
      <c r="CF10">
        <v>302552</v>
      </c>
      <c r="CG10">
        <v>318288</v>
      </c>
      <c r="CH10">
        <v>359300</v>
      </c>
      <c r="CI10">
        <v>394000</v>
      </c>
    </row>
    <row r="11" spans="1:87">
      <c r="A11" t="s">
        <v>1575</v>
      </c>
      <c r="B11" t="s">
        <v>110</v>
      </c>
      <c r="C11" t="s">
        <v>88</v>
      </c>
      <c r="D11">
        <v>1000000</v>
      </c>
      <c r="E11" t="s">
        <v>89</v>
      </c>
      <c r="F11" t="s">
        <v>111</v>
      </c>
      <c r="G11" s="23" t="s">
        <v>112</v>
      </c>
      <c r="H11" t="s">
        <v>97</v>
      </c>
      <c r="I11">
        <v>-7</v>
      </c>
      <c r="J11">
        <v>-19</v>
      </c>
      <c r="K11">
        <v>-14</v>
      </c>
      <c r="L11">
        <v>-17</v>
      </c>
      <c r="M11">
        <v>-23</v>
      </c>
      <c r="N11">
        <v>-26</v>
      </c>
      <c r="O11">
        <v>-16</v>
      </c>
      <c r="P11">
        <v>-18</v>
      </c>
      <c r="Q11">
        <v>-16</v>
      </c>
      <c r="R11">
        <v>-15</v>
      </c>
      <c r="S11">
        <v>-15</v>
      </c>
      <c r="T11">
        <v>-20</v>
      </c>
      <c r="U11">
        <v>-23</v>
      </c>
      <c r="V11">
        <v>-28</v>
      </c>
      <c r="W11">
        <v>-31</v>
      </c>
      <c r="X11">
        <v>-33</v>
      </c>
      <c r="Y11">
        <v>-24</v>
      </c>
      <c r="Z11">
        <v>-27</v>
      </c>
      <c r="AA11">
        <v>-42</v>
      </c>
      <c r="AB11">
        <v>-49</v>
      </c>
      <c r="AC11">
        <v>-54</v>
      </c>
      <c r="AD11">
        <v>-65</v>
      </c>
      <c r="AE11">
        <v>-75</v>
      </c>
      <c r="AF11">
        <v>-92</v>
      </c>
      <c r="AG11">
        <v>-103</v>
      </c>
      <c r="AH11">
        <v>-119</v>
      </c>
      <c r="AI11">
        <v>-138</v>
      </c>
      <c r="AJ11">
        <v>-167</v>
      </c>
      <c r="AK11">
        <v>-204</v>
      </c>
      <c r="AL11">
        <v>-228</v>
      </c>
      <c r="AM11">
        <v>-239</v>
      </c>
      <c r="AN11">
        <v>-257</v>
      </c>
      <c r="AO11">
        <v>-271</v>
      </c>
      <c r="AP11">
        <v>-286</v>
      </c>
      <c r="AQ11">
        <v>-333</v>
      </c>
      <c r="AR11">
        <v>-363</v>
      </c>
      <c r="AS11">
        <v>-403</v>
      </c>
      <c r="AT11">
        <v>-439</v>
      </c>
      <c r="AU11">
        <v>-483</v>
      </c>
      <c r="AV11">
        <v>-507</v>
      </c>
      <c r="AW11">
        <v>-532</v>
      </c>
      <c r="AX11">
        <v>-600</v>
      </c>
      <c r="AY11">
        <v>-652</v>
      </c>
      <c r="AZ11">
        <v>-691</v>
      </c>
      <c r="BA11">
        <v>-729</v>
      </c>
      <c r="BB11">
        <v>-762</v>
      </c>
      <c r="BC11">
        <v>-769</v>
      </c>
      <c r="BD11">
        <v>-799</v>
      </c>
      <c r="BE11">
        <v>-843</v>
      </c>
      <c r="BF11">
        <v>-917</v>
      </c>
      <c r="BG11">
        <v>-999</v>
      </c>
      <c r="BH11">
        <v>-1138</v>
      </c>
      <c r="BI11">
        <v>-1349</v>
      </c>
      <c r="BJ11">
        <v>-1612</v>
      </c>
      <c r="BK11">
        <v>-1848</v>
      </c>
      <c r="BL11">
        <v>-2026</v>
      </c>
      <c r="BM11">
        <v>27</v>
      </c>
      <c r="BN11">
        <v>31</v>
      </c>
      <c r="BO11">
        <v>26</v>
      </c>
      <c r="BP11">
        <v>27</v>
      </c>
      <c r="BQ11">
        <v>30</v>
      </c>
      <c r="BR11">
        <v>19</v>
      </c>
      <c r="BS11">
        <v>20</v>
      </c>
      <c r="BT11">
        <v>32</v>
      </c>
      <c r="BU11">
        <v>26</v>
      </c>
      <c r="BV11">
        <v>20</v>
      </c>
      <c r="BW11">
        <v>26</v>
      </c>
      <c r="BX11">
        <v>28</v>
      </c>
      <c r="BY11">
        <v>20</v>
      </c>
      <c r="BZ11">
        <v>29</v>
      </c>
      <c r="CA11">
        <v>-1</v>
      </c>
      <c r="CB11">
        <v>-1</v>
      </c>
      <c r="CC11">
        <v>0</v>
      </c>
      <c r="CD11">
        <v>-2</v>
      </c>
      <c r="CE11">
        <v>0</v>
      </c>
      <c r="CF11">
        <v>-2</v>
      </c>
      <c r="CG11">
        <v>1</v>
      </c>
      <c r="CH11">
        <v>1</v>
      </c>
      <c r="CI11">
        <v>1</v>
      </c>
    </row>
    <row r="12" spans="1:87">
      <c r="A12" t="s">
        <v>1576</v>
      </c>
      <c r="B12" t="s">
        <v>1572</v>
      </c>
      <c r="I12">
        <f>I10-I11</f>
        <v>547</v>
      </c>
      <c r="J12">
        <f t="shared" ref="J12:BU12" si="2">J10-J11</f>
        <v>640</v>
      </c>
      <c r="K12">
        <f t="shared" si="2"/>
        <v>719</v>
      </c>
      <c r="L12">
        <f t="shared" si="2"/>
        <v>764</v>
      </c>
      <c r="M12">
        <f t="shared" si="2"/>
        <v>858</v>
      </c>
      <c r="N12">
        <f t="shared" si="2"/>
        <v>1005</v>
      </c>
      <c r="O12">
        <f t="shared" si="2"/>
        <v>926</v>
      </c>
      <c r="P12">
        <f t="shared" si="2"/>
        <v>1196</v>
      </c>
      <c r="Q12">
        <f t="shared" si="2"/>
        <v>1219</v>
      </c>
      <c r="R12">
        <f t="shared" si="2"/>
        <v>1552</v>
      </c>
      <c r="S12">
        <f t="shared" si="2"/>
        <v>1681</v>
      </c>
      <c r="T12">
        <f t="shared" si="2"/>
        <v>1726</v>
      </c>
      <c r="U12">
        <f t="shared" si="2"/>
        <v>1654</v>
      </c>
      <c r="V12">
        <f t="shared" si="2"/>
        <v>1843</v>
      </c>
      <c r="W12">
        <f t="shared" si="2"/>
        <v>2076</v>
      </c>
      <c r="X12">
        <f t="shared" si="2"/>
        <v>2071</v>
      </c>
      <c r="Y12">
        <f t="shared" si="2"/>
        <v>2317</v>
      </c>
      <c r="Z12">
        <f t="shared" si="2"/>
        <v>2290</v>
      </c>
      <c r="AA12">
        <f t="shared" si="2"/>
        <v>2985</v>
      </c>
      <c r="AB12">
        <f t="shared" si="2"/>
        <v>3523</v>
      </c>
      <c r="AC12">
        <f t="shared" si="2"/>
        <v>3680</v>
      </c>
      <c r="AD12">
        <f t="shared" si="2"/>
        <v>4043</v>
      </c>
      <c r="AE12">
        <f t="shared" si="2"/>
        <v>5201</v>
      </c>
      <c r="AF12">
        <f t="shared" si="2"/>
        <v>5626</v>
      </c>
      <c r="AG12">
        <f t="shared" si="2"/>
        <v>5889</v>
      </c>
      <c r="AH12">
        <f t="shared" si="2"/>
        <v>6961</v>
      </c>
      <c r="AI12">
        <f t="shared" si="2"/>
        <v>7447</v>
      </c>
      <c r="AJ12">
        <f t="shared" si="2"/>
        <v>9779</v>
      </c>
      <c r="AK12">
        <f t="shared" si="2"/>
        <v>12154</v>
      </c>
      <c r="AL12">
        <f t="shared" si="2"/>
        <v>13151</v>
      </c>
      <c r="AM12">
        <f t="shared" si="2"/>
        <v>14344</v>
      </c>
      <c r="AN12">
        <f t="shared" si="2"/>
        <v>15993</v>
      </c>
      <c r="AO12">
        <f t="shared" si="2"/>
        <v>20706</v>
      </c>
      <c r="AP12">
        <f t="shared" si="2"/>
        <v>26288</v>
      </c>
      <c r="AQ12">
        <f t="shared" si="2"/>
        <v>31966</v>
      </c>
      <c r="AR12">
        <f t="shared" si="2"/>
        <v>37873</v>
      </c>
      <c r="AS12">
        <f t="shared" si="2"/>
        <v>41745</v>
      </c>
      <c r="AT12">
        <f t="shared" si="2"/>
        <v>46254</v>
      </c>
      <c r="AU12">
        <f t="shared" si="2"/>
        <v>56333</v>
      </c>
      <c r="AV12">
        <f t="shared" si="2"/>
        <v>64637</v>
      </c>
      <c r="AW12">
        <f t="shared" si="2"/>
        <v>70476</v>
      </c>
      <c r="AX12">
        <f t="shared" si="2"/>
        <v>73512</v>
      </c>
      <c r="AY12">
        <f t="shared" si="2"/>
        <v>80996</v>
      </c>
      <c r="AZ12">
        <f t="shared" si="2"/>
        <v>90271</v>
      </c>
      <c r="BA12">
        <f t="shared" si="2"/>
        <v>88618</v>
      </c>
      <c r="BB12">
        <f t="shared" si="2"/>
        <v>81338</v>
      </c>
      <c r="BC12">
        <f t="shared" si="2"/>
        <v>81382</v>
      </c>
      <c r="BD12">
        <f t="shared" si="2"/>
        <v>89179</v>
      </c>
      <c r="BE12">
        <f t="shared" si="2"/>
        <v>96962</v>
      </c>
      <c r="BF12">
        <f t="shared" si="2"/>
        <v>99146</v>
      </c>
      <c r="BG12">
        <f t="shared" si="2"/>
        <v>110545</v>
      </c>
      <c r="BH12">
        <f t="shared" si="2"/>
        <v>117300</v>
      </c>
      <c r="BI12">
        <f t="shared" si="2"/>
        <v>141321</v>
      </c>
      <c r="BJ12">
        <f t="shared" si="2"/>
        <v>155450</v>
      </c>
      <c r="BK12">
        <f t="shared" si="2"/>
        <v>158705</v>
      </c>
      <c r="BL12">
        <f t="shared" si="2"/>
        <v>153452</v>
      </c>
      <c r="BM12">
        <f t="shared" si="2"/>
        <v>144385</v>
      </c>
      <c r="BN12">
        <f t="shared" si="2"/>
        <v>143264</v>
      </c>
      <c r="BO12">
        <f t="shared" si="2"/>
        <v>164491</v>
      </c>
      <c r="BP12">
        <f t="shared" si="2"/>
        <v>169264</v>
      </c>
      <c r="BQ12">
        <f t="shared" si="2"/>
        <v>175935</v>
      </c>
      <c r="BR12">
        <f t="shared" si="2"/>
        <v>198095</v>
      </c>
      <c r="BS12">
        <f t="shared" si="2"/>
        <v>181002</v>
      </c>
      <c r="BT12">
        <f t="shared" si="2"/>
        <v>147654</v>
      </c>
      <c r="BU12">
        <f t="shared" si="2"/>
        <v>153466</v>
      </c>
      <c r="BV12">
        <f t="shared" ref="BV12:CI12" si="3">BV10-BV11</f>
        <v>168084</v>
      </c>
      <c r="BW12">
        <f t="shared" si="3"/>
        <v>193196</v>
      </c>
      <c r="BX12">
        <f t="shared" si="3"/>
        <v>194398</v>
      </c>
      <c r="BY12">
        <f t="shared" si="3"/>
        <v>207519</v>
      </c>
      <c r="BZ12">
        <f t="shared" si="3"/>
        <v>228661</v>
      </c>
      <c r="CA12">
        <f t="shared" si="3"/>
        <v>244085</v>
      </c>
      <c r="CB12">
        <f t="shared" si="3"/>
        <v>247514</v>
      </c>
      <c r="CC12">
        <f t="shared" si="3"/>
        <v>266701</v>
      </c>
      <c r="CD12">
        <f t="shared" si="3"/>
        <v>301338</v>
      </c>
      <c r="CE12">
        <f t="shared" si="3"/>
        <v>284977</v>
      </c>
      <c r="CF12">
        <f t="shared" si="3"/>
        <v>302554</v>
      </c>
      <c r="CG12">
        <f t="shared" si="3"/>
        <v>318287</v>
      </c>
      <c r="CH12">
        <f t="shared" si="3"/>
        <v>359299</v>
      </c>
      <c r="CI12">
        <f t="shared" si="3"/>
        <v>393999</v>
      </c>
    </row>
    <row r="13" spans="1:87">
      <c r="A13" t="s">
        <v>1569</v>
      </c>
      <c r="B13" t="s">
        <v>619</v>
      </c>
      <c r="C13" t="s">
        <v>88</v>
      </c>
      <c r="D13">
        <v>1000000</v>
      </c>
      <c r="E13" t="s">
        <v>89</v>
      </c>
      <c r="F13" t="s">
        <v>620</v>
      </c>
      <c r="G13" s="10" t="s">
        <v>621</v>
      </c>
      <c r="H13" t="s">
        <v>97</v>
      </c>
      <c r="I13">
        <v>298</v>
      </c>
      <c r="J13">
        <v>384</v>
      </c>
      <c r="K13">
        <v>442</v>
      </c>
      <c r="L13">
        <v>485</v>
      </c>
      <c r="M13">
        <v>528</v>
      </c>
      <c r="N13">
        <v>600</v>
      </c>
      <c r="O13">
        <v>645</v>
      </c>
      <c r="P13">
        <v>687</v>
      </c>
      <c r="Q13">
        <v>740</v>
      </c>
      <c r="R13">
        <v>778</v>
      </c>
      <c r="S13">
        <v>878</v>
      </c>
      <c r="T13">
        <v>970</v>
      </c>
      <c r="U13">
        <v>1080</v>
      </c>
      <c r="V13">
        <v>1184</v>
      </c>
      <c r="W13">
        <v>1145</v>
      </c>
      <c r="X13">
        <v>1182</v>
      </c>
      <c r="Y13">
        <v>1235</v>
      </c>
      <c r="Z13">
        <v>1302</v>
      </c>
      <c r="AA13">
        <v>1392</v>
      </c>
      <c r="AB13">
        <v>1561</v>
      </c>
      <c r="AC13">
        <v>1735</v>
      </c>
      <c r="AD13">
        <v>1930</v>
      </c>
      <c r="AE13">
        <v>2211</v>
      </c>
      <c r="AF13">
        <v>2570</v>
      </c>
      <c r="AG13">
        <v>2940</v>
      </c>
      <c r="AH13">
        <v>3341</v>
      </c>
      <c r="AI13">
        <v>3756</v>
      </c>
      <c r="AJ13">
        <v>4370</v>
      </c>
      <c r="AK13">
        <v>5300</v>
      </c>
      <c r="AL13">
        <v>6511</v>
      </c>
      <c r="AM13">
        <v>7518</v>
      </c>
      <c r="AN13">
        <v>8717</v>
      </c>
      <c r="AO13">
        <v>10007</v>
      </c>
      <c r="AP13">
        <v>11922</v>
      </c>
      <c r="AQ13">
        <v>14449</v>
      </c>
      <c r="AR13">
        <v>17262</v>
      </c>
      <c r="AS13">
        <v>20359</v>
      </c>
      <c r="AT13">
        <v>23156</v>
      </c>
      <c r="AU13">
        <v>26248</v>
      </c>
      <c r="AV13">
        <v>30060</v>
      </c>
      <c r="AW13">
        <v>34300</v>
      </c>
      <c r="AX13">
        <v>39184</v>
      </c>
      <c r="AY13">
        <v>44502</v>
      </c>
      <c r="AZ13">
        <v>49994</v>
      </c>
      <c r="BA13">
        <v>55143</v>
      </c>
      <c r="BB13">
        <v>59174</v>
      </c>
      <c r="BC13">
        <v>61104</v>
      </c>
      <c r="BD13">
        <v>64383</v>
      </c>
      <c r="BE13">
        <v>68449</v>
      </c>
      <c r="BF13">
        <v>73008</v>
      </c>
      <c r="BG13">
        <v>75730</v>
      </c>
      <c r="BH13">
        <v>79216</v>
      </c>
      <c r="BI13">
        <v>85037</v>
      </c>
      <c r="BJ13">
        <v>95258</v>
      </c>
      <c r="BK13">
        <v>106474</v>
      </c>
      <c r="BL13">
        <v>112757</v>
      </c>
      <c r="BM13">
        <v>115315</v>
      </c>
      <c r="BN13">
        <v>120244</v>
      </c>
      <c r="BO13">
        <v>127299</v>
      </c>
      <c r="BP13">
        <v>135160</v>
      </c>
      <c r="BQ13">
        <v>142043</v>
      </c>
      <c r="BR13">
        <v>149569</v>
      </c>
      <c r="BS13">
        <v>156506</v>
      </c>
      <c r="BT13">
        <v>157958</v>
      </c>
      <c r="BU13">
        <v>156443</v>
      </c>
      <c r="BV13">
        <v>160953</v>
      </c>
      <c r="BW13">
        <v>167837</v>
      </c>
      <c r="BX13">
        <v>176478</v>
      </c>
      <c r="BY13">
        <v>184121</v>
      </c>
      <c r="BZ13">
        <v>192444</v>
      </c>
      <c r="CA13">
        <v>203220</v>
      </c>
      <c r="CB13">
        <v>214439</v>
      </c>
      <c r="CC13">
        <v>226122</v>
      </c>
      <c r="CD13">
        <v>242836</v>
      </c>
      <c r="CE13">
        <v>257539</v>
      </c>
      <c r="CF13">
        <v>274459</v>
      </c>
      <c r="CG13">
        <v>302232</v>
      </c>
      <c r="CH13">
        <v>324065</v>
      </c>
      <c r="CI13">
        <v>344821</v>
      </c>
    </row>
    <row r="14" spans="1:87">
      <c r="A14" t="s">
        <v>1570</v>
      </c>
      <c r="B14" s="7" t="s">
        <v>92</v>
      </c>
      <c r="C14" s="7" t="s">
        <v>88</v>
      </c>
      <c r="D14" s="7">
        <v>1000000</v>
      </c>
      <c r="E14" s="7" t="s">
        <v>89</v>
      </c>
      <c r="F14" s="7" t="s">
        <v>98</v>
      </c>
      <c r="G14" s="27" t="s">
        <v>99</v>
      </c>
      <c r="H14" s="7"/>
      <c r="I14" s="7">
        <v>1187</v>
      </c>
      <c r="J14" s="7">
        <v>1073</v>
      </c>
      <c r="K14" s="7">
        <v>356</v>
      </c>
      <c r="L14" s="7">
        <v>-874</v>
      </c>
      <c r="M14" s="7">
        <v>597</v>
      </c>
      <c r="N14" s="7">
        <v>1002</v>
      </c>
      <c r="O14" s="7">
        <v>123</v>
      </c>
      <c r="P14" s="7">
        <v>-320</v>
      </c>
      <c r="Q14" s="7">
        <v>-539</v>
      </c>
      <c r="R14" s="7">
        <v>424</v>
      </c>
      <c r="S14" s="7">
        <v>938</v>
      </c>
      <c r="T14" s="7">
        <v>111</v>
      </c>
      <c r="U14" s="7">
        <v>-160</v>
      </c>
      <c r="V14" s="7">
        <v>7</v>
      </c>
      <c r="W14" s="7">
        <v>-321</v>
      </c>
      <c r="X14" s="7">
        <v>13</v>
      </c>
      <c r="Y14" s="7">
        <v>72</v>
      </c>
      <c r="Z14" s="7">
        <v>44</v>
      </c>
      <c r="AA14" s="7">
        <v>352</v>
      </c>
      <c r="AB14" s="7">
        <v>111</v>
      </c>
      <c r="AC14" s="7">
        <v>466</v>
      </c>
      <c r="AD14" s="7">
        <v>480</v>
      </c>
      <c r="AE14" s="7">
        <v>1252</v>
      </c>
      <c r="AF14" s="7">
        <v>1480</v>
      </c>
      <c r="AG14" s="7">
        <v>1598</v>
      </c>
      <c r="AH14" s="7">
        <v>2256</v>
      </c>
      <c r="AI14" s="7">
        <v>2204</v>
      </c>
      <c r="AJ14" s="7">
        <v>3082</v>
      </c>
      <c r="AK14" s="7">
        <v>8306</v>
      </c>
      <c r="AL14" s="7">
        <v>3145</v>
      </c>
      <c r="AM14" s="7">
        <v>3846</v>
      </c>
      <c r="AN14" s="7">
        <v>5968</v>
      </c>
      <c r="AO14" s="7">
        <v>7575</v>
      </c>
      <c r="AP14" s="7">
        <v>12504</v>
      </c>
      <c r="AQ14" s="7">
        <v>13673</v>
      </c>
      <c r="AR14" s="7">
        <v>11725</v>
      </c>
      <c r="AS14" s="7">
        <v>7873</v>
      </c>
      <c r="AT14" s="7">
        <v>2325</v>
      </c>
      <c r="AU14" s="7">
        <v>4691</v>
      </c>
      <c r="AV14" s="7">
        <v>4835</v>
      </c>
      <c r="AW14" s="7">
        <v>9414</v>
      </c>
      <c r="AX14" s="7">
        <v>8768</v>
      </c>
      <c r="AY14" s="7">
        <v>12179</v>
      </c>
      <c r="AZ14" s="7">
        <v>11256</v>
      </c>
      <c r="BA14" s="7">
        <v>10074</v>
      </c>
      <c r="BB14" s="7">
        <v>-621</v>
      </c>
      <c r="BC14" s="7">
        <v>4946</v>
      </c>
      <c r="BD14" s="7">
        <v>10327</v>
      </c>
      <c r="BE14" s="7">
        <v>16037</v>
      </c>
      <c r="BF14" s="7">
        <v>7213</v>
      </c>
      <c r="BG14" s="7">
        <v>1230</v>
      </c>
      <c r="BH14" s="7">
        <v>5283</v>
      </c>
      <c r="BI14" s="7">
        <v>6931</v>
      </c>
      <c r="BJ14" s="7">
        <v>10735</v>
      </c>
      <c r="BK14" s="7">
        <v>12362</v>
      </c>
      <c r="BL14" s="7">
        <v>2648</v>
      </c>
      <c r="BM14" s="7">
        <v>4213</v>
      </c>
      <c r="BN14" s="7">
        <v>4123</v>
      </c>
      <c r="BO14" s="7">
        <v>53453</v>
      </c>
      <c r="BP14" s="7">
        <v>56697</v>
      </c>
      <c r="BQ14" s="7">
        <v>55425</v>
      </c>
      <c r="BR14" s="7">
        <v>17607</v>
      </c>
      <c r="BS14" s="7">
        <v>46418</v>
      </c>
      <c r="BT14" s="7">
        <v>-55069</v>
      </c>
      <c r="BU14" s="7">
        <v>-3584</v>
      </c>
      <c r="BV14" s="7">
        <v>33401</v>
      </c>
      <c r="BW14" s="7">
        <v>5358</v>
      </c>
      <c r="BX14" s="7">
        <v>24326</v>
      </c>
      <c r="BY14" s="7">
        <v>20301</v>
      </c>
      <c r="BZ14" s="7">
        <v>11050</v>
      </c>
      <c r="CA14" s="7">
        <v>10173</v>
      </c>
      <c r="CB14" s="7">
        <v>22824</v>
      </c>
      <c r="CC14" s="7">
        <v>50654</v>
      </c>
      <c r="CD14" s="7">
        <v>32742</v>
      </c>
      <c r="CE14" s="7">
        <v>20192</v>
      </c>
      <c r="CF14" s="7">
        <v>220942</v>
      </c>
      <c r="CG14" s="7">
        <v>265304</v>
      </c>
      <c r="CH14" s="7">
        <v>9883</v>
      </c>
      <c r="CI14" s="7">
        <v>42241</v>
      </c>
    </row>
    <row r="15" spans="1:87">
      <c r="A15" t="s">
        <v>1571</v>
      </c>
      <c r="B15" t="s">
        <v>1572</v>
      </c>
      <c r="I15">
        <f>I9-H9-I12+I13-I14</f>
        <v>0</v>
      </c>
      <c r="J15">
        <f t="shared" ref="J15:BU15" si="4">J9-I9-J12+J13-J14</f>
        <v>0</v>
      </c>
      <c r="K15">
        <f t="shared" si="4"/>
        <v>0</v>
      </c>
      <c r="L15">
        <f t="shared" si="4"/>
        <v>0</v>
      </c>
      <c r="M15">
        <f t="shared" si="4"/>
        <v>0</v>
      </c>
      <c r="N15">
        <f t="shared" si="4"/>
        <v>0</v>
      </c>
      <c r="O15">
        <f t="shared" si="4"/>
        <v>0</v>
      </c>
      <c r="P15">
        <f t="shared" si="4"/>
        <v>0</v>
      </c>
      <c r="Q15">
        <f t="shared" si="4"/>
        <v>0</v>
      </c>
      <c r="R15">
        <f t="shared" si="4"/>
        <v>0</v>
      </c>
      <c r="S15">
        <f t="shared" si="4"/>
        <v>0</v>
      </c>
      <c r="T15">
        <f t="shared" si="4"/>
        <v>0</v>
      </c>
      <c r="U15">
        <f t="shared" si="4"/>
        <v>0</v>
      </c>
      <c r="V15">
        <f t="shared" si="4"/>
        <v>0</v>
      </c>
      <c r="W15">
        <f t="shared" si="4"/>
        <v>0</v>
      </c>
      <c r="X15">
        <f t="shared" si="4"/>
        <v>0</v>
      </c>
      <c r="Y15">
        <f t="shared" si="4"/>
        <v>0</v>
      </c>
      <c r="Z15">
        <f t="shared" si="4"/>
        <v>0</v>
      </c>
      <c r="AA15">
        <f t="shared" si="4"/>
        <v>0</v>
      </c>
      <c r="AB15">
        <f t="shared" si="4"/>
        <v>0</v>
      </c>
      <c r="AC15">
        <f t="shared" si="4"/>
        <v>0</v>
      </c>
      <c r="AD15">
        <f t="shared" si="4"/>
        <v>0</v>
      </c>
      <c r="AE15">
        <f t="shared" si="4"/>
        <v>0</v>
      </c>
      <c r="AF15">
        <f t="shared" si="4"/>
        <v>0</v>
      </c>
      <c r="AG15">
        <f t="shared" si="4"/>
        <v>0</v>
      </c>
      <c r="AH15">
        <f t="shared" si="4"/>
        <v>-3</v>
      </c>
      <c r="AI15">
        <f t="shared" si="4"/>
        <v>-66</v>
      </c>
      <c r="AJ15">
        <f t="shared" si="4"/>
        <v>-18</v>
      </c>
      <c r="AK15">
        <f t="shared" si="4"/>
        <v>-1</v>
      </c>
      <c r="AL15">
        <f t="shared" si="4"/>
        <v>0</v>
      </c>
      <c r="AM15">
        <f t="shared" si="4"/>
        <v>-5</v>
      </c>
      <c r="AN15">
        <f t="shared" si="4"/>
        <v>-10</v>
      </c>
      <c r="AO15">
        <f t="shared" si="4"/>
        <v>0</v>
      </c>
      <c r="AP15">
        <f t="shared" si="4"/>
        <v>-36</v>
      </c>
      <c r="AQ15">
        <f t="shared" si="4"/>
        <v>-20</v>
      </c>
      <c r="AR15">
        <f t="shared" si="4"/>
        <v>0</v>
      </c>
      <c r="AS15">
        <f t="shared" si="4"/>
        <v>-22</v>
      </c>
      <c r="AT15">
        <f t="shared" si="4"/>
        <v>-29</v>
      </c>
      <c r="AU15">
        <f t="shared" si="4"/>
        <v>0</v>
      </c>
      <c r="AV15">
        <f t="shared" si="4"/>
        <v>-6</v>
      </c>
      <c r="AW15">
        <f t="shared" si="4"/>
        <v>0</v>
      </c>
      <c r="AX15">
        <f t="shared" si="4"/>
        <v>0</v>
      </c>
      <c r="AY15">
        <f t="shared" si="4"/>
        <v>0</v>
      </c>
      <c r="AZ15">
        <f t="shared" si="4"/>
        <v>-186</v>
      </c>
      <c r="BA15">
        <f t="shared" si="4"/>
        <v>1213</v>
      </c>
      <c r="BB15">
        <f t="shared" si="4"/>
        <v>0</v>
      </c>
      <c r="BC15">
        <f t="shared" si="4"/>
        <v>-252</v>
      </c>
      <c r="BD15">
        <f t="shared" si="4"/>
        <v>-98</v>
      </c>
      <c r="BE15">
        <f t="shared" si="4"/>
        <v>-165</v>
      </c>
      <c r="BF15">
        <f t="shared" si="4"/>
        <v>-39</v>
      </c>
      <c r="BG15">
        <f t="shared" si="4"/>
        <v>0</v>
      </c>
      <c r="BH15">
        <f t="shared" si="4"/>
        <v>0</v>
      </c>
      <c r="BI15">
        <f t="shared" si="4"/>
        <v>0</v>
      </c>
      <c r="BJ15">
        <f t="shared" si="4"/>
        <v>-44</v>
      </c>
      <c r="BK15">
        <f t="shared" si="4"/>
        <v>0</v>
      </c>
      <c r="BL15">
        <f t="shared" si="4"/>
        <v>-3769</v>
      </c>
      <c r="BM15">
        <f t="shared" si="4"/>
        <v>0</v>
      </c>
      <c r="BN15">
        <f t="shared" si="4"/>
        <v>0</v>
      </c>
      <c r="BO15">
        <f t="shared" si="4"/>
        <v>-1664</v>
      </c>
      <c r="BP15">
        <f t="shared" si="4"/>
        <v>-1677</v>
      </c>
      <c r="BQ15">
        <f t="shared" si="4"/>
        <v>0</v>
      </c>
      <c r="BR15">
        <f t="shared" si="4"/>
        <v>0</v>
      </c>
      <c r="BS15">
        <f t="shared" si="4"/>
        <v>-599</v>
      </c>
      <c r="BT15">
        <f t="shared" si="4"/>
        <v>0</v>
      </c>
      <c r="BU15">
        <f t="shared" si="4"/>
        <v>-2097</v>
      </c>
      <c r="BV15">
        <f t="shared" ref="BV15:CI15" si="5">BV9-BU9-BV12+BV13-BV14</f>
        <v>0</v>
      </c>
      <c r="BW15">
        <f t="shared" si="5"/>
        <v>-1767</v>
      </c>
      <c r="BX15">
        <f t="shared" si="5"/>
        <v>0</v>
      </c>
      <c r="BY15">
        <f t="shared" si="5"/>
        <v>0</v>
      </c>
      <c r="BZ15">
        <f t="shared" si="5"/>
        <v>0</v>
      </c>
      <c r="CA15">
        <f t="shared" si="5"/>
        <v>-1</v>
      </c>
      <c r="CB15">
        <f t="shared" si="5"/>
        <v>-1848</v>
      </c>
      <c r="CC15">
        <f t="shared" si="5"/>
        <v>-2395</v>
      </c>
      <c r="CD15">
        <f t="shared" si="5"/>
        <v>-1</v>
      </c>
      <c r="CE15">
        <f t="shared" si="5"/>
        <v>-1</v>
      </c>
      <c r="CF15">
        <f t="shared" si="5"/>
        <v>-431</v>
      </c>
      <c r="CG15">
        <f t="shared" si="5"/>
        <v>-1517</v>
      </c>
      <c r="CH15">
        <f t="shared" si="5"/>
        <v>0</v>
      </c>
      <c r="CI15">
        <f t="shared" si="5"/>
        <v>-784</v>
      </c>
    </row>
    <row r="18" spans="1:87">
      <c r="A18" t="s">
        <v>1577</v>
      </c>
    </row>
    <row r="19" spans="1:87">
      <c r="A19" t="s">
        <v>1568</v>
      </c>
      <c r="B19" t="s">
        <v>1572</v>
      </c>
      <c r="H19">
        <f>H2+H9</f>
        <v>139208</v>
      </c>
      <c r="I19">
        <f t="shared" ref="I19:BT19" si="6">I2+I9</f>
        <v>168356</v>
      </c>
      <c r="J19">
        <f t="shared" si="6"/>
        <v>200698</v>
      </c>
      <c r="K19">
        <f t="shared" si="6"/>
        <v>219642</v>
      </c>
      <c r="L19">
        <f t="shared" si="6"/>
        <v>223678</v>
      </c>
      <c r="M19">
        <f t="shared" si="6"/>
        <v>250857</v>
      </c>
      <c r="N19">
        <f t="shared" si="6"/>
        <v>272459</v>
      </c>
      <c r="O19">
        <f t="shared" si="6"/>
        <v>288532</v>
      </c>
      <c r="P19">
        <f t="shared" si="6"/>
        <v>303436</v>
      </c>
      <c r="Q19">
        <f t="shared" si="6"/>
        <v>312841</v>
      </c>
      <c r="R19">
        <f t="shared" si="6"/>
        <v>344378</v>
      </c>
      <c r="S19">
        <f t="shared" si="6"/>
        <v>382666</v>
      </c>
      <c r="T19">
        <f t="shared" si="6"/>
        <v>411106</v>
      </c>
      <c r="U19">
        <f t="shared" si="6"/>
        <v>420004</v>
      </c>
      <c r="V19">
        <f t="shared" si="6"/>
        <v>437817</v>
      </c>
      <c r="W19">
        <f t="shared" si="6"/>
        <v>448052</v>
      </c>
      <c r="X19">
        <f t="shared" si="6"/>
        <v>460526</v>
      </c>
      <c r="Y19">
        <f t="shared" si="6"/>
        <v>476337</v>
      </c>
      <c r="Z19">
        <f t="shared" si="6"/>
        <v>492856</v>
      </c>
      <c r="AA19">
        <f t="shared" si="6"/>
        <v>520973</v>
      </c>
      <c r="AB19">
        <f t="shared" si="6"/>
        <v>558081</v>
      </c>
      <c r="AC19">
        <f t="shared" si="6"/>
        <v>608292</v>
      </c>
      <c r="AD19">
        <f t="shared" si="6"/>
        <v>661221</v>
      </c>
      <c r="AE19">
        <f t="shared" si="6"/>
        <v>728790</v>
      </c>
      <c r="AF19">
        <f t="shared" si="6"/>
        <v>804354</v>
      </c>
      <c r="AG19">
        <f t="shared" si="6"/>
        <v>885220</v>
      </c>
      <c r="AH19">
        <f t="shared" si="6"/>
        <v>969222</v>
      </c>
      <c r="AI19">
        <f t="shared" si="6"/>
        <v>1051910</v>
      </c>
      <c r="AJ19">
        <f t="shared" si="6"/>
        <v>1186903</v>
      </c>
      <c r="AK19">
        <f t="shared" si="6"/>
        <v>1449337</v>
      </c>
      <c r="AL19">
        <f t="shared" si="6"/>
        <v>1605731</v>
      </c>
      <c r="AM19">
        <f t="shared" si="6"/>
        <v>1763971</v>
      </c>
      <c r="AN19">
        <f t="shared" si="6"/>
        <v>1961822</v>
      </c>
      <c r="AO19">
        <f t="shared" si="6"/>
        <v>2227047</v>
      </c>
      <c r="AP19">
        <f t="shared" si="6"/>
        <v>2570108</v>
      </c>
      <c r="AQ19">
        <f t="shared" si="6"/>
        <v>2953516</v>
      </c>
      <c r="AR19">
        <f t="shared" si="6"/>
        <v>3345102</v>
      </c>
      <c r="AS19">
        <f t="shared" si="6"/>
        <v>3569430</v>
      </c>
      <c r="AT19">
        <f t="shared" si="6"/>
        <v>3689850</v>
      </c>
      <c r="AU19">
        <f t="shared" si="6"/>
        <v>3922283</v>
      </c>
      <c r="AV19">
        <f t="shared" si="6"/>
        <v>4149959</v>
      </c>
      <c r="AW19">
        <f t="shared" si="6"/>
        <v>4353393</v>
      </c>
      <c r="AX19">
        <f t="shared" si="6"/>
        <v>4591721</v>
      </c>
      <c r="AY19">
        <f t="shared" si="6"/>
        <v>4890142</v>
      </c>
      <c r="AZ19">
        <f t="shared" si="6"/>
        <v>5187264</v>
      </c>
      <c r="BA19">
        <f t="shared" si="6"/>
        <v>5487431</v>
      </c>
      <c r="BB19">
        <f t="shared" si="6"/>
        <v>5632025</v>
      </c>
      <c r="BC19">
        <f t="shared" si="6"/>
        <v>5833648</v>
      </c>
      <c r="BD19">
        <f t="shared" si="6"/>
        <v>6117992</v>
      </c>
      <c r="BE19">
        <f t="shared" si="6"/>
        <v>6467063</v>
      </c>
      <c r="BF19">
        <f t="shared" si="6"/>
        <v>6847952</v>
      </c>
      <c r="BG19">
        <f t="shared" si="6"/>
        <v>7208223</v>
      </c>
      <c r="BH19">
        <f t="shared" si="6"/>
        <v>7632176</v>
      </c>
      <c r="BI19">
        <f t="shared" si="6"/>
        <v>8063823</v>
      </c>
      <c r="BJ19">
        <f t="shared" si="6"/>
        <v>8553589</v>
      </c>
      <c r="BK19">
        <f t="shared" si="6"/>
        <v>9156355</v>
      </c>
      <c r="BL19">
        <f t="shared" si="6"/>
        <v>9599190</v>
      </c>
      <c r="BM19">
        <f t="shared" si="6"/>
        <v>9902616</v>
      </c>
      <c r="BN19">
        <f t="shared" si="6"/>
        <v>10200294</v>
      </c>
      <c r="BO19">
        <f t="shared" si="6"/>
        <v>11046466</v>
      </c>
      <c r="BP19">
        <f t="shared" si="6"/>
        <v>12021666</v>
      </c>
      <c r="BQ19">
        <f t="shared" si="6"/>
        <v>12988059</v>
      </c>
      <c r="BR19">
        <f t="shared" si="6"/>
        <v>13701585</v>
      </c>
      <c r="BS19">
        <f t="shared" si="6"/>
        <v>14583133</v>
      </c>
      <c r="BT19">
        <f t="shared" si="6"/>
        <v>14150032</v>
      </c>
      <c r="BU19">
        <f t="shared" ref="BU19:CI19" si="7">BU2+BU9</f>
        <v>14527740</v>
      </c>
      <c r="BV19">
        <f t="shared" si="7"/>
        <v>15227805</v>
      </c>
      <c r="BW19">
        <f t="shared" si="7"/>
        <v>15747552</v>
      </c>
      <c r="BX19">
        <f t="shared" si="7"/>
        <v>16344095</v>
      </c>
      <c r="BY19">
        <f t="shared" si="7"/>
        <v>17119568</v>
      </c>
      <c r="BZ19">
        <f t="shared" si="7"/>
        <v>17444179</v>
      </c>
      <c r="CA19">
        <f t="shared" si="7"/>
        <v>17954152</v>
      </c>
      <c r="CB19">
        <f t="shared" si="7"/>
        <v>18645224</v>
      </c>
      <c r="CC19">
        <f t="shared" si="7"/>
        <v>19516200</v>
      </c>
      <c r="CD19">
        <f t="shared" si="7"/>
        <v>20408064</v>
      </c>
      <c r="CE19">
        <f t="shared" si="7"/>
        <v>20827558</v>
      </c>
      <c r="CF19">
        <f t="shared" si="7"/>
        <v>23139668</v>
      </c>
      <c r="CG19">
        <f t="shared" si="7"/>
        <v>25826561</v>
      </c>
      <c r="CH19">
        <f t="shared" si="7"/>
        <v>26724335</v>
      </c>
      <c r="CI19">
        <f t="shared" si="7"/>
        <v>27603501</v>
      </c>
    </row>
    <row r="20" spans="1:87">
      <c r="A20" t="s">
        <v>1455</v>
      </c>
      <c r="B20" t="s">
        <v>1572</v>
      </c>
      <c r="I20">
        <f>I3+I12</f>
        <v>13908</v>
      </c>
      <c r="J20">
        <f t="shared" ref="J20:BU20" si="8">J3+J12</f>
        <v>17936</v>
      </c>
      <c r="K20">
        <f t="shared" si="8"/>
        <v>19821</v>
      </c>
      <c r="L20">
        <f t="shared" si="8"/>
        <v>18033</v>
      </c>
      <c r="M20">
        <f t="shared" si="8"/>
        <v>19819</v>
      </c>
      <c r="N20">
        <f t="shared" si="8"/>
        <v>23784</v>
      </c>
      <c r="O20">
        <f t="shared" si="8"/>
        <v>25310</v>
      </c>
      <c r="P20">
        <f t="shared" si="8"/>
        <v>28106</v>
      </c>
      <c r="Q20">
        <f t="shared" si="8"/>
        <v>27881</v>
      </c>
      <c r="R20">
        <f t="shared" si="8"/>
        <v>30955</v>
      </c>
      <c r="S20">
        <f t="shared" si="8"/>
        <v>37369</v>
      </c>
      <c r="T20">
        <f t="shared" si="8"/>
        <v>40302</v>
      </c>
      <c r="U20">
        <f t="shared" si="8"/>
        <v>35375</v>
      </c>
      <c r="V20">
        <f t="shared" si="8"/>
        <v>39121</v>
      </c>
      <c r="W20">
        <f t="shared" si="8"/>
        <v>42507</v>
      </c>
      <c r="X20">
        <f t="shared" si="8"/>
        <v>42515</v>
      </c>
      <c r="Y20">
        <f t="shared" si="8"/>
        <v>45895</v>
      </c>
      <c r="Z20">
        <f t="shared" si="8"/>
        <v>48728</v>
      </c>
      <c r="AA20">
        <f t="shared" si="8"/>
        <v>54836</v>
      </c>
      <c r="AB20">
        <f t="shared" si="8"/>
        <v>65227</v>
      </c>
      <c r="AC20">
        <f t="shared" si="8"/>
        <v>75632</v>
      </c>
      <c r="AD20">
        <f t="shared" si="8"/>
        <v>77917</v>
      </c>
      <c r="AE20">
        <f t="shared" si="8"/>
        <v>85547</v>
      </c>
      <c r="AF20">
        <f t="shared" si="8"/>
        <v>94907</v>
      </c>
      <c r="AG20">
        <f t="shared" si="8"/>
        <v>98225</v>
      </c>
      <c r="AH20">
        <f t="shared" si="8"/>
        <v>102382</v>
      </c>
      <c r="AI20">
        <f t="shared" si="8"/>
        <v>115312</v>
      </c>
      <c r="AJ20">
        <f t="shared" si="8"/>
        <v>135583</v>
      </c>
      <c r="AK20">
        <f t="shared" si="8"/>
        <v>153692</v>
      </c>
      <c r="AL20">
        <f t="shared" si="8"/>
        <v>157334</v>
      </c>
      <c r="AM20">
        <f t="shared" si="8"/>
        <v>176149</v>
      </c>
      <c r="AN20">
        <f t="shared" si="8"/>
        <v>209028</v>
      </c>
      <c r="AO20">
        <f t="shared" si="8"/>
        <v>254178</v>
      </c>
      <c r="AP20">
        <f t="shared" si="8"/>
        <v>300779</v>
      </c>
      <c r="AQ20">
        <f t="shared" si="8"/>
        <v>331935</v>
      </c>
      <c r="AR20">
        <f t="shared" si="8"/>
        <v>380927</v>
      </c>
      <c r="AS20">
        <f t="shared" si="8"/>
        <v>391653</v>
      </c>
      <c r="AT20">
        <f t="shared" si="8"/>
        <v>394525</v>
      </c>
      <c r="AU20">
        <f t="shared" si="8"/>
        <v>462224</v>
      </c>
      <c r="AV20">
        <f t="shared" si="8"/>
        <v>496221</v>
      </c>
      <c r="AW20">
        <f t="shared" si="8"/>
        <v>497379</v>
      </c>
      <c r="AX20">
        <f t="shared" si="8"/>
        <v>495747</v>
      </c>
      <c r="AY20">
        <f t="shared" si="8"/>
        <v>531554</v>
      </c>
      <c r="AZ20">
        <f t="shared" si="8"/>
        <v>580075</v>
      </c>
      <c r="BA20">
        <f t="shared" si="8"/>
        <v>613590</v>
      </c>
      <c r="BB20">
        <f t="shared" si="8"/>
        <v>604246</v>
      </c>
      <c r="BC20">
        <f t="shared" si="8"/>
        <v>625007</v>
      </c>
      <c r="BD20">
        <f t="shared" si="8"/>
        <v>672172</v>
      </c>
      <c r="BE20">
        <f t="shared" si="8"/>
        <v>733941</v>
      </c>
      <c r="BF20">
        <f t="shared" si="8"/>
        <v>818203</v>
      </c>
      <c r="BG20">
        <f t="shared" si="8"/>
        <v>890313</v>
      </c>
      <c r="BH20">
        <f t="shared" si="8"/>
        <v>975782</v>
      </c>
      <c r="BI20">
        <f t="shared" si="8"/>
        <v>1056954</v>
      </c>
      <c r="BJ20">
        <f t="shared" si="8"/>
        <v>1150102</v>
      </c>
      <c r="BK20">
        <f t="shared" si="8"/>
        <v>1260108</v>
      </c>
      <c r="BL20">
        <f t="shared" si="8"/>
        <v>1218854</v>
      </c>
      <c r="BM20">
        <f t="shared" si="8"/>
        <v>1101031</v>
      </c>
      <c r="BN20">
        <f t="shared" si="8"/>
        <v>1119606</v>
      </c>
      <c r="BO20">
        <f t="shared" si="8"/>
        <v>1194308</v>
      </c>
      <c r="BP20">
        <f t="shared" si="8"/>
        <v>1325522</v>
      </c>
      <c r="BQ20">
        <f t="shared" si="8"/>
        <v>1463653</v>
      </c>
      <c r="BR20">
        <f t="shared" si="8"/>
        <v>1582694</v>
      </c>
      <c r="BS20">
        <f t="shared" si="8"/>
        <v>1603605</v>
      </c>
      <c r="BT20">
        <f t="shared" si="8"/>
        <v>1349129</v>
      </c>
      <c r="BU20">
        <f t="shared" si="8"/>
        <v>1404520</v>
      </c>
      <c r="BV20">
        <f t="shared" ref="BV20:CI20" si="9">BV3+BV12</f>
        <v>1559068</v>
      </c>
      <c r="BW20">
        <f t="shared" si="9"/>
        <v>1736264</v>
      </c>
      <c r="BX20">
        <f t="shared" si="9"/>
        <v>1785270</v>
      </c>
      <c r="BY20">
        <f t="shared" si="9"/>
        <v>1975099</v>
      </c>
      <c r="BZ20">
        <f t="shared" si="9"/>
        <v>2030522</v>
      </c>
      <c r="CA20">
        <f t="shared" si="9"/>
        <v>2070877</v>
      </c>
      <c r="CB20">
        <f t="shared" si="9"/>
        <v>2167317</v>
      </c>
      <c r="CC20">
        <f t="shared" si="9"/>
        <v>2346898</v>
      </c>
      <c r="CD20">
        <f t="shared" si="9"/>
        <v>2428373</v>
      </c>
      <c r="CE20">
        <f t="shared" si="9"/>
        <v>2336273</v>
      </c>
      <c r="CF20">
        <f t="shared" si="9"/>
        <v>2539424</v>
      </c>
      <c r="CG20">
        <f t="shared" si="9"/>
        <v>2867093</v>
      </c>
      <c r="CH20">
        <f t="shared" si="9"/>
        <v>3169501</v>
      </c>
      <c r="CI20">
        <f t="shared" si="9"/>
        <v>3308281</v>
      </c>
    </row>
    <row r="21" spans="1:87">
      <c r="A21" t="s">
        <v>1569</v>
      </c>
      <c r="B21" t="s">
        <v>1572</v>
      </c>
      <c r="I21">
        <f>I4+I13</f>
        <v>8057</v>
      </c>
      <c r="J21">
        <f t="shared" ref="J21:BU21" si="10">J4+J13</f>
        <v>9869</v>
      </c>
      <c r="K21">
        <f t="shared" si="10"/>
        <v>11572</v>
      </c>
      <c r="L21">
        <f t="shared" si="10"/>
        <v>12504</v>
      </c>
      <c r="M21">
        <f t="shared" si="10"/>
        <v>13389</v>
      </c>
      <c r="N21">
        <f t="shared" si="10"/>
        <v>15253</v>
      </c>
      <c r="O21">
        <f t="shared" si="10"/>
        <v>16243</v>
      </c>
      <c r="P21">
        <f t="shared" si="10"/>
        <v>17436</v>
      </c>
      <c r="Q21">
        <f t="shared" si="10"/>
        <v>18488</v>
      </c>
      <c r="R21">
        <f t="shared" si="10"/>
        <v>19715</v>
      </c>
      <c r="S21">
        <f t="shared" si="10"/>
        <v>22263</v>
      </c>
      <c r="T21">
        <f t="shared" si="10"/>
        <v>24758</v>
      </c>
      <c r="U21">
        <f t="shared" si="10"/>
        <v>26609</v>
      </c>
      <c r="V21">
        <f t="shared" si="10"/>
        <v>27906</v>
      </c>
      <c r="W21">
        <f t="shared" si="10"/>
        <v>28742</v>
      </c>
      <c r="X21">
        <f t="shared" si="10"/>
        <v>29785</v>
      </c>
      <c r="Y21">
        <f t="shared" si="10"/>
        <v>31098</v>
      </c>
      <c r="Z21">
        <f t="shared" si="10"/>
        <v>32682</v>
      </c>
      <c r="AA21">
        <f t="shared" si="10"/>
        <v>34690</v>
      </c>
      <c r="AB21">
        <f t="shared" si="10"/>
        <v>37443</v>
      </c>
      <c r="AC21">
        <f t="shared" si="10"/>
        <v>41189</v>
      </c>
      <c r="AD21">
        <f t="shared" si="10"/>
        <v>45456</v>
      </c>
      <c r="AE21">
        <f t="shared" si="10"/>
        <v>50388</v>
      </c>
      <c r="AF21">
        <f t="shared" si="10"/>
        <v>56155</v>
      </c>
      <c r="AG21">
        <f t="shared" si="10"/>
        <v>62316</v>
      </c>
      <c r="AH21">
        <f t="shared" si="10"/>
        <v>68212</v>
      </c>
      <c r="AI21">
        <f t="shared" si="10"/>
        <v>74105</v>
      </c>
      <c r="AJ21">
        <f t="shared" si="10"/>
        <v>82740</v>
      </c>
      <c r="AK21">
        <f t="shared" si="10"/>
        <v>96909</v>
      </c>
      <c r="AL21">
        <f t="shared" si="10"/>
        <v>114485</v>
      </c>
      <c r="AM21">
        <f t="shared" si="10"/>
        <v>126048</v>
      </c>
      <c r="AN21">
        <f t="shared" si="10"/>
        <v>141543</v>
      </c>
      <c r="AO21">
        <f t="shared" si="10"/>
        <v>160442</v>
      </c>
      <c r="AP21">
        <f t="shared" si="10"/>
        <v>184675</v>
      </c>
      <c r="AQ21">
        <f t="shared" si="10"/>
        <v>213655</v>
      </c>
      <c r="AR21">
        <f t="shared" si="10"/>
        <v>246730</v>
      </c>
      <c r="AS21">
        <f t="shared" si="10"/>
        <v>274661</v>
      </c>
      <c r="AT21">
        <f t="shared" si="10"/>
        <v>288225</v>
      </c>
      <c r="AU21">
        <f t="shared" si="10"/>
        <v>305701</v>
      </c>
      <c r="AV21">
        <f t="shared" si="10"/>
        <v>329559</v>
      </c>
      <c r="AW21">
        <f t="shared" si="10"/>
        <v>352724</v>
      </c>
      <c r="AX21">
        <f t="shared" si="10"/>
        <v>374493</v>
      </c>
      <c r="AY21">
        <f t="shared" si="10"/>
        <v>403376</v>
      </c>
      <c r="AZ21">
        <f t="shared" si="10"/>
        <v>430871</v>
      </c>
      <c r="BA21">
        <f t="shared" si="10"/>
        <v>458526</v>
      </c>
      <c r="BB21">
        <f t="shared" si="10"/>
        <v>483522</v>
      </c>
      <c r="BC21">
        <f t="shared" si="10"/>
        <v>498152</v>
      </c>
      <c r="BD21">
        <f t="shared" si="10"/>
        <v>521051</v>
      </c>
      <c r="BE21">
        <f t="shared" si="10"/>
        <v>551662</v>
      </c>
      <c r="BF21">
        <f t="shared" si="10"/>
        <v>594787</v>
      </c>
      <c r="BG21">
        <f t="shared" si="10"/>
        <v>630924</v>
      </c>
      <c r="BH21">
        <f t="shared" si="10"/>
        <v>674991</v>
      </c>
      <c r="BI21">
        <f t="shared" si="10"/>
        <v>720504</v>
      </c>
      <c r="BJ21">
        <f t="shared" si="10"/>
        <v>775960</v>
      </c>
      <c r="BK21">
        <f t="shared" si="10"/>
        <v>845804</v>
      </c>
      <c r="BL21">
        <f t="shared" si="10"/>
        <v>896273</v>
      </c>
      <c r="BM21">
        <f t="shared" si="10"/>
        <v>920338</v>
      </c>
      <c r="BN21">
        <f t="shared" si="10"/>
        <v>938436</v>
      </c>
      <c r="BO21">
        <f t="shared" si="10"/>
        <v>979252</v>
      </c>
      <c r="BP21">
        <f t="shared" si="10"/>
        <v>1048771</v>
      </c>
      <c r="BQ21">
        <f t="shared" si="10"/>
        <v>1126489</v>
      </c>
      <c r="BR21">
        <f t="shared" si="10"/>
        <v>1196789</v>
      </c>
      <c r="BS21">
        <f t="shared" si="10"/>
        <v>1265256</v>
      </c>
      <c r="BT21">
        <f t="shared" si="10"/>
        <v>1272585</v>
      </c>
      <c r="BU21">
        <f t="shared" si="10"/>
        <v>1279939</v>
      </c>
      <c r="BV21">
        <f t="shared" ref="BV21:CI21" si="11">BV4+BV13</f>
        <v>1334417</v>
      </c>
      <c r="BW21">
        <f t="shared" si="11"/>
        <v>1402646</v>
      </c>
      <c r="BX21">
        <f t="shared" si="11"/>
        <v>1459274</v>
      </c>
      <c r="BY21">
        <f t="shared" si="11"/>
        <v>1536801</v>
      </c>
      <c r="BZ21">
        <f t="shared" si="11"/>
        <v>1600708</v>
      </c>
      <c r="CA21">
        <f t="shared" si="11"/>
        <v>1644239</v>
      </c>
      <c r="CB21">
        <f t="shared" si="11"/>
        <v>1723852</v>
      </c>
      <c r="CC21">
        <f t="shared" si="11"/>
        <v>1808269</v>
      </c>
      <c r="CD21">
        <f t="shared" si="11"/>
        <v>1907533</v>
      </c>
      <c r="CE21">
        <f t="shared" si="11"/>
        <v>1985654</v>
      </c>
      <c r="CF21">
        <f t="shared" si="11"/>
        <v>2089913</v>
      </c>
      <c r="CG21">
        <f t="shared" si="11"/>
        <v>2312718</v>
      </c>
      <c r="CH21">
        <f t="shared" si="11"/>
        <v>2478356</v>
      </c>
      <c r="CI21">
        <f t="shared" si="11"/>
        <v>2619177</v>
      </c>
    </row>
    <row r="22" spans="1:87">
      <c r="A22" t="s">
        <v>1570</v>
      </c>
      <c r="B22" t="s">
        <v>1572</v>
      </c>
      <c r="I22">
        <f>I5+I14</f>
        <v>23297</v>
      </c>
      <c r="J22">
        <f t="shared" ref="J22:BU22" si="12">J5+J14</f>
        <v>24275</v>
      </c>
      <c r="K22">
        <f t="shared" si="12"/>
        <v>10695</v>
      </c>
      <c r="L22">
        <f t="shared" si="12"/>
        <v>-1493</v>
      </c>
      <c r="M22">
        <f t="shared" si="12"/>
        <v>20749</v>
      </c>
      <c r="N22">
        <f t="shared" si="12"/>
        <v>13071</v>
      </c>
      <c r="O22">
        <f t="shared" si="12"/>
        <v>7006</v>
      </c>
      <c r="P22">
        <f t="shared" si="12"/>
        <v>4234</v>
      </c>
      <c r="Q22">
        <f t="shared" si="12"/>
        <v>12</v>
      </c>
      <c r="R22">
        <f t="shared" si="12"/>
        <v>20297</v>
      </c>
      <c r="S22">
        <f t="shared" si="12"/>
        <v>23182</v>
      </c>
      <c r="T22">
        <f t="shared" si="12"/>
        <v>12896</v>
      </c>
      <c r="U22">
        <f t="shared" si="12"/>
        <v>132</v>
      </c>
      <c r="V22">
        <f t="shared" si="12"/>
        <v>6598</v>
      </c>
      <c r="W22">
        <f t="shared" si="12"/>
        <v>-3530</v>
      </c>
      <c r="X22">
        <f t="shared" si="12"/>
        <v>-256</v>
      </c>
      <c r="Y22">
        <f t="shared" si="12"/>
        <v>1014</v>
      </c>
      <c r="Z22">
        <f t="shared" si="12"/>
        <v>473</v>
      </c>
      <c r="AA22">
        <f t="shared" si="12"/>
        <v>7971</v>
      </c>
      <c r="AB22">
        <f t="shared" si="12"/>
        <v>9324</v>
      </c>
      <c r="AC22">
        <f t="shared" si="12"/>
        <v>15768</v>
      </c>
      <c r="AD22">
        <f t="shared" si="12"/>
        <v>20468</v>
      </c>
      <c r="AE22">
        <f t="shared" si="12"/>
        <v>32410</v>
      </c>
      <c r="AF22">
        <f t="shared" si="12"/>
        <v>36812</v>
      </c>
      <c r="AG22">
        <f t="shared" si="12"/>
        <v>44957</v>
      </c>
      <c r="AH22">
        <f t="shared" si="12"/>
        <v>49835</v>
      </c>
      <c r="AI22">
        <f t="shared" si="12"/>
        <v>41668</v>
      </c>
      <c r="AJ22">
        <f t="shared" si="12"/>
        <v>82206</v>
      </c>
      <c r="AK22">
        <f t="shared" si="12"/>
        <v>205665</v>
      </c>
      <c r="AL22">
        <f t="shared" si="12"/>
        <v>113545</v>
      </c>
      <c r="AM22">
        <f t="shared" si="12"/>
        <v>108165</v>
      </c>
      <c r="AN22">
        <f t="shared" si="12"/>
        <v>130427</v>
      </c>
      <c r="AO22">
        <f t="shared" si="12"/>
        <v>171489</v>
      </c>
      <c r="AP22">
        <f t="shared" si="12"/>
        <v>227072</v>
      </c>
      <c r="AQ22">
        <f t="shared" si="12"/>
        <v>265148</v>
      </c>
      <c r="AR22">
        <f t="shared" si="12"/>
        <v>257389</v>
      </c>
      <c r="AS22">
        <f t="shared" si="12"/>
        <v>107360</v>
      </c>
      <c r="AT22">
        <f t="shared" si="12"/>
        <v>14168</v>
      </c>
      <c r="AU22">
        <f t="shared" si="12"/>
        <v>75910</v>
      </c>
      <c r="AV22">
        <f t="shared" si="12"/>
        <v>61021</v>
      </c>
      <c r="AW22">
        <f t="shared" si="12"/>
        <v>58779</v>
      </c>
      <c r="AX22">
        <f t="shared" si="12"/>
        <v>117074</v>
      </c>
      <c r="AY22">
        <f t="shared" si="12"/>
        <v>170243</v>
      </c>
      <c r="AZ22">
        <f t="shared" si="12"/>
        <v>149360</v>
      </c>
      <c r="BA22">
        <f t="shared" si="12"/>
        <v>143890</v>
      </c>
      <c r="BB22">
        <f t="shared" si="12"/>
        <v>23870</v>
      </c>
      <c r="BC22">
        <f t="shared" si="12"/>
        <v>77395</v>
      </c>
      <c r="BD22">
        <f t="shared" si="12"/>
        <v>134428</v>
      </c>
      <c r="BE22">
        <f t="shared" si="12"/>
        <v>168559</v>
      </c>
      <c r="BF22">
        <f t="shared" si="12"/>
        <v>157680</v>
      </c>
      <c r="BG22">
        <f t="shared" si="12"/>
        <v>100882</v>
      </c>
      <c r="BH22">
        <f t="shared" si="12"/>
        <v>123162</v>
      </c>
      <c r="BI22">
        <f t="shared" si="12"/>
        <v>95197</v>
      </c>
      <c r="BJ22">
        <f t="shared" si="12"/>
        <v>116072</v>
      </c>
      <c r="BK22">
        <f t="shared" si="12"/>
        <v>188462</v>
      </c>
      <c r="BL22">
        <f t="shared" si="12"/>
        <v>127607</v>
      </c>
      <c r="BM22">
        <f t="shared" si="12"/>
        <v>122733</v>
      </c>
      <c r="BN22">
        <f t="shared" si="12"/>
        <v>116508</v>
      </c>
      <c r="BO22">
        <f t="shared" si="12"/>
        <v>637145</v>
      </c>
      <c r="BP22">
        <f t="shared" si="12"/>
        <v>708942</v>
      </c>
      <c r="BQ22">
        <f t="shared" si="12"/>
        <v>629229</v>
      </c>
      <c r="BR22">
        <f t="shared" si="12"/>
        <v>327621</v>
      </c>
      <c r="BS22">
        <f t="shared" si="12"/>
        <v>545212</v>
      </c>
      <c r="BT22">
        <f t="shared" si="12"/>
        <v>-509645</v>
      </c>
      <c r="BU22">
        <f t="shared" si="12"/>
        <v>255224</v>
      </c>
      <c r="BV22">
        <f t="shared" ref="BV22:CI22" si="13">BV5+BV14</f>
        <v>475414</v>
      </c>
      <c r="BW22">
        <f t="shared" si="13"/>
        <v>190296</v>
      </c>
      <c r="BX22">
        <f t="shared" si="13"/>
        <v>270547</v>
      </c>
      <c r="BY22">
        <f t="shared" si="13"/>
        <v>337175</v>
      </c>
      <c r="BZ22">
        <f t="shared" si="13"/>
        <v>-105203</v>
      </c>
      <c r="CA22">
        <f t="shared" si="13"/>
        <v>83336</v>
      </c>
      <c r="CB22">
        <f t="shared" si="13"/>
        <v>255011</v>
      </c>
      <c r="CC22">
        <f t="shared" si="13"/>
        <v>336784</v>
      </c>
      <c r="CD22">
        <f t="shared" si="13"/>
        <v>371026</v>
      </c>
      <c r="CE22">
        <f t="shared" si="13"/>
        <v>68876</v>
      </c>
      <c r="CF22">
        <f t="shared" si="13"/>
        <v>1870204</v>
      </c>
      <c r="CG22">
        <f t="shared" si="13"/>
        <v>2138169</v>
      </c>
      <c r="CH22">
        <f t="shared" si="13"/>
        <v>206629</v>
      </c>
      <c r="CI22">
        <f t="shared" si="13"/>
        <v>192800</v>
      </c>
    </row>
    <row r="23" spans="1:87">
      <c r="A23" t="s">
        <v>1571</v>
      </c>
      <c r="B23" t="s">
        <v>1572</v>
      </c>
      <c r="I23">
        <f>I6+I15</f>
        <v>0</v>
      </c>
      <c r="J23">
        <f t="shared" ref="J23:BU23" si="14">J6+J15</f>
        <v>0</v>
      </c>
      <c r="K23">
        <f t="shared" si="14"/>
        <v>0</v>
      </c>
      <c r="L23">
        <f t="shared" si="14"/>
        <v>0</v>
      </c>
      <c r="M23">
        <f t="shared" si="14"/>
        <v>0</v>
      </c>
      <c r="N23">
        <f t="shared" si="14"/>
        <v>0</v>
      </c>
      <c r="O23">
        <f t="shared" si="14"/>
        <v>0</v>
      </c>
      <c r="P23">
        <f t="shared" si="14"/>
        <v>0</v>
      </c>
      <c r="Q23">
        <f t="shared" si="14"/>
        <v>0</v>
      </c>
      <c r="R23">
        <f t="shared" si="14"/>
        <v>0</v>
      </c>
      <c r="S23">
        <f t="shared" si="14"/>
        <v>0</v>
      </c>
      <c r="T23">
        <f t="shared" si="14"/>
        <v>0</v>
      </c>
      <c r="U23">
        <f t="shared" si="14"/>
        <v>0</v>
      </c>
      <c r="V23">
        <f t="shared" si="14"/>
        <v>0</v>
      </c>
      <c r="W23">
        <f t="shared" si="14"/>
        <v>0</v>
      </c>
      <c r="X23">
        <f t="shared" si="14"/>
        <v>0</v>
      </c>
      <c r="Y23">
        <f t="shared" si="14"/>
        <v>0</v>
      </c>
      <c r="Z23">
        <f t="shared" si="14"/>
        <v>0</v>
      </c>
      <c r="AA23">
        <f t="shared" si="14"/>
        <v>0</v>
      </c>
      <c r="AB23">
        <f t="shared" si="14"/>
        <v>0</v>
      </c>
      <c r="AC23">
        <f t="shared" si="14"/>
        <v>0</v>
      </c>
      <c r="AD23">
        <f t="shared" si="14"/>
        <v>0</v>
      </c>
      <c r="AE23">
        <f t="shared" si="14"/>
        <v>0</v>
      </c>
      <c r="AF23">
        <f t="shared" si="14"/>
        <v>0</v>
      </c>
      <c r="AG23">
        <f t="shared" si="14"/>
        <v>0</v>
      </c>
      <c r="AH23">
        <f t="shared" si="14"/>
        <v>-3</v>
      </c>
      <c r="AI23">
        <f t="shared" si="14"/>
        <v>-187</v>
      </c>
      <c r="AJ23">
        <f t="shared" si="14"/>
        <v>-56</v>
      </c>
      <c r="AK23">
        <f t="shared" si="14"/>
        <v>-14</v>
      </c>
      <c r="AL23">
        <f t="shared" si="14"/>
        <v>0</v>
      </c>
      <c r="AM23">
        <f t="shared" si="14"/>
        <v>-26</v>
      </c>
      <c r="AN23">
        <f t="shared" si="14"/>
        <v>-61</v>
      </c>
      <c r="AO23">
        <f t="shared" si="14"/>
        <v>0</v>
      </c>
      <c r="AP23">
        <f t="shared" si="14"/>
        <v>-115</v>
      </c>
      <c r="AQ23">
        <f t="shared" si="14"/>
        <v>-20</v>
      </c>
      <c r="AR23">
        <f t="shared" si="14"/>
        <v>0</v>
      </c>
      <c r="AS23">
        <f t="shared" si="14"/>
        <v>-24</v>
      </c>
      <c r="AT23">
        <f t="shared" si="14"/>
        <v>-48</v>
      </c>
      <c r="AU23">
        <f t="shared" si="14"/>
        <v>0</v>
      </c>
      <c r="AV23">
        <f t="shared" si="14"/>
        <v>-7</v>
      </c>
      <c r="AW23">
        <f t="shared" si="14"/>
        <v>0</v>
      </c>
      <c r="AX23">
        <f t="shared" si="14"/>
        <v>0</v>
      </c>
      <c r="AY23">
        <f t="shared" si="14"/>
        <v>0</v>
      </c>
      <c r="AZ23">
        <f t="shared" si="14"/>
        <v>-1442</v>
      </c>
      <c r="BA23">
        <f t="shared" si="14"/>
        <v>1213</v>
      </c>
      <c r="BB23">
        <f t="shared" si="14"/>
        <v>0</v>
      </c>
      <c r="BC23">
        <f t="shared" si="14"/>
        <v>-2627</v>
      </c>
      <c r="BD23">
        <f t="shared" si="14"/>
        <v>-1205</v>
      </c>
      <c r="BE23">
        <f t="shared" si="14"/>
        <v>-1767</v>
      </c>
      <c r="BF23">
        <f t="shared" si="14"/>
        <v>-207</v>
      </c>
      <c r="BG23">
        <f t="shared" si="14"/>
        <v>0</v>
      </c>
      <c r="BH23">
        <f t="shared" si="14"/>
        <v>0</v>
      </c>
      <c r="BI23">
        <f t="shared" si="14"/>
        <v>0</v>
      </c>
      <c r="BJ23">
        <f t="shared" si="14"/>
        <v>-448</v>
      </c>
      <c r="BK23">
        <f t="shared" si="14"/>
        <v>0</v>
      </c>
      <c r="BL23">
        <f t="shared" si="14"/>
        <v>-7353</v>
      </c>
      <c r="BM23">
        <f t="shared" si="14"/>
        <v>0</v>
      </c>
      <c r="BN23">
        <f t="shared" si="14"/>
        <v>0</v>
      </c>
      <c r="BO23">
        <f t="shared" si="14"/>
        <v>-6029</v>
      </c>
      <c r="BP23">
        <f t="shared" si="14"/>
        <v>-10493</v>
      </c>
      <c r="BQ23">
        <f t="shared" si="14"/>
        <v>0</v>
      </c>
      <c r="BR23">
        <f t="shared" si="14"/>
        <v>0</v>
      </c>
      <c r="BS23">
        <f t="shared" si="14"/>
        <v>-2013</v>
      </c>
      <c r="BT23">
        <f t="shared" si="14"/>
        <v>0</v>
      </c>
      <c r="BU23">
        <f t="shared" si="14"/>
        <v>-2097</v>
      </c>
      <c r="BV23">
        <f t="shared" ref="BV23:CI23" si="15">BV6+BV15</f>
        <v>0</v>
      </c>
      <c r="BW23">
        <f t="shared" si="15"/>
        <v>-4167</v>
      </c>
      <c r="BX23">
        <f t="shared" si="15"/>
        <v>0</v>
      </c>
      <c r="BY23">
        <f t="shared" si="15"/>
        <v>0</v>
      </c>
      <c r="BZ23">
        <f t="shared" si="15"/>
        <v>0</v>
      </c>
      <c r="CA23">
        <f t="shared" si="15"/>
        <v>-1</v>
      </c>
      <c r="CB23">
        <f t="shared" si="15"/>
        <v>-7404</v>
      </c>
      <c r="CC23">
        <f t="shared" si="15"/>
        <v>-4437</v>
      </c>
      <c r="CD23">
        <f t="shared" si="15"/>
        <v>-2</v>
      </c>
      <c r="CE23">
        <f t="shared" si="15"/>
        <v>-1</v>
      </c>
      <c r="CF23">
        <f t="shared" si="15"/>
        <v>-7605</v>
      </c>
      <c r="CG23">
        <f t="shared" si="15"/>
        <v>-5651</v>
      </c>
      <c r="CH23">
        <f t="shared" si="15"/>
        <v>0</v>
      </c>
      <c r="CI23">
        <f t="shared" si="15"/>
        <v>-2738</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6FCB-4524-184F-8F8C-1E4AAC5A861D}">
  <dimension ref="A1:CH63"/>
  <sheetViews>
    <sheetView topLeftCell="A29" workbookViewId="0">
      <selection activeCell="G60" sqref="G60:L63"/>
    </sheetView>
  </sheetViews>
  <sheetFormatPr baseColWidth="10" defaultColWidth="11.5" defaultRowHeight="16"/>
  <cols>
    <col min="1" max="1" width="63.6640625" customWidth="1"/>
  </cols>
  <sheetData>
    <row r="1" spans="1:86" ht="18">
      <c r="A1" s="1" t="s">
        <v>113</v>
      </c>
      <c r="B1" s="2"/>
      <c r="C1" s="2"/>
      <c r="D1" s="2"/>
      <c r="E1" s="2"/>
      <c r="F1" s="2" t="s">
        <v>0</v>
      </c>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row>
    <row r="2" spans="1:86" ht="17" thickBot="1">
      <c r="A2" s="20" t="s">
        <v>1</v>
      </c>
      <c r="B2" s="20" t="s">
        <v>2</v>
      </c>
      <c r="C2" s="20" t="s">
        <v>3</v>
      </c>
      <c r="D2" s="20" t="s">
        <v>4</v>
      </c>
      <c r="E2" s="20" t="s">
        <v>5</v>
      </c>
      <c r="F2" s="20" t="s">
        <v>6</v>
      </c>
      <c r="G2" s="20" t="s">
        <v>7</v>
      </c>
      <c r="H2" s="20" t="s">
        <v>8</v>
      </c>
      <c r="I2" s="20" t="s">
        <v>9</v>
      </c>
      <c r="J2" s="20" t="s">
        <v>10</v>
      </c>
      <c r="K2" s="20" t="s">
        <v>11</v>
      </c>
      <c r="L2" s="20" t="s">
        <v>12</v>
      </c>
      <c r="M2" s="20" t="s">
        <v>13</v>
      </c>
      <c r="N2" s="20" t="s">
        <v>14</v>
      </c>
      <c r="O2" s="20" t="s">
        <v>15</v>
      </c>
      <c r="P2" s="20" t="s">
        <v>16</v>
      </c>
      <c r="Q2" s="20" t="s">
        <v>17</v>
      </c>
      <c r="R2" s="20" t="s">
        <v>18</v>
      </c>
      <c r="S2" s="20" t="s">
        <v>19</v>
      </c>
      <c r="T2" s="20" t="s">
        <v>20</v>
      </c>
      <c r="U2" s="20" t="s">
        <v>21</v>
      </c>
      <c r="V2" s="20" t="s">
        <v>22</v>
      </c>
      <c r="W2" s="20" t="s">
        <v>23</v>
      </c>
      <c r="X2" s="20" t="s">
        <v>24</v>
      </c>
      <c r="Y2" s="20" t="s">
        <v>25</v>
      </c>
      <c r="Z2" s="20" t="s">
        <v>26</v>
      </c>
      <c r="AA2" s="20" t="s">
        <v>27</v>
      </c>
      <c r="AB2" s="20" t="s">
        <v>28</v>
      </c>
      <c r="AC2" s="20" t="s">
        <v>29</v>
      </c>
      <c r="AD2" s="20" t="s">
        <v>30</v>
      </c>
      <c r="AE2" s="20" t="s">
        <v>31</v>
      </c>
      <c r="AF2" s="20" t="s">
        <v>32</v>
      </c>
      <c r="AG2" s="20" t="s">
        <v>33</v>
      </c>
      <c r="AH2" s="20" t="s">
        <v>34</v>
      </c>
      <c r="AI2" s="20" t="s">
        <v>35</v>
      </c>
      <c r="AJ2" s="20" t="s">
        <v>36</v>
      </c>
      <c r="AK2" s="20" t="s">
        <v>37</v>
      </c>
      <c r="AL2" s="20" t="s">
        <v>38</v>
      </c>
      <c r="AM2" s="20" t="s">
        <v>39</v>
      </c>
      <c r="AN2" s="20" t="s">
        <v>40</v>
      </c>
      <c r="AO2" s="20" t="s">
        <v>41</v>
      </c>
      <c r="AP2" s="20" t="s">
        <v>42</v>
      </c>
      <c r="AQ2" s="20" t="s">
        <v>43</v>
      </c>
      <c r="AR2" s="20" t="s">
        <v>44</v>
      </c>
      <c r="AS2" s="20" t="s">
        <v>45</v>
      </c>
      <c r="AT2" s="20" t="s">
        <v>46</v>
      </c>
      <c r="AU2" s="20" t="s">
        <v>47</v>
      </c>
      <c r="AV2" s="20" t="s">
        <v>48</v>
      </c>
      <c r="AW2" s="20" t="s">
        <v>49</v>
      </c>
      <c r="AX2" s="20" t="s">
        <v>50</v>
      </c>
      <c r="AY2" s="20" t="s">
        <v>51</v>
      </c>
      <c r="AZ2" s="20" t="s">
        <v>52</v>
      </c>
      <c r="BA2" s="20" t="s">
        <v>53</v>
      </c>
      <c r="BB2" s="20" t="s">
        <v>54</v>
      </c>
      <c r="BC2" s="20" t="s">
        <v>55</v>
      </c>
      <c r="BD2" s="20" t="s">
        <v>56</v>
      </c>
      <c r="BE2" s="20" t="s">
        <v>57</v>
      </c>
      <c r="BF2" s="20" t="s">
        <v>58</v>
      </c>
      <c r="BG2" s="20" t="s">
        <v>59</v>
      </c>
      <c r="BH2" s="20" t="s">
        <v>60</v>
      </c>
      <c r="BI2" s="20" t="s">
        <v>61</v>
      </c>
      <c r="BJ2" s="20" t="s">
        <v>62</v>
      </c>
      <c r="BK2" s="20" t="s">
        <v>63</v>
      </c>
      <c r="BL2" s="20" t="s">
        <v>64</v>
      </c>
      <c r="BM2" s="20" t="s">
        <v>65</v>
      </c>
      <c r="BN2" s="20" t="s">
        <v>66</v>
      </c>
      <c r="BO2" s="20" t="s">
        <v>67</v>
      </c>
      <c r="BP2" s="20" t="s">
        <v>68</v>
      </c>
      <c r="BQ2" s="20" t="s">
        <v>69</v>
      </c>
      <c r="BR2" s="20" t="s">
        <v>70</v>
      </c>
      <c r="BS2" s="20" t="s">
        <v>71</v>
      </c>
      <c r="BT2" s="20" t="s">
        <v>72</v>
      </c>
      <c r="BU2" s="20" t="s">
        <v>73</v>
      </c>
      <c r="BV2" s="20" t="s">
        <v>74</v>
      </c>
      <c r="BW2" s="20" t="s">
        <v>75</v>
      </c>
      <c r="BX2" s="20" t="s">
        <v>76</v>
      </c>
      <c r="BY2" s="20" t="s">
        <v>77</v>
      </c>
      <c r="BZ2" s="20" t="s">
        <v>78</v>
      </c>
      <c r="CA2" s="20" t="s">
        <v>79</v>
      </c>
      <c r="CB2" s="20" t="s">
        <v>80</v>
      </c>
      <c r="CC2" s="20" t="s">
        <v>81</v>
      </c>
      <c r="CD2" s="20" t="s">
        <v>82</v>
      </c>
      <c r="CE2" s="20" t="s">
        <v>83</v>
      </c>
      <c r="CF2" s="20" t="s">
        <v>84</v>
      </c>
      <c r="CG2" s="20" t="s">
        <v>85</v>
      </c>
      <c r="CH2" s="20" t="s">
        <v>86</v>
      </c>
    </row>
    <row r="3" spans="1:86">
      <c r="A3" t="s">
        <v>1295</v>
      </c>
      <c r="B3" t="s">
        <v>88</v>
      </c>
      <c r="C3">
        <v>1000000</v>
      </c>
      <c r="D3" t="s">
        <v>89</v>
      </c>
      <c r="E3" t="s">
        <v>1296</v>
      </c>
      <c r="F3" s="21" t="s">
        <v>1297</v>
      </c>
      <c r="G3">
        <v>152852</v>
      </c>
      <c r="H3">
        <v>146656</v>
      </c>
      <c r="I3">
        <v>144829</v>
      </c>
      <c r="J3">
        <v>144008</v>
      </c>
      <c r="K3">
        <v>153784</v>
      </c>
      <c r="L3">
        <v>177528</v>
      </c>
      <c r="M3">
        <v>199082</v>
      </c>
      <c r="N3">
        <v>198678</v>
      </c>
      <c r="O3">
        <v>196403</v>
      </c>
      <c r="P3">
        <v>248357</v>
      </c>
      <c r="Q3">
        <v>298673</v>
      </c>
      <c r="R3">
        <v>323618</v>
      </c>
      <c r="S3">
        <v>301375</v>
      </c>
      <c r="T3">
        <v>382051</v>
      </c>
      <c r="U3">
        <v>420820</v>
      </c>
      <c r="V3">
        <v>425058</v>
      </c>
      <c r="W3">
        <v>521094</v>
      </c>
      <c r="X3">
        <v>503823</v>
      </c>
      <c r="Y3">
        <v>558475</v>
      </c>
      <c r="Z3">
        <v>647246</v>
      </c>
      <c r="AA3">
        <v>734923</v>
      </c>
      <c r="AB3">
        <v>660424</v>
      </c>
      <c r="AC3">
        <v>835107</v>
      </c>
      <c r="AD3">
        <v>996085</v>
      </c>
      <c r="AE3">
        <v>840609</v>
      </c>
      <c r="AF3">
        <v>831233</v>
      </c>
      <c r="AG3">
        <v>974871</v>
      </c>
      <c r="AH3">
        <v>1203281</v>
      </c>
      <c r="AI3">
        <v>938338</v>
      </c>
      <c r="AJ3">
        <v>632492</v>
      </c>
      <c r="AK3">
        <v>839378</v>
      </c>
      <c r="AL3">
        <v>1034228</v>
      </c>
      <c r="AM3">
        <v>922579</v>
      </c>
      <c r="AN3">
        <v>969619</v>
      </c>
      <c r="AO3">
        <v>1147253</v>
      </c>
      <c r="AP3">
        <v>1494924</v>
      </c>
      <c r="AQ3">
        <v>1382028</v>
      </c>
      <c r="AR3">
        <v>1562485</v>
      </c>
      <c r="AS3">
        <v>1855966</v>
      </c>
      <c r="AT3">
        <v>1789165</v>
      </c>
      <c r="AU3">
        <v>2270405</v>
      </c>
      <c r="AV3">
        <v>2682199</v>
      </c>
      <c r="AW3">
        <v>2710300</v>
      </c>
      <c r="AX3">
        <v>3075619</v>
      </c>
      <c r="AY3">
        <v>3812955</v>
      </c>
      <c r="AZ3">
        <v>3531306</v>
      </c>
      <c r="BA3">
        <v>4847773</v>
      </c>
      <c r="BB3">
        <v>5421969</v>
      </c>
      <c r="BC3">
        <v>6296866</v>
      </c>
      <c r="BD3">
        <v>6317493</v>
      </c>
      <c r="BE3">
        <v>8481326</v>
      </c>
      <c r="BF3">
        <v>10061049</v>
      </c>
      <c r="BG3">
        <v>12994553</v>
      </c>
      <c r="BH3">
        <v>15913534</v>
      </c>
      <c r="BI3">
        <v>19973394</v>
      </c>
      <c r="BJ3">
        <v>18244390</v>
      </c>
      <c r="BK3">
        <v>16388532</v>
      </c>
      <c r="BL3">
        <v>13194274</v>
      </c>
      <c r="BM3">
        <v>17330352</v>
      </c>
      <c r="BN3">
        <v>19800437</v>
      </c>
      <c r="BO3">
        <v>21515809</v>
      </c>
      <c r="BP3">
        <v>24973843</v>
      </c>
      <c r="BQ3">
        <v>26300070</v>
      </c>
      <c r="BR3">
        <v>16482304</v>
      </c>
      <c r="BS3">
        <v>21008142</v>
      </c>
      <c r="BT3">
        <v>24428137</v>
      </c>
      <c r="BU3">
        <v>23655389</v>
      </c>
      <c r="BV3">
        <v>27064003</v>
      </c>
      <c r="BW3">
        <v>34766495</v>
      </c>
      <c r="BX3">
        <v>38422608</v>
      </c>
      <c r="BY3">
        <v>37357372</v>
      </c>
      <c r="BZ3">
        <v>40313791</v>
      </c>
      <c r="CA3">
        <v>48133249</v>
      </c>
      <c r="CB3">
        <v>44014308</v>
      </c>
      <c r="CC3">
        <v>54708167</v>
      </c>
      <c r="CD3">
        <v>65517579</v>
      </c>
      <c r="CE3">
        <v>81253224</v>
      </c>
      <c r="CF3">
        <v>65308604</v>
      </c>
      <c r="CG3">
        <v>78220902</v>
      </c>
      <c r="CH3">
        <v>93815167</v>
      </c>
    </row>
    <row r="4" spans="1:86">
      <c r="A4" t="s">
        <v>400</v>
      </c>
      <c r="B4" t="s">
        <v>88</v>
      </c>
      <c r="C4">
        <v>1000000</v>
      </c>
      <c r="D4" t="s">
        <v>89</v>
      </c>
      <c r="E4" t="s">
        <v>596</v>
      </c>
      <c r="F4" s="21" t="s">
        <v>597</v>
      </c>
      <c r="G4">
        <v>103694</v>
      </c>
      <c r="H4">
        <v>97302</v>
      </c>
      <c r="I4">
        <v>95116</v>
      </c>
      <c r="J4">
        <v>94141</v>
      </c>
      <c r="K4">
        <v>103822</v>
      </c>
      <c r="L4">
        <v>126681</v>
      </c>
      <c r="M4">
        <v>147629</v>
      </c>
      <c r="N4">
        <v>146628</v>
      </c>
      <c r="O4">
        <v>144082</v>
      </c>
      <c r="P4">
        <v>194840</v>
      </c>
      <c r="Q4">
        <v>244222</v>
      </c>
      <c r="R4">
        <v>268373</v>
      </c>
      <c r="S4">
        <v>245747</v>
      </c>
      <c r="T4">
        <v>324670</v>
      </c>
      <c r="U4">
        <v>362157</v>
      </c>
      <c r="V4">
        <v>365166</v>
      </c>
      <c r="W4">
        <v>437674</v>
      </c>
      <c r="X4">
        <v>424314</v>
      </c>
      <c r="Y4">
        <v>465779</v>
      </c>
      <c r="Z4">
        <v>545955</v>
      </c>
      <c r="AA4">
        <v>623812</v>
      </c>
      <c r="AB4">
        <v>547891</v>
      </c>
      <c r="AC4">
        <v>712221</v>
      </c>
      <c r="AD4">
        <v>843150</v>
      </c>
      <c r="AE4">
        <v>705075</v>
      </c>
      <c r="AF4">
        <v>702482</v>
      </c>
      <c r="AG4">
        <v>824038</v>
      </c>
      <c r="AH4">
        <v>1032948</v>
      </c>
      <c r="AI4">
        <v>809566</v>
      </c>
      <c r="AJ4">
        <v>557656</v>
      </c>
      <c r="AK4">
        <v>754897</v>
      </c>
      <c r="AL4">
        <v>927412</v>
      </c>
      <c r="AM4">
        <v>819176</v>
      </c>
      <c r="AN4">
        <v>856335</v>
      </c>
      <c r="AO4">
        <v>1014783</v>
      </c>
      <c r="AP4">
        <v>1346523</v>
      </c>
      <c r="AQ4">
        <v>1225637</v>
      </c>
      <c r="AR4">
        <v>1386479</v>
      </c>
      <c r="AS4">
        <v>1630514</v>
      </c>
      <c r="AT4">
        <v>1553653</v>
      </c>
      <c r="AU4">
        <v>1917631</v>
      </c>
      <c r="AV4">
        <v>2241896</v>
      </c>
      <c r="AW4">
        <v>2287678</v>
      </c>
      <c r="AX4">
        <v>2559333</v>
      </c>
      <c r="AY4">
        <v>3140008</v>
      </c>
      <c r="AZ4">
        <v>2956992</v>
      </c>
      <c r="BA4">
        <v>4000417</v>
      </c>
      <c r="BB4">
        <v>4369261</v>
      </c>
      <c r="BC4">
        <v>4865339</v>
      </c>
      <c r="BD4">
        <v>4831577</v>
      </c>
      <c r="BE4">
        <v>6449974</v>
      </c>
      <c r="BF4">
        <v>7403482</v>
      </c>
      <c r="BG4">
        <v>9429717</v>
      </c>
      <c r="BH4">
        <v>11881725</v>
      </c>
      <c r="BI4">
        <v>15381893</v>
      </c>
      <c r="BJ4">
        <v>13361037</v>
      </c>
      <c r="BK4">
        <v>11944574</v>
      </c>
      <c r="BL4">
        <v>9269952</v>
      </c>
      <c r="BM4">
        <v>11931885</v>
      </c>
      <c r="BN4">
        <v>13516322</v>
      </c>
      <c r="BO4">
        <v>14216036</v>
      </c>
      <c r="BP4">
        <v>16022269</v>
      </c>
      <c r="BQ4">
        <v>16913376</v>
      </c>
      <c r="BR4">
        <v>11039201</v>
      </c>
      <c r="BS4">
        <v>13674425</v>
      </c>
      <c r="BT4">
        <v>15565512</v>
      </c>
      <c r="BU4">
        <v>15598527</v>
      </c>
      <c r="BV4">
        <v>17485958</v>
      </c>
      <c r="BW4">
        <v>22684806</v>
      </c>
      <c r="BX4">
        <v>25320711</v>
      </c>
      <c r="BY4">
        <v>24335330</v>
      </c>
      <c r="BZ4">
        <v>25843298</v>
      </c>
      <c r="CA4">
        <v>30023624</v>
      </c>
      <c r="CB4">
        <v>27922692</v>
      </c>
      <c r="CC4">
        <v>35063233</v>
      </c>
      <c r="CD4">
        <v>43783375</v>
      </c>
      <c r="CE4">
        <v>54262122</v>
      </c>
      <c r="CF4">
        <v>42065026</v>
      </c>
      <c r="CG4">
        <v>51743045</v>
      </c>
      <c r="CH4">
        <v>62728651</v>
      </c>
    </row>
    <row r="5" spans="1:86">
      <c r="A5" t="s">
        <v>1298</v>
      </c>
      <c r="B5" t="s">
        <v>88</v>
      </c>
      <c r="C5">
        <v>1000000</v>
      </c>
      <c r="D5" t="s">
        <v>89</v>
      </c>
      <c r="E5" t="s">
        <v>1299</v>
      </c>
      <c r="F5" s="21" t="s">
        <v>1300</v>
      </c>
      <c r="G5">
        <v>103694</v>
      </c>
      <c r="H5">
        <v>97302</v>
      </c>
      <c r="I5">
        <v>95116</v>
      </c>
      <c r="J5">
        <v>94141</v>
      </c>
      <c r="K5">
        <v>103822</v>
      </c>
      <c r="L5">
        <v>126681</v>
      </c>
      <c r="M5">
        <v>147629</v>
      </c>
      <c r="N5">
        <v>146628</v>
      </c>
      <c r="O5">
        <v>144082</v>
      </c>
      <c r="P5">
        <v>194840</v>
      </c>
      <c r="Q5">
        <v>244222</v>
      </c>
      <c r="R5">
        <v>268373</v>
      </c>
      <c r="S5">
        <v>245747</v>
      </c>
      <c r="T5">
        <v>324670</v>
      </c>
      <c r="U5">
        <v>362157</v>
      </c>
      <c r="V5">
        <v>365166</v>
      </c>
      <c r="W5">
        <v>437674</v>
      </c>
      <c r="X5">
        <v>424314</v>
      </c>
      <c r="Y5">
        <v>465779</v>
      </c>
      <c r="Z5">
        <v>545955</v>
      </c>
      <c r="AA5">
        <v>623812</v>
      </c>
      <c r="AB5">
        <v>547891</v>
      </c>
      <c r="AC5">
        <v>712221</v>
      </c>
      <c r="AD5">
        <v>843150</v>
      </c>
      <c r="AE5">
        <v>705075</v>
      </c>
      <c r="AF5">
        <v>702482</v>
      </c>
      <c r="AG5">
        <v>824038</v>
      </c>
      <c r="AH5">
        <v>1032948</v>
      </c>
      <c r="AI5">
        <v>809566</v>
      </c>
      <c r="AJ5">
        <v>557656</v>
      </c>
      <c r="AK5">
        <v>754897</v>
      </c>
      <c r="AL5">
        <v>927412</v>
      </c>
      <c r="AM5">
        <v>819176</v>
      </c>
      <c r="AN5">
        <v>856335</v>
      </c>
      <c r="AO5">
        <v>1014783</v>
      </c>
      <c r="AP5">
        <v>1346523</v>
      </c>
      <c r="AQ5">
        <v>1225637</v>
      </c>
      <c r="AR5">
        <v>1386479</v>
      </c>
      <c r="AS5">
        <v>1630514</v>
      </c>
      <c r="AT5">
        <v>1553653</v>
      </c>
      <c r="AU5">
        <v>1917631</v>
      </c>
      <c r="AV5">
        <v>2241896</v>
      </c>
      <c r="AW5">
        <v>2287678</v>
      </c>
      <c r="AX5">
        <v>2559333</v>
      </c>
      <c r="AY5">
        <v>3140008</v>
      </c>
      <c r="AZ5">
        <v>2956992</v>
      </c>
      <c r="BA5">
        <v>4000417</v>
      </c>
      <c r="BB5">
        <v>4369261</v>
      </c>
      <c r="BC5">
        <v>4865339</v>
      </c>
      <c r="BD5">
        <v>4831577</v>
      </c>
      <c r="BE5">
        <v>6449974</v>
      </c>
      <c r="BF5">
        <v>6452650</v>
      </c>
      <c r="BG5">
        <v>8173484</v>
      </c>
      <c r="BH5">
        <v>10310699</v>
      </c>
      <c r="BI5">
        <v>13687036</v>
      </c>
      <c r="BJ5">
        <v>11865829</v>
      </c>
      <c r="BK5">
        <v>10431925</v>
      </c>
      <c r="BL5">
        <v>7957785</v>
      </c>
      <c r="BM5">
        <v>10386711</v>
      </c>
      <c r="BN5">
        <v>11644860</v>
      </c>
      <c r="BO5">
        <v>12062909</v>
      </c>
      <c r="BP5">
        <v>13420745</v>
      </c>
      <c r="BQ5">
        <v>14030865</v>
      </c>
      <c r="BR5">
        <v>8821591</v>
      </c>
      <c r="BS5">
        <v>11188489</v>
      </c>
      <c r="BT5">
        <v>12978719</v>
      </c>
      <c r="BU5">
        <v>13023982</v>
      </c>
      <c r="BV5">
        <v>14496468</v>
      </c>
      <c r="BW5">
        <v>18672464</v>
      </c>
      <c r="BX5">
        <v>20495535</v>
      </c>
      <c r="BY5">
        <v>19567299</v>
      </c>
      <c r="BZ5">
        <v>20741195</v>
      </c>
      <c r="CA5">
        <v>24356405</v>
      </c>
      <c r="CB5">
        <v>22485665</v>
      </c>
      <c r="CC5">
        <v>28530744</v>
      </c>
      <c r="CD5">
        <v>36091357</v>
      </c>
      <c r="CE5">
        <v>44798142</v>
      </c>
      <c r="CF5">
        <v>34091709</v>
      </c>
      <c r="CG5">
        <v>42480113</v>
      </c>
      <c r="CH5">
        <v>51870336</v>
      </c>
    </row>
    <row r="6" spans="1:86">
      <c r="A6" t="s">
        <v>1301</v>
      </c>
      <c r="B6" t="s">
        <v>88</v>
      </c>
      <c r="C6">
        <v>1000000</v>
      </c>
      <c r="D6" t="s">
        <v>89</v>
      </c>
      <c r="E6" t="s">
        <v>1302</v>
      </c>
      <c r="F6" s="21" t="s">
        <v>1303</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950832</v>
      </c>
      <c r="BG6">
        <v>1256233</v>
      </c>
      <c r="BH6">
        <v>1571026</v>
      </c>
      <c r="BI6">
        <v>1694857</v>
      </c>
      <c r="BJ6">
        <v>1495208</v>
      </c>
      <c r="BK6">
        <v>1512649</v>
      </c>
      <c r="BL6">
        <v>1312167</v>
      </c>
      <c r="BM6">
        <v>1545174</v>
      </c>
      <c r="BN6">
        <v>1871462</v>
      </c>
      <c r="BO6">
        <v>2153127</v>
      </c>
      <c r="BP6">
        <v>2601524</v>
      </c>
      <c r="BQ6">
        <v>2882511</v>
      </c>
      <c r="BR6">
        <v>2217610</v>
      </c>
      <c r="BS6">
        <v>2485936</v>
      </c>
      <c r="BT6">
        <v>2586793</v>
      </c>
      <c r="BU6">
        <v>2574545</v>
      </c>
      <c r="BV6">
        <v>2989490</v>
      </c>
      <c r="BW6">
        <v>4012342</v>
      </c>
      <c r="BX6">
        <v>4825176</v>
      </c>
      <c r="BY6">
        <v>4768031</v>
      </c>
      <c r="BZ6">
        <v>5102103</v>
      </c>
      <c r="CA6">
        <v>5667219</v>
      </c>
      <c r="CB6">
        <v>5437027</v>
      </c>
      <c r="CC6">
        <v>6532489</v>
      </c>
      <c r="CD6">
        <v>7692018</v>
      </c>
      <c r="CE6">
        <v>9463980</v>
      </c>
      <c r="CF6">
        <v>7973317</v>
      </c>
      <c r="CG6">
        <v>9262932</v>
      </c>
      <c r="CH6">
        <v>10858315</v>
      </c>
    </row>
    <row r="7" spans="1:86">
      <c r="A7" t="s">
        <v>794</v>
      </c>
      <c r="B7" t="s">
        <v>88</v>
      </c>
      <c r="C7">
        <v>1000000</v>
      </c>
      <c r="D7" t="s">
        <v>89</v>
      </c>
      <c r="E7" t="s">
        <v>968</v>
      </c>
      <c r="F7" s="21" t="s">
        <v>969</v>
      </c>
      <c r="G7">
        <v>48216</v>
      </c>
      <c r="H7">
        <v>48353</v>
      </c>
      <c r="I7">
        <v>48741</v>
      </c>
      <c r="J7">
        <v>48923</v>
      </c>
      <c r="K7">
        <v>49254</v>
      </c>
      <c r="L7">
        <v>49672</v>
      </c>
      <c r="M7">
        <v>50063</v>
      </c>
      <c r="N7">
        <v>50591</v>
      </c>
      <c r="O7">
        <v>50992</v>
      </c>
      <c r="P7">
        <v>51649</v>
      </c>
      <c r="Q7">
        <v>52012</v>
      </c>
      <c r="R7">
        <v>52620</v>
      </c>
      <c r="S7">
        <v>53395</v>
      </c>
      <c r="T7">
        <v>54286</v>
      </c>
      <c r="U7">
        <v>54974</v>
      </c>
      <c r="V7">
        <v>55908</v>
      </c>
      <c r="W7">
        <v>78518</v>
      </c>
      <c r="X7">
        <v>74795</v>
      </c>
      <c r="Y7">
        <v>87551</v>
      </c>
      <c r="Z7">
        <v>96021</v>
      </c>
      <c r="AA7">
        <v>106063</v>
      </c>
      <c r="AB7">
        <v>108209</v>
      </c>
      <c r="AC7">
        <v>117648</v>
      </c>
      <c r="AD7">
        <v>146483</v>
      </c>
      <c r="AE7">
        <v>128581</v>
      </c>
      <c r="AF7">
        <v>122178</v>
      </c>
      <c r="AG7">
        <v>143192</v>
      </c>
      <c r="AH7">
        <v>159796</v>
      </c>
      <c r="AI7">
        <v>118746</v>
      </c>
      <c r="AJ7">
        <v>65825</v>
      </c>
      <c r="AK7">
        <v>74896</v>
      </c>
      <c r="AL7">
        <v>97363</v>
      </c>
      <c r="AM7">
        <v>93293</v>
      </c>
      <c r="AN7">
        <v>102048</v>
      </c>
      <c r="AO7">
        <v>117667</v>
      </c>
      <c r="AP7">
        <v>129471</v>
      </c>
      <c r="AQ7">
        <v>139924</v>
      </c>
      <c r="AR7">
        <v>158564</v>
      </c>
      <c r="AS7">
        <v>199298</v>
      </c>
      <c r="AT7">
        <v>209518</v>
      </c>
      <c r="AU7">
        <v>308391</v>
      </c>
      <c r="AV7">
        <v>367904</v>
      </c>
      <c r="AW7">
        <v>327922</v>
      </c>
      <c r="AX7">
        <v>387624</v>
      </c>
      <c r="AY7">
        <v>475602</v>
      </c>
      <c r="AZ7">
        <v>376718</v>
      </c>
      <c r="BA7">
        <v>568380</v>
      </c>
      <c r="BB7">
        <v>738442</v>
      </c>
      <c r="BC7">
        <v>887665</v>
      </c>
      <c r="BD7">
        <v>859154</v>
      </c>
      <c r="BE7">
        <v>1240737</v>
      </c>
      <c r="BF7">
        <v>1651432</v>
      </c>
      <c r="BG7">
        <v>2357049</v>
      </c>
      <c r="BH7">
        <v>2556826</v>
      </c>
      <c r="BI7">
        <v>2587785</v>
      </c>
      <c r="BJ7">
        <v>3030511</v>
      </c>
      <c r="BK7">
        <v>2831285</v>
      </c>
      <c r="BL7">
        <v>2550342</v>
      </c>
      <c r="BM7">
        <v>3319045</v>
      </c>
      <c r="BN7">
        <v>3723697</v>
      </c>
      <c r="BO7">
        <v>3982068</v>
      </c>
      <c r="BP7">
        <v>4622614</v>
      </c>
      <c r="BQ7">
        <v>4138704</v>
      </c>
      <c r="BR7">
        <v>2694675</v>
      </c>
      <c r="BS7">
        <v>3338422</v>
      </c>
      <c r="BT7">
        <v>3962379</v>
      </c>
      <c r="BU7">
        <v>3555424</v>
      </c>
      <c r="BV7">
        <v>4256188</v>
      </c>
      <c r="BW7">
        <v>5608812</v>
      </c>
      <c r="BX7">
        <v>6331268</v>
      </c>
      <c r="BY7">
        <v>6265879</v>
      </c>
      <c r="BZ7">
        <v>7324173</v>
      </c>
      <c r="CA7">
        <v>8991487</v>
      </c>
      <c r="CB7">
        <v>8192053</v>
      </c>
      <c r="CC7">
        <v>10166920</v>
      </c>
      <c r="CD7">
        <v>11119188</v>
      </c>
      <c r="CE7">
        <v>14929808</v>
      </c>
      <c r="CF7">
        <v>13111550</v>
      </c>
      <c r="CG7">
        <v>15210823</v>
      </c>
      <c r="CH7">
        <v>19090227</v>
      </c>
    </row>
    <row r="8" spans="1:86">
      <c r="A8" t="s">
        <v>1304</v>
      </c>
      <c r="B8" t="s">
        <v>88</v>
      </c>
      <c r="C8">
        <v>1000000</v>
      </c>
      <c r="D8" t="s">
        <v>89</v>
      </c>
      <c r="E8" t="s">
        <v>1305</v>
      </c>
      <c r="F8" s="21" t="s">
        <v>1306</v>
      </c>
      <c r="G8">
        <v>1811</v>
      </c>
      <c r="H8">
        <v>2333</v>
      </c>
      <c r="I8">
        <v>2890</v>
      </c>
      <c r="J8">
        <v>2444</v>
      </c>
      <c r="K8">
        <v>2599</v>
      </c>
      <c r="L8">
        <v>2077</v>
      </c>
      <c r="M8">
        <v>2184</v>
      </c>
      <c r="N8">
        <v>2155</v>
      </c>
      <c r="O8">
        <v>2723</v>
      </c>
      <c r="P8">
        <v>2600</v>
      </c>
      <c r="Q8">
        <v>2333</v>
      </c>
      <c r="R8">
        <v>2210</v>
      </c>
      <c r="S8">
        <v>2797</v>
      </c>
      <c r="T8">
        <v>2805</v>
      </c>
      <c r="U8">
        <v>2293</v>
      </c>
      <c r="V8">
        <v>2672</v>
      </c>
      <c r="W8">
        <v>3694</v>
      </c>
      <c r="X8">
        <v>3357</v>
      </c>
      <c r="Y8">
        <v>4302</v>
      </c>
      <c r="Z8">
        <v>4136</v>
      </c>
      <c r="AA8">
        <v>5165</v>
      </c>
      <c r="AB8">
        <v>5215</v>
      </c>
      <c r="AC8">
        <v>5190</v>
      </c>
      <c r="AD8">
        <v>4547</v>
      </c>
      <c r="AE8">
        <v>3511</v>
      </c>
      <c r="AF8">
        <v>4819</v>
      </c>
      <c r="AG8">
        <v>5250</v>
      </c>
      <c r="AH8">
        <v>5501</v>
      </c>
      <c r="AI8">
        <v>2928</v>
      </c>
      <c r="AJ8">
        <v>1597</v>
      </c>
      <c r="AK8">
        <v>1745</v>
      </c>
      <c r="AL8">
        <v>2722</v>
      </c>
      <c r="AM8">
        <v>2645</v>
      </c>
      <c r="AN8">
        <v>2977</v>
      </c>
      <c r="AO8">
        <v>3383</v>
      </c>
      <c r="AP8">
        <v>3380</v>
      </c>
      <c r="AQ8">
        <v>3870</v>
      </c>
      <c r="AR8">
        <v>3428</v>
      </c>
      <c r="AS8">
        <v>4395</v>
      </c>
      <c r="AT8">
        <v>3851</v>
      </c>
      <c r="AU8">
        <v>5739</v>
      </c>
      <c r="AV8">
        <v>9789</v>
      </c>
      <c r="AW8">
        <v>8185</v>
      </c>
      <c r="AX8">
        <v>12172</v>
      </c>
      <c r="AY8">
        <v>10651</v>
      </c>
      <c r="AZ8">
        <v>5826</v>
      </c>
      <c r="BA8">
        <v>10970</v>
      </c>
      <c r="BB8">
        <v>14827</v>
      </c>
      <c r="BC8">
        <v>22532</v>
      </c>
      <c r="BD8">
        <v>24924</v>
      </c>
      <c r="BE8">
        <v>36915</v>
      </c>
      <c r="BF8">
        <v>52174</v>
      </c>
      <c r="BG8">
        <v>75872</v>
      </c>
      <c r="BH8">
        <v>78727</v>
      </c>
      <c r="BI8">
        <v>82826</v>
      </c>
      <c r="BJ8">
        <v>116815</v>
      </c>
      <c r="BK8">
        <v>117090</v>
      </c>
      <c r="BL8">
        <v>117969</v>
      </c>
      <c r="BM8">
        <v>139529</v>
      </c>
      <c r="BN8">
        <v>138994</v>
      </c>
      <c r="BO8">
        <v>145418</v>
      </c>
      <c r="BP8">
        <v>125303</v>
      </c>
      <c r="BQ8">
        <v>70673</v>
      </c>
      <c r="BR8">
        <v>62389</v>
      </c>
      <c r="BS8">
        <v>41667</v>
      </c>
      <c r="BT8">
        <v>62456</v>
      </c>
      <c r="BU8">
        <v>53866</v>
      </c>
      <c r="BV8">
        <v>33301</v>
      </c>
      <c r="BW8">
        <v>51542</v>
      </c>
      <c r="BX8">
        <v>67511</v>
      </c>
      <c r="BY8">
        <v>76484</v>
      </c>
      <c r="BZ8">
        <v>102169</v>
      </c>
      <c r="CA8">
        <v>118718</v>
      </c>
      <c r="CB8">
        <v>104895</v>
      </c>
      <c r="CC8">
        <v>125862</v>
      </c>
      <c r="CD8">
        <v>119268</v>
      </c>
      <c r="CE8">
        <v>172345</v>
      </c>
      <c r="CF8">
        <v>124146</v>
      </c>
      <c r="CG8">
        <v>98740</v>
      </c>
      <c r="CH8">
        <v>105790</v>
      </c>
    </row>
    <row r="9" spans="1:86">
      <c r="A9" t="s">
        <v>1307</v>
      </c>
      <c r="B9" t="s">
        <v>88</v>
      </c>
      <c r="C9">
        <v>1000000</v>
      </c>
      <c r="D9" t="s">
        <v>89</v>
      </c>
      <c r="E9" t="s">
        <v>1308</v>
      </c>
      <c r="F9" s="21" t="s">
        <v>1309</v>
      </c>
      <c r="G9">
        <v>1811</v>
      </c>
      <c r="H9">
        <v>2333</v>
      </c>
      <c r="I9">
        <v>2890</v>
      </c>
      <c r="J9">
        <v>2444</v>
      </c>
      <c r="K9">
        <v>2599</v>
      </c>
      <c r="L9">
        <v>2077</v>
      </c>
      <c r="M9">
        <v>2184</v>
      </c>
      <c r="N9">
        <v>2155</v>
      </c>
      <c r="O9">
        <v>2723</v>
      </c>
      <c r="P9">
        <v>2600</v>
      </c>
      <c r="Q9">
        <v>2333</v>
      </c>
      <c r="R9">
        <v>2210</v>
      </c>
      <c r="S9">
        <v>2797</v>
      </c>
      <c r="T9">
        <v>2805</v>
      </c>
      <c r="U9">
        <v>2293</v>
      </c>
      <c r="V9">
        <v>2672</v>
      </c>
      <c r="W9">
        <v>3694</v>
      </c>
      <c r="X9">
        <v>3357</v>
      </c>
      <c r="Y9">
        <v>4302</v>
      </c>
      <c r="Z9">
        <v>4136</v>
      </c>
      <c r="AA9">
        <v>5165</v>
      </c>
      <c r="AB9">
        <v>5215</v>
      </c>
      <c r="AC9">
        <v>5190</v>
      </c>
      <c r="AD9">
        <v>4547</v>
      </c>
      <c r="AE9">
        <v>3511</v>
      </c>
      <c r="AF9">
        <v>4819</v>
      </c>
      <c r="AG9">
        <v>5250</v>
      </c>
      <c r="AH9">
        <v>5501</v>
      </c>
      <c r="AI9">
        <v>2928</v>
      </c>
      <c r="AJ9">
        <v>1597</v>
      </c>
      <c r="AK9">
        <v>1745</v>
      </c>
      <c r="AL9">
        <v>2722</v>
      </c>
      <c r="AM9">
        <v>2645</v>
      </c>
      <c r="AN9">
        <v>2977</v>
      </c>
      <c r="AO9">
        <v>3383</v>
      </c>
      <c r="AP9">
        <v>3380</v>
      </c>
      <c r="AQ9">
        <v>3870</v>
      </c>
      <c r="AR9">
        <v>3428</v>
      </c>
      <c r="AS9">
        <v>4395</v>
      </c>
      <c r="AT9">
        <v>3851</v>
      </c>
      <c r="AU9">
        <v>5739</v>
      </c>
      <c r="AV9">
        <v>9789</v>
      </c>
      <c r="AW9">
        <v>8185</v>
      </c>
      <c r="AX9">
        <v>12172</v>
      </c>
      <c r="AY9">
        <v>10651</v>
      </c>
      <c r="AZ9">
        <v>5826</v>
      </c>
      <c r="BA9">
        <v>10970</v>
      </c>
      <c r="BB9">
        <v>14827</v>
      </c>
      <c r="BC9">
        <v>22532</v>
      </c>
      <c r="BD9">
        <v>24924</v>
      </c>
      <c r="BE9">
        <v>36915</v>
      </c>
      <c r="BF9">
        <v>47450</v>
      </c>
      <c r="BG9">
        <v>65875</v>
      </c>
      <c r="BH9">
        <v>71612</v>
      </c>
      <c r="BI9">
        <v>78650</v>
      </c>
      <c r="BJ9">
        <v>110284</v>
      </c>
      <c r="BK9">
        <v>112201</v>
      </c>
      <c r="BL9">
        <v>112406</v>
      </c>
      <c r="BM9">
        <v>132823</v>
      </c>
      <c r="BN9">
        <v>131306</v>
      </c>
      <c r="BO9">
        <v>136836</v>
      </c>
      <c r="BP9">
        <v>115916</v>
      </c>
      <c r="BQ9">
        <v>64483</v>
      </c>
      <c r="BR9">
        <v>57063</v>
      </c>
      <c r="BS9">
        <v>38480</v>
      </c>
      <c r="BT9">
        <v>57438</v>
      </c>
      <c r="BU9">
        <v>49334</v>
      </c>
      <c r="BV9">
        <v>29258</v>
      </c>
      <c r="BW9">
        <v>45788</v>
      </c>
      <c r="BX9">
        <v>61821</v>
      </c>
      <c r="BY9">
        <v>70446</v>
      </c>
      <c r="BZ9">
        <v>93517</v>
      </c>
      <c r="CA9">
        <v>109215</v>
      </c>
      <c r="CB9">
        <v>97687</v>
      </c>
      <c r="CC9">
        <v>118774</v>
      </c>
      <c r="CD9">
        <v>111149</v>
      </c>
      <c r="CE9">
        <v>158744</v>
      </c>
      <c r="CF9">
        <v>114892</v>
      </c>
      <c r="CG9">
        <v>91473</v>
      </c>
      <c r="CH9">
        <v>97584</v>
      </c>
    </row>
    <row r="10" spans="1:86">
      <c r="A10" t="s">
        <v>1310</v>
      </c>
      <c r="B10" t="s">
        <v>88</v>
      </c>
      <c r="C10">
        <v>1000000</v>
      </c>
      <c r="D10" t="s">
        <v>89</v>
      </c>
      <c r="E10" t="s">
        <v>1311</v>
      </c>
      <c r="F10" s="21" t="s">
        <v>1312</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4724</v>
      </c>
      <c r="BG10">
        <v>9997</v>
      </c>
      <c r="BH10">
        <v>7115</v>
      </c>
      <c r="BI10">
        <v>4176</v>
      </c>
      <c r="BJ10">
        <v>6531</v>
      </c>
      <c r="BK10">
        <v>4889</v>
      </c>
      <c r="BL10">
        <v>5563</v>
      </c>
      <c r="BM10">
        <v>6706</v>
      </c>
      <c r="BN10">
        <v>7688</v>
      </c>
      <c r="BO10">
        <v>8582</v>
      </c>
      <c r="BP10">
        <v>9387</v>
      </c>
      <c r="BQ10">
        <v>6190</v>
      </c>
      <c r="BR10">
        <v>5326</v>
      </c>
      <c r="BS10">
        <v>3187</v>
      </c>
      <c r="BT10">
        <v>5018</v>
      </c>
      <c r="BU10">
        <v>4532</v>
      </c>
      <c r="BV10">
        <v>4043</v>
      </c>
      <c r="BW10">
        <v>5754</v>
      </c>
      <c r="BX10">
        <v>5690</v>
      </c>
      <c r="BY10">
        <v>6038</v>
      </c>
      <c r="BZ10">
        <v>8652</v>
      </c>
      <c r="CA10">
        <v>9503</v>
      </c>
      <c r="CB10">
        <v>7208</v>
      </c>
      <c r="CC10">
        <v>7088</v>
      </c>
      <c r="CD10">
        <v>8119</v>
      </c>
      <c r="CE10">
        <v>13601</v>
      </c>
      <c r="CF10">
        <v>9254</v>
      </c>
      <c r="CG10">
        <v>7267</v>
      </c>
      <c r="CH10">
        <v>8206</v>
      </c>
    </row>
    <row r="11" spans="1:86">
      <c r="A11" t="s">
        <v>1313</v>
      </c>
      <c r="B11" t="s">
        <v>88</v>
      </c>
      <c r="C11">
        <v>1000000</v>
      </c>
      <c r="D11" t="s">
        <v>89</v>
      </c>
      <c r="E11" t="s">
        <v>1314</v>
      </c>
      <c r="F11" s="21" t="s">
        <v>1315</v>
      </c>
      <c r="G11">
        <v>0</v>
      </c>
      <c r="H11">
        <v>0</v>
      </c>
      <c r="I11">
        <v>0</v>
      </c>
      <c r="J11">
        <v>0</v>
      </c>
      <c r="K11">
        <v>0</v>
      </c>
      <c r="L11">
        <v>0</v>
      </c>
      <c r="M11">
        <v>0</v>
      </c>
      <c r="N11">
        <v>0</v>
      </c>
      <c r="O11">
        <v>0</v>
      </c>
      <c r="P11">
        <v>0</v>
      </c>
      <c r="Q11">
        <v>0</v>
      </c>
      <c r="R11">
        <v>0</v>
      </c>
      <c r="S11">
        <v>0</v>
      </c>
      <c r="T11">
        <v>0</v>
      </c>
      <c r="U11">
        <v>0</v>
      </c>
      <c r="V11">
        <v>0</v>
      </c>
      <c r="W11">
        <v>0</v>
      </c>
      <c r="X11">
        <v>6599</v>
      </c>
      <c r="Y11">
        <v>6620</v>
      </c>
      <c r="Z11">
        <v>7574</v>
      </c>
      <c r="AA11">
        <v>9950</v>
      </c>
      <c r="AB11">
        <v>11647</v>
      </c>
      <c r="AC11">
        <v>8068</v>
      </c>
      <c r="AD11">
        <v>2726</v>
      </c>
      <c r="AE11">
        <v>3565</v>
      </c>
      <c r="AF11">
        <v>5168</v>
      </c>
      <c r="AG11">
        <v>5828</v>
      </c>
      <c r="AH11">
        <v>8255</v>
      </c>
      <c r="AI11">
        <v>5429</v>
      </c>
      <c r="AJ11">
        <v>3056</v>
      </c>
      <c r="AK11">
        <v>3543</v>
      </c>
      <c r="AL11">
        <v>4362</v>
      </c>
      <c r="AM11">
        <v>4486</v>
      </c>
      <c r="AN11">
        <v>7041</v>
      </c>
      <c r="AO11">
        <v>8798</v>
      </c>
      <c r="AP11">
        <v>9711</v>
      </c>
      <c r="AQ11">
        <v>12034</v>
      </c>
      <c r="AR11">
        <v>13786</v>
      </c>
      <c r="AS11">
        <v>16063</v>
      </c>
      <c r="AT11">
        <v>13827</v>
      </c>
      <c r="AU11">
        <v>23816</v>
      </c>
      <c r="AV11">
        <v>30532</v>
      </c>
      <c r="AW11">
        <v>26463</v>
      </c>
      <c r="AX11">
        <v>32871</v>
      </c>
      <c r="AY11">
        <v>46062</v>
      </c>
      <c r="AZ11">
        <v>40125</v>
      </c>
      <c r="BA11">
        <v>56247</v>
      </c>
      <c r="BB11">
        <v>73671</v>
      </c>
      <c r="BC11">
        <v>101382</v>
      </c>
      <c r="BD11">
        <v>103488</v>
      </c>
      <c r="BE11">
        <v>153585</v>
      </c>
      <c r="BF11">
        <v>183770</v>
      </c>
      <c r="BG11">
        <v>275189</v>
      </c>
      <c r="BH11">
        <v>366532</v>
      </c>
      <c r="BI11">
        <v>392953</v>
      </c>
      <c r="BJ11">
        <v>525478</v>
      </c>
      <c r="BK11">
        <v>474686</v>
      </c>
      <c r="BL11">
        <v>400734</v>
      </c>
      <c r="BM11">
        <v>476258</v>
      </c>
      <c r="BN11">
        <v>536968</v>
      </c>
      <c r="BO11">
        <v>576026</v>
      </c>
      <c r="BP11">
        <v>649672</v>
      </c>
      <c r="BQ11">
        <v>600298</v>
      </c>
      <c r="BR11">
        <v>314305</v>
      </c>
      <c r="BS11">
        <v>323607</v>
      </c>
      <c r="BT11">
        <v>421489</v>
      </c>
      <c r="BU11">
        <v>404925</v>
      </c>
      <c r="BV11">
        <v>401526</v>
      </c>
      <c r="BW11">
        <v>541279</v>
      </c>
      <c r="BX11">
        <v>638053</v>
      </c>
      <c r="BY11">
        <v>588241</v>
      </c>
      <c r="BZ11">
        <v>644748</v>
      </c>
      <c r="CA11">
        <v>835774</v>
      </c>
      <c r="CB11">
        <v>810396</v>
      </c>
      <c r="CC11">
        <v>896559</v>
      </c>
      <c r="CD11">
        <v>870738</v>
      </c>
      <c r="CE11">
        <v>1024210</v>
      </c>
      <c r="CF11">
        <v>1029895</v>
      </c>
      <c r="CG11">
        <v>1153411</v>
      </c>
      <c r="CH11">
        <v>1462384</v>
      </c>
    </row>
    <row r="12" spans="1:86">
      <c r="A12" t="s">
        <v>1316</v>
      </c>
      <c r="B12" t="s">
        <v>88</v>
      </c>
      <c r="C12">
        <v>1000000</v>
      </c>
      <c r="D12" t="s">
        <v>89</v>
      </c>
      <c r="E12" t="s">
        <v>1317</v>
      </c>
      <c r="F12" s="21" t="s">
        <v>1318</v>
      </c>
      <c r="G12">
        <v>0</v>
      </c>
      <c r="H12">
        <v>0</v>
      </c>
      <c r="I12">
        <v>0</v>
      </c>
      <c r="J12">
        <v>0</v>
      </c>
      <c r="K12">
        <v>0</v>
      </c>
      <c r="L12">
        <v>0</v>
      </c>
      <c r="M12">
        <v>0</v>
      </c>
      <c r="N12">
        <v>0</v>
      </c>
      <c r="O12">
        <v>0</v>
      </c>
      <c r="P12">
        <v>0</v>
      </c>
      <c r="Q12">
        <v>0</v>
      </c>
      <c r="R12">
        <v>0</v>
      </c>
      <c r="S12">
        <v>0</v>
      </c>
      <c r="T12">
        <v>0</v>
      </c>
      <c r="U12">
        <v>0</v>
      </c>
      <c r="V12">
        <v>0</v>
      </c>
      <c r="W12">
        <v>0</v>
      </c>
      <c r="X12">
        <v>6599</v>
      </c>
      <c r="Y12">
        <v>6620</v>
      </c>
      <c r="Z12">
        <v>7574</v>
      </c>
      <c r="AA12">
        <v>9950</v>
      </c>
      <c r="AB12">
        <v>11647</v>
      </c>
      <c r="AC12">
        <v>8068</v>
      </c>
      <c r="AD12">
        <v>2726</v>
      </c>
      <c r="AE12">
        <v>3565</v>
      </c>
      <c r="AF12">
        <v>5168</v>
      </c>
      <c r="AG12">
        <v>5828</v>
      </c>
      <c r="AH12">
        <v>8255</v>
      </c>
      <c r="AI12">
        <v>5429</v>
      </c>
      <c r="AJ12">
        <v>3056</v>
      </c>
      <c r="AK12">
        <v>3543</v>
      </c>
      <c r="AL12">
        <v>4362</v>
      </c>
      <c r="AM12">
        <v>4486</v>
      </c>
      <c r="AN12">
        <v>7041</v>
      </c>
      <c r="AO12">
        <v>8798</v>
      </c>
      <c r="AP12">
        <v>9711</v>
      </c>
      <c r="AQ12">
        <v>12034</v>
      </c>
      <c r="AR12">
        <v>13786</v>
      </c>
      <c r="AS12">
        <v>16063</v>
      </c>
      <c r="AT12">
        <v>13827</v>
      </c>
      <c r="AU12">
        <v>23816</v>
      </c>
      <c r="AV12">
        <v>30532</v>
      </c>
      <c r="AW12">
        <v>26463</v>
      </c>
      <c r="AX12">
        <v>32871</v>
      </c>
      <c r="AY12">
        <v>46062</v>
      </c>
      <c r="AZ12">
        <v>40125</v>
      </c>
      <c r="BA12">
        <v>56247</v>
      </c>
      <c r="BB12">
        <v>73671</v>
      </c>
      <c r="BC12">
        <v>101382</v>
      </c>
      <c r="BD12">
        <v>103488</v>
      </c>
      <c r="BE12">
        <v>153585</v>
      </c>
      <c r="BF12">
        <v>181838</v>
      </c>
      <c r="BG12">
        <v>272325</v>
      </c>
      <c r="BH12">
        <v>362977</v>
      </c>
      <c r="BI12">
        <v>389390</v>
      </c>
      <c r="BJ12">
        <v>520945</v>
      </c>
      <c r="BK12">
        <v>470777</v>
      </c>
      <c r="BL12">
        <v>397366</v>
      </c>
      <c r="BM12">
        <v>473166</v>
      </c>
      <c r="BN12">
        <v>532629</v>
      </c>
      <c r="BO12">
        <v>571606</v>
      </c>
      <c r="BP12">
        <v>644674</v>
      </c>
      <c r="BQ12">
        <v>595533</v>
      </c>
      <c r="BR12">
        <v>311629</v>
      </c>
      <c r="BS12">
        <v>321327</v>
      </c>
      <c r="BT12">
        <v>419002</v>
      </c>
      <c r="BU12">
        <v>402742</v>
      </c>
      <c r="BV12">
        <v>399794</v>
      </c>
      <c r="BW12">
        <v>538003</v>
      </c>
      <c r="BX12">
        <v>634498</v>
      </c>
      <c r="BY12">
        <v>584756</v>
      </c>
      <c r="BZ12">
        <v>640883</v>
      </c>
      <c r="CA12">
        <v>831287</v>
      </c>
      <c r="CB12">
        <v>806357</v>
      </c>
      <c r="CC12">
        <v>891479</v>
      </c>
      <c r="CD12">
        <v>866169</v>
      </c>
      <c r="CE12">
        <v>1018274</v>
      </c>
      <c r="CF12">
        <v>1021245</v>
      </c>
      <c r="CG12">
        <v>1144650</v>
      </c>
      <c r="CH12">
        <v>1450846</v>
      </c>
    </row>
    <row r="13" spans="1:86">
      <c r="A13" t="s">
        <v>1319</v>
      </c>
      <c r="B13" t="s">
        <v>88</v>
      </c>
      <c r="C13">
        <v>1000000</v>
      </c>
      <c r="D13" t="s">
        <v>89</v>
      </c>
      <c r="E13" t="s">
        <v>1320</v>
      </c>
      <c r="F13" s="21" t="s">
        <v>1321</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1932</v>
      </c>
      <c r="BG13">
        <v>2864</v>
      </c>
      <c r="BH13">
        <v>3555</v>
      </c>
      <c r="BI13">
        <v>3563</v>
      </c>
      <c r="BJ13">
        <v>4533</v>
      </c>
      <c r="BK13">
        <v>3909</v>
      </c>
      <c r="BL13">
        <v>3368</v>
      </c>
      <c r="BM13">
        <v>3092</v>
      </c>
      <c r="BN13">
        <v>4339</v>
      </c>
      <c r="BO13">
        <v>4420</v>
      </c>
      <c r="BP13">
        <v>4998</v>
      </c>
      <c r="BQ13">
        <v>4765</v>
      </c>
      <c r="BR13">
        <v>2676</v>
      </c>
      <c r="BS13">
        <v>2280</v>
      </c>
      <c r="BT13">
        <v>2487</v>
      </c>
      <c r="BU13">
        <v>2183</v>
      </c>
      <c r="BV13">
        <v>1732</v>
      </c>
      <c r="BW13">
        <v>3276</v>
      </c>
      <c r="BX13">
        <v>3555</v>
      </c>
      <c r="BY13">
        <v>3485</v>
      </c>
      <c r="BZ13">
        <v>3865</v>
      </c>
      <c r="CA13">
        <v>4487</v>
      </c>
      <c r="CB13">
        <v>4039</v>
      </c>
      <c r="CC13">
        <v>5080</v>
      </c>
      <c r="CD13">
        <v>4569</v>
      </c>
      <c r="CE13">
        <v>5936</v>
      </c>
      <c r="CF13">
        <v>8650</v>
      </c>
      <c r="CG13">
        <v>8761</v>
      </c>
      <c r="CH13">
        <v>11538</v>
      </c>
    </row>
    <row r="14" spans="1:86">
      <c r="A14" t="s">
        <v>1322</v>
      </c>
      <c r="B14" t="s">
        <v>88</v>
      </c>
      <c r="C14">
        <v>1000000</v>
      </c>
      <c r="D14" t="s">
        <v>89</v>
      </c>
      <c r="E14" t="s">
        <v>1323</v>
      </c>
      <c r="F14" s="21" t="s">
        <v>1324</v>
      </c>
      <c r="G14">
        <v>0</v>
      </c>
      <c r="H14">
        <v>0</v>
      </c>
      <c r="I14">
        <v>0</v>
      </c>
      <c r="J14">
        <v>0</v>
      </c>
      <c r="K14">
        <v>0</v>
      </c>
      <c r="L14">
        <v>0</v>
      </c>
      <c r="M14">
        <v>0</v>
      </c>
      <c r="N14">
        <v>0</v>
      </c>
      <c r="O14">
        <v>0</v>
      </c>
      <c r="P14">
        <v>0</v>
      </c>
      <c r="Q14">
        <v>0</v>
      </c>
      <c r="R14">
        <v>0</v>
      </c>
      <c r="S14">
        <v>0</v>
      </c>
      <c r="T14">
        <v>0</v>
      </c>
      <c r="U14">
        <v>0</v>
      </c>
      <c r="V14">
        <v>0</v>
      </c>
      <c r="W14">
        <v>0</v>
      </c>
      <c r="X14">
        <v>0</v>
      </c>
      <c r="Y14">
        <v>85</v>
      </c>
      <c r="Z14">
        <v>77</v>
      </c>
      <c r="AA14">
        <v>80</v>
      </c>
      <c r="AB14">
        <v>79</v>
      </c>
      <c r="AC14">
        <v>231</v>
      </c>
      <c r="AD14">
        <v>6285</v>
      </c>
      <c r="AE14">
        <v>8089</v>
      </c>
      <c r="AF14">
        <v>7360</v>
      </c>
      <c r="AG14">
        <v>9071</v>
      </c>
      <c r="AH14">
        <v>12927</v>
      </c>
      <c r="AI14">
        <v>9095</v>
      </c>
      <c r="AJ14">
        <v>4799</v>
      </c>
      <c r="AK14">
        <v>5391</v>
      </c>
      <c r="AL14">
        <v>6689</v>
      </c>
      <c r="AM14">
        <v>6887</v>
      </c>
      <c r="AN14">
        <v>5930</v>
      </c>
      <c r="AO14">
        <v>5853</v>
      </c>
      <c r="AP14">
        <v>4829</v>
      </c>
      <c r="AQ14">
        <v>5186</v>
      </c>
      <c r="AR14">
        <v>4893</v>
      </c>
      <c r="AS14">
        <v>6556</v>
      </c>
      <c r="AT14">
        <v>6974</v>
      </c>
      <c r="AU14">
        <v>10386</v>
      </c>
      <c r="AV14">
        <v>12505</v>
      </c>
      <c r="AW14">
        <v>10973</v>
      </c>
      <c r="AX14">
        <v>13334</v>
      </c>
      <c r="AY14">
        <v>20645</v>
      </c>
      <c r="AZ14">
        <v>16308</v>
      </c>
      <c r="BA14">
        <v>25827</v>
      </c>
      <c r="BB14">
        <v>40569</v>
      </c>
      <c r="BC14">
        <v>44977</v>
      </c>
      <c r="BD14">
        <v>38542</v>
      </c>
      <c r="BE14">
        <v>55442</v>
      </c>
      <c r="BF14">
        <v>67314</v>
      </c>
      <c r="BG14">
        <v>97662</v>
      </c>
      <c r="BH14">
        <v>102119</v>
      </c>
      <c r="BI14">
        <v>72458</v>
      </c>
      <c r="BJ14">
        <v>134168</v>
      </c>
      <c r="BK14">
        <v>98626</v>
      </c>
      <c r="BL14">
        <v>85723</v>
      </c>
      <c r="BM14">
        <v>108141</v>
      </c>
      <c r="BN14">
        <v>127873</v>
      </c>
      <c r="BO14">
        <v>159130</v>
      </c>
      <c r="BP14">
        <v>153064</v>
      </c>
      <c r="BQ14">
        <v>155956</v>
      </c>
      <c r="BR14">
        <v>80607</v>
      </c>
      <c r="BS14">
        <v>97122</v>
      </c>
      <c r="BT14">
        <v>123343</v>
      </c>
      <c r="BU14">
        <v>97440</v>
      </c>
      <c r="BV14">
        <v>125274</v>
      </c>
      <c r="BW14">
        <v>209736</v>
      </c>
      <c r="BX14">
        <v>210581</v>
      </c>
      <c r="BY14">
        <v>182189</v>
      </c>
      <c r="BZ14">
        <v>211936</v>
      </c>
      <c r="CA14">
        <v>230611</v>
      </c>
      <c r="CB14">
        <v>188467</v>
      </c>
      <c r="CC14">
        <v>211660</v>
      </c>
      <c r="CD14">
        <v>177370</v>
      </c>
      <c r="CE14">
        <v>239294</v>
      </c>
      <c r="CF14">
        <v>246953</v>
      </c>
      <c r="CG14">
        <v>255009</v>
      </c>
      <c r="CH14">
        <v>288740</v>
      </c>
    </row>
    <row r="15" spans="1:86">
      <c r="A15" t="s">
        <v>1325</v>
      </c>
      <c r="B15" t="s">
        <v>88</v>
      </c>
      <c r="C15">
        <v>1000000</v>
      </c>
      <c r="D15" t="s">
        <v>89</v>
      </c>
      <c r="E15" t="s">
        <v>1326</v>
      </c>
      <c r="F15" s="21" t="s">
        <v>1327</v>
      </c>
      <c r="G15">
        <v>0</v>
      </c>
      <c r="H15">
        <v>0</v>
      </c>
      <c r="I15">
        <v>0</v>
      </c>
      <c r="J15">
        <v>0</v>
      </c>
      <c r="K15">
        <v>0</v>
      </c>
      <c r="L15">
        <v>0</v>
      </c>
      <c r="M15">
        <v>0</v>
      </c>
      <c r="N15">
        <v>0</v>
      </c>
      <c r="O15">
        <v>0</v>
      </c>
      <c r="P15">
        <v>0</v>
      </c>
      <c r="Q15">
        <v>0</v>
      </c>
      <c r="R15">
        <v>0</v>
      </c>
      <c r="S15">
        <v>0</v>
      </c>
      <c r="T15">
        <v>0</v>
      </c>
      <c r="U15">
        <v>0</v>
      </c>
      <c r="V15">
        <v>0</v>
      </c>
      <c r="W15">
        <v>0</v>
      </c>
      <c r="X15">
        <v>0</v>
      </c>
      <c r="Y15">
        <v>85</v>
      </c>
      <c r="Z15">
        <v>77</v>
      </c>
      <c r="AA15">
        <v>80</v>
      </c>
      <c r="AB15">
        <v>79</v>
      </c>
      <c r="AC15">
        <v>231</v>
      </c>
      <c r="AD15">
        <v>6285</v>
      </c>
      <c r="AE15">
        <v>8089</v>
      </c>
      <c r="AF15">
        <v>7360</v>
      </c>
      <c r="AG15">
        <v>9071</v>
      </c>
      <c r="AH15">
        <v>12927</v>
      </c>
      <c r="AI15">
        <v>9095</v>
      </c>
      <c r="AJ15">
        <v>4799</v>
      </c>
      <c r="AK15">
        <v>5391</v>
      </c>
      <c r="AL15">
        <v>6689</v>
      </c>
      <c r="AM15">
        <v>6887</v>
      </c>
      <c r="AN15">
        <v>5930</v>
      </c>
      <c r="AO15">
        <v>5853</v>
      </c>
      <c r="AP15">
        <v>4829</v>
      </c>
      <c r="AQ15">
        <v>5186</v>
      </c>
      <c r="AR15">
        <v>4893</v>
      </c>
      <c r="AS15">
        <v>6556</v>
      </c>
      <c r="AT15">
        <v>6974</v>
      </c>
      <c r="AU15">
        <v>10386</v>
      </c>
      <c r="AV15">
        <v>12505</v>
      </c>
      <c r="AW15">
        <v>10973</v>
      </c>
      <c r="AX15">
        <v>13334</v>
      </c>
      <c r="AY15">
        <v>20645</v>
      </c>
      <c r="AZ15">
        <v>16308</v>
      </c>
      <c r="BA15">
        <v>25827</v>
      </c>
      <c r="BB15">
        <v>40569</v>
      </c>
      <c r="BC15">
        <v>44977</v>
      </c>
      <c r="BD15">
        <v>38542</v>
      </c>
      <c r="BE15">
        <v>55442</v>
      </c>
      <c r="BF15">
        <v>66896</v>
      </c>
      <c r="BG15">
        <v>96812</v>
      </c>
      <c r="BH15">
        <v>101192</v>
      </c>
      <c r="BI15">
        <v>71800</v>
      </c>
      <c r="BJ15">
        <v>133037</v>
      </c>
      <c r="BK15">
        <v>97655</v>
      </c>
      <c r="BL15">
        <v>84876</v>
      </c>
      <c r="BM15">
        <v>107332</v>
      </c>
      <c r="BN15">
        <v>126660</v>
      </c>
      <c r="BO15">
        <v>157831</v>
      </c>
      <c r="BP15">
        <v>151654</v>
      </c>
      <c r="BQ15">
        <v>154289</v>
      </c>
      <c r="BR15">
        <v>79506</v>
      </c>
      <c r="BS15">
        <v>96050</v>
      </c>
      <c r="BT15">
        <v>122082</v>
      </c>
      <c r="BU15">
        <v>96499</v>
      </c>
      <c r="BV15">
        <v>123899</v>
      </c>
      <c r="BW15">
        <v>206664</v>
      </c>
      <c r="BX15">
        <v>207548</v>
      </c>
      <c r="BY15">
        <v>179320</v>
      </c>
      <c r="BZ15">
        <v>208654</v>
      </c>
      <c r="CA15">
        <v>227560</v>
      </c>
      <c r="CB15">
        <v>185837</v>
      </c>
      <c r="CC15">
        <v>208410</v>
      </c>
      <c r="CD15">
        <v>174672</v>
      </c>
      <c r="CE15">
        <v>235321</v>
      </c>
      <c r="CF15">
        <v>241038</v>
      </c>
      <c r="CG15">
        <v>248566</v>
      </c>
      <c r="CH15">
        <v>280304</v>
      </c>
    </row>
    <row r="16" spans="1:86">
      <c r="A16" t="s">
        <v>1328</v>
      </c>
      <c r="B16" t="s">
        <v>88</v>
      </c>
      <c r="C16">
        <v>1000000</v>
      </c>
      <c r="D16" t="s">
        <v>89</v>
      </c>
      <c r="E16" t="s">
        <v>1329</v>
      </c>
      <c r="F16" s="21" t="s">
        <v>1330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418</v>
      </c>
      <c r="BG16">
        <v>850</v>
      </c>
      <c r="BH16">
        <v>927</v>
      </c>
      <c r="BI16">
        <v>658</v>
      </c>
      <c r="BJ16">
        <v>1131</v>
      </c>
      <c r="BK16">
        <v>971</v>
      </c>
      <c r="BL16">
        <v>847</v>
      </c>
      <c r="BM16">
        <v>809</v>
      </c>
      <c r="BN16">
        <v>1213</v>
      </c>
      <c r="BO16">
        <v>1299</v>
      </c>
      <c r="BP16">
        <v>1410</v>
      </c>
      <c r="BQ16">
        <v>1667</v>
      </c>
      <c r="BR16">
        <v>1101</v>
      </c>
      <c r="BS16">
        <v>1072</v>
      </c>
      <c r="BT16">
        <v>1261</v>
      </c>
      <c r="BU16">
        <v>941</v>
      </c>
      <c r="BV16">
        <v>1375</v>
      </c>
      <c r="BW16">
        <v>3072</v>
      </c>
      <c r="BX16">
        <v>3033</v>
      </c>
      <c r="BY16">
        <v>2869</v>
      </c>
      <c r="BZ16">
        <v>3282</v>
      </c>
      <c r="CA16">
        <v>3051</v>
      </c>
      <c r="CB16">
        <v>2630</v>
      </c>
      <c r="CC16">
        <v>3250</v>
      </c>
      <c r="CD16">
        <v>2698</v>
      </c>
      <c r="CE16">
        <v>3973</v>
      </c>
      <c r="CF16">
        <v>5915</v>
      </c>
      <c r="CG16">
        <v>6443</v>
      </c>
      <c r="CH16">
        <v>8436</v>
      </c>
    </row>
    <row r="17" spans="1:86">
      <c r="A17" t="s">
        <v>1331</v>
      </c>
      <c r="B17" t="s">
        <v>88</v>
      </c>
      <c r="C17">
        <v>1000000</v>
      </c>
      <c r="D17" t="s">
        <v>89</v>
      </c>
      <c r="E17" t="s">
        <v>1332</v>
      </c>
      <c r="F17" s="21" t="s">
        <v>1333</v>
      </c>
      <c r="G17">
        <v>971</v>
      </c>
      <c r="H17">
        <v>1000</v>
      </c>
      <c r="I17">
        <v>1300</v>
      </c>
      <c r="J17">
        <v>1400</v>
      </c>
      <c r="K17">
        <v>1700</v>
      </c>
      <c r="L17">
        <v>2000</v>
      </c>
      <c r="M17">
        <v>2200</v>
      </c>
      <c r="N17">
        <v>2500</v>
      </c>
      <c r="O17">
        <v>2800</v>
      </c>
      <c r="P17">
        <v>3100</v>
      </c>
      <c r="Q17">
        <v>3500</v>
      </c>
      <c r="R17">
        <v>3900</v>
      </c>
      <c r="S17">
        <v>4400</v>
      </c>
      <c r="T17">
        <v>4980</v>
      </c>
      <c r="U17">
        <v>5546</v>
      </c>
      <c r="V17">
        <v>6364</v>
      </c>
      <c r="W17">
        <v>6083</v>
      </c>
      <c r="X17">
        <v>5739</v>
      </c>
      <c r="Y17">
        <v>7290</v>
      </c>
      <c r="Z17">
        <v>7890</v>
      </c>
      <c r="AA17">
        <v>7633</v>
      </c>
      <c r="AB17">
        <v>7300</v>
      </c>
      <c r="AC17">
        <v>7549</v>
      </c>
      <c r="AD17">
        <v>8925</v>
      </c>
      <c r="AE17">
        <v>8587</v>
      </c>
      <c r="AF17">
        <v>6141</v>
      </c>
      <c r="AG17">
        <v>7775</v>
      </c>
      <c r="AH17">
        <v>8450</v>
      </c>
      <c r="AI17">
        <v>9855</v>
      </c>
      <c r="AJ17">
        <v>8954</v>
      </c>
      <c r="AK17">
        <v>8952</v>
      </c>
      <c r="AL17">
        <v>9319</v>
      </c>
      <c r="AM17">
        <v>7373</v>
      </c>
      <c r="AN17">
        <v>8039</v>
      </c>
      <c r="AO17">
        <v>7855</v>
      </c>
      <c r="AP17">
        <v>7920</v>
      </c>
      <c r="AQ17">
        <v>7068</v>
      </c>
      <c r="AR17">
        <v>7488</v>
      </c>
      <c r="AS17">
        <v>7441</v>
      </c>
      <c r="AT17">
        <v>6384</v>
      </c>
      <c r="AU17">
        <v>8280</v>
      </c>
      <c r="AV17">
        <v>14472</v>
      </c>
      <c r="AW17">
        <v>21346</v>
      </c>
      <c r="AX17">
        <v>43176</v>
      </c>
      <c r="AY17">
        <v>52489</v>
      </c>
      <c r="AZ17">
        <v>52880</v>
      </c>
      <c r="BA17">
        <v>71234</v>
      </c>
      <c r="BB17">
        <v>93466</v>
      </c>
      <c r="BC17">
        <v>116141</v>
      </c>
      <c r="BD17">
        <v>117830</v>
      </c>
      <c r="BE17">
        <v>142539</v>
      </c>
      <c r="BF17">
        <v>146909</v>
      </c>
      <c r="BG17">
        <v>151768</v>
      </c>
      <c r="BH17">
        <v>155748</v>
      </c>
      <c r="BI17">
        <v>146940</v>
      </c>
      <c r="BJ17">
        <v>143066</v>
      </c>
      <c r="BK17">
        <v>141184</v>
      </c>
      <c r="BL17">
        <v>161165</v>
      </c>
      <c r="BM17">
        <v>215910</v>
      </c>
      <c r="BN17">
        <v>255455</v>
      </c>
      <c r="BO17">
        <v>276482</v>
      </c>
      <c r="BP17">
        <v>299110</v>
      </c>
      <c r="BQ17">
        <v>316135</v>
      </c>
      <c r="BR17">
        <v>185098</v>
      </c>
      <c r="BS17">
        <v>224407</v>
      </c>
      <c r="BT17">
        <v>239384</v>
      </c>
      <c r="BU17">
        <v>244024</v>
      </c>
      <c r="BV17">
        <v>265175</v>
      </c>
      <c r="BW17">
        <v>281806</v>
      </c>
      <c r="BX17">
        <v>291613</v>
      </c>
      <c r="BY17">
        <v>262990</v>
      </c>
      <c r="BZ17">
        <v>264802</v>
      </c>
      <c r="CA17">
        <v>277300</v>
      </c>
      <c r="CB17">
        <v>252205</v>
      </c>
      <c r="CC17">
        <v>278674</v>
      </c>
      <c r="CD17">
        <v>278548</v>
      </c>
      <c r="CE17">
        <v>303861</v>
      </c>
      <c r="CF17">
        <v>247906</v>
      </c>
      <c r="CG17">
        <v>250271</v>
      </c>
      <c r="CH17">
        <v>251133</v>
      </c>
    </row>
    <row r="18" spans="1:86">
      <c r="A18" t="s">
        <v>1334</v>
      </c>
      <c r="B18" t="s">
        <v>88</v>
      </c>
      <c r="C18">
        <v>1000000</v>
      </c>
      <c r="D18" t="s">
        <v>89</v>
      </c>
      <c r="E18" t="s">
        <v>1335</v>
      </c>
      <c r="F18" s="21" t="s">
        <v>1336</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464</v>
      </c>
      <c r="BD18">
        <v>424</v>
      </c>
      <c r="BE18">
        <v>1052</v>
      </c>
      <c r="BF18">
        <v>2401</v>
      </c>
      <c r="BG18">
        <v>6702</v>
      </c>
      <c r="BH18">
        <v>15564</v>
      </c>
      <c r="BI18">
        <v>33862</v>
      </c>
      <c r="BJ18">
        <v>65585</v>
      </c>
      <c r="BK18">
        <v>82992</v>
      </c>
      <c r="BL18">
        <v>102142</v>
      </c>
      <c r="BM18">
        <v>150983</v>
      </c>
      <c r="BN18">
        <v>227539</v>
      </c>
      <c r="BO18">
        <v>300819</v>
      </c>
      <c r="BP18">
        <v>422550</v>
      </c>
      <c r="BQ18">
        <v>608422</v>
      </c>
      <c r="BR18">
        <v>531286</v>
      </c>
      <c r="BS18">
        <v>777128</v>
      </c>
      <c r="BT18">
        <v>991989</v>
      </c>
      <c r="BU18">
        <v>1048141</v>
      </c>
      <c r="BV18">
        <v>1337122</v>
      </c>
      <c r="BW18">
        <v>1674713</v>
      </c>
      <c r="BX18">
        <v>1974551</v>
      </c>
      <c r="BY18">
        <v>2100680</v>
      </c>
      <c r="BZ18">
        <v>2524541</v>
      </c>
      <c r="CA18">
        <v>3401019</v>
      </c>
      <c r="CB18">
        <v>3371154</v>
      </c>
      <c r="CC18">
        <v>4396207</v>
      </c>
      <c r="CD18">
        <v>5449361</v>
      </c>
      <c r="CE18">
        <v>7190516</v>
      </c>
      <c r="CF18">
        <v>6476913</v>
      </c>
      <c r="CG18">
        <v>8085699</v>
      </c>
      <c r="CH18">
        <v>10305396</v>
      </c>
    </row>
    <row r="19" spans="1:86">
      <c r="A19" t="s">
        <v>1337</v>
      </c>
      <c r="B19" t="s">
        <v>88</v>
      </c>
      <c r="C19">
        <v>1000000</v>
      </c>
      <c r="D19" t="s">
        <v>89</v>
      </c>
      <c r="E19" t="s">
        <v>1338</v>
      </c>
      <c r="F19" s="21" t="s">
        <v>1339</v>
      </c>
      <c r="G19">
        <v>0</v>
      </c>
      <c r="H19">
        <v>0</v>
      </c>
      <c r="I19">
        <v>0</v>
      </c>
      <c r="J19">
        <v>0</v>
      </c>
      <c r="K19">
        <v>0</v>
      </c>
      <c r="L19">
        <v>0</v>
      </c>
      <c r="M19">
        <v>0</v>
      </c>
      <c r="N19">
        <v>0</v>
      </c>
      <c r="O19">
        <v>0</v>
      </c>
      <c r="P19">
        <v>0</v>
      </c>
      <c r="Q19">
        <v>0</v>
      </c>
      <c r="R19">
        <v>0</v>
      </c>
      <c r="S19">
        <v>0</v>
      </c>
      <c r="T19">
        <v>0</v>
      </c>
      <c r="U19">
        <v>0</v>
      </c>
      <c r="V19">
        <v>0</v>
      </c>
      <c r="W19">
        <v>0</v>
      </c>
      <c r="X19">
        <v>5</v>
      </c>
      <c r="Y19">
        <v>7</v>
      </c>
      <c r="Z19">
        <v>14</v>
      </c>
      <c r="AA19">
        <v>13</v>
      </c>
      <c r="AB19">
        <v>13</v>
      </c>
      <c r="AC19">
        <v>37</v>
      </c>
      <c r="AD19">
        <v>36</v>
      </c>
      <c r="AE19">
        <v>18</v>
      </c>
      <c r="AF19">
        <v>641</v>
      </c>
      <c r="AG19">
        <v>1056</v>
      </c>
      <c r="AH19">
        <v>911</v>
      </c>
      <c r="AI19">
        <v>772</v>
      </c>
      <c r="AJ19">
        <v>846</v>
      </c>
      <c r="AK19">
        <v>730</v>
      </c>
      <c r="AL19">
        <v>838</v>
      </c>
      <c r="AM19">
        <v>801</v>
      </c>
      <c r="AN19">
        <v>911</v>
      </c>
      <c r="AO19">
        <v>946</v>
      </c>
      <c r="AP19">
        <v>702</v>
      </c>
      <c r="AQ19">
        <v>502</v>
      </c>
      <c r="AR19">
        <v>1603</v>
      </c>
      <c r="AS19">
        <v>1818</v>
      </c>
      <c r="AT19">
        <v>1416</v>
      </c>
      <c r="AU19">
        <v>2660</v>
      </c>
      <c r="AV19">
        <v>4357</v>
      </c>
      <c r="AW19">
        <v>4419</v>
      </c>
      <c r="AX19">
        <v>6230</v>
      </c>
      <c r="AY19">
        <v>16974</v>
      </c>
      <c r="AZ19">
        <v>15928</v>
      </c>
      <c r="BA19">
        <v>33985</v>
      </c>
      <c r="BB19">
        <v>35792</v>
      </c>
      <c r="BC19">
        <v>34388</v>
      </c>
      <c r="BD19">
        <v>31762</v>
      </c>
      <c r="BE19">
        <v>53046</v>
      </c>
      <c r="BF19">
        <v>68214</v>
      </c>
      <c r="BG19">
        <v>98984</v>
      </c>
      <c r="BH19">
        <v>130153</v>
      </c>
      <c r="BI19">
        <v>105992</v>
      </c>
      <c r="BJ19">
        <v>150683</v>
      </c>
      <c r="BK19">
        <v>141601</v>
      </c>
      <c r="BL19">
        <v>124454</v>
      </c>
      <c r="BM19">
        <v>133489</v>
      </c>
      <c r="BN19">
        <v>122290</v>
      </c>
      <c r="BO19">
        <v>94594</v>
      </c>
      <c r="BP19">
        <v>107096</v>
      </c>
      <c r="BQ19">
        <v>63323</v>
      </c>
      <c r="BR19">
        <v>21874</v>
      </c>
      <c r="BS19">
        <v>79165</v>
      </c>
      <c r="BT19">
        <v>113348</v>
      </c>
      <c r="BU19">
        <v>136706</v>
      </c>
      <c r="BV19">
        <v>117145</v>
      </c>
      <c r="BW19">
        <v>132216</v>
      </c>
      <c r="BX19">
        <v>102154</v>
      </c>
      <c r="BY19">
        <v>109953</v>
      </c>
      <c r="BZ19">
        <v>110738</v>
      </c>
      <c r="CA19">
        <v>101696</v>
      </c>
      <c r="CB19">
        <v>114130</v>
      </c>
      <c r="CC19">
        <v>116910</v>
      </c>
      <c r="CD19">
        <v>133019</v>
      </c>
      <c r="CE19">
        <v>224185</v>
      </c>
      <c r="CF19">
        <v>229331</v>
      </c>
      <c r="CG19">
        <v>258904</v>
      </c>
      <c r="CH19">
        <v>325280</v>
      </c>
    </row>
    <row r="20" spans="1:86">
      <c r="A20" t="s">
        <v>1340</v>
      </c>
      <c r="B20" t="s">
        <v>88</v>
      </c>
      <c r="C20">
        <v>1000000</v>
      </c>
      <c r="D20" t="s">
        <v>89</v>
      </c>
      <c r="E20" t="s">
        <v>1341</v>
      </c>
      <c r="F20" s="21" t="s">
        <v>1342</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8</v>
      </c>
      <c r="AJ20">
        <v>1</v>
      </c>
      <c r="AK20">
        <v>1</v>
      </c>
      <c r="AL20">
        <v>1</v>
      </c>
      <c r="AM20">
        <v>1</v>
      </c>
      <c r="AN20">
        <v>2</v>
      </c>
      <c r="AO20">
        <v>1</v>
      </c>
      <c r="AP20">
        <v>2</v>
      </c>
      <c r="AQ20">
        <v>2</v>
      </c>
      <c r="AR20">
        <v>10</v>
      </c>
      <c r="AS20">
        <v>13</v>
      </c>
      <c r="AT20">
        <v>10</v>
      </c>
      <c r="AU20">
        <v>13</v>
      </c>
      <c r="AV20">
        <v>27</v>
      </c>
      <c r="AW20">
        <v>68</v>
      </c>
      <c r="AX20">
        <v>118</v>
      </c>
      <c r="AY20">
        <v>76</v>
      </c>
      <c r="AZ20">
        <v>14</v>
      </c>
      <c r="BA20">
        <v>15</v>
      </c>
      <c r="BB20">
        <v>25</v>
      </c>
      <c r="BC20">
        <v>27</v>
      </c>
      <c r="BD20">
        <v>28</v>
      </c>
      <c r="BE20">
        <v>1149</v>
      </c>
      <c r="BF20">
        <v>2898</v>
      </c>
      <c r="BG20">
        <v>4096</v>
      </c>
      <c r="BH20">
        <v>4992</v>
      </c>
      <c r="BI20">
        <v>3097</v>
      </c>
      <c r="BJ20">
        <v>1707</v>
      </c>
      <c r="BK20">
        <v>4390</v>
      </c>
      <c r="BL20">
        <v>6687</v>
      </c>
      <c r="BM20">
        <v>11913</v>
      </c>
      <c r="BN20">
        <v>24516</v>
      </c>
      <c r="BO20">
        <v>25454</v>
      </c>
      <c r="BP20">
        <v>25513</v>
      </c>
      <c r="BQ20">
        <v>20703</v>
      </c>
      <c r="BR20">
        <v>16741</v>
      </c>
      <c r="BS20">
        <v>24064</v>
      </c>
      <c r="BT20">
        <v>31240</v>
      </c>
      <c r="BU20">
        <v>52815</v>
      </c>
      <c r="BV20">
        <v>64542</v>
      </c>
      <c r="BW20">
        <v>70142</v>
      </c>
      <c r="BX20">
        <v>76380</v>
      </c>
      <c r="BY20">
        <v>67026</v>
      </c>
      <c r="BZ20">
        <v>93393</v>
      </c>
      <c r="CA20">
        <v>104801</v>
      </c>
      <c r="CB20">
        <v>105397</v>
      </c>
      <c r="CC20">
        <v>90093</v>
      </c>
      <c r="CD20">
        <v>69946</v>
      </c>
      <c r="CE20">
        <v>83356</v>
      </c>
      <c r="CF20">
        <v>60433</v>
      </c>
      <c r="CG20">
        <v>66243</v>
      </c>
      <c r="CH20">
        <v>64526</v>
      </c>
    </row>
    <row r="21" spans="1:86">
      <c r="A21" t="s">
        <v>1343</v>
      </c>
      <c r="B21" t="s">
        <v>88</v>
      </c>
      <c r="C21">
        <v>1000000</v>
      </c>
      <c r="D21" t="s">
        <v>89</v>
      </c>
      <c r="E21" t="s">
        <v>1344</v>
      </c>
      <c r="F21" s="21" t="s">
        <v>1345</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8</v>
      </c>
      <c r="AJ21">
        <v>1</v>
      </c>
      <c r="AK21">
        <v>1</v>
      </c>
      <c r="AL21">
        <v>1</v>
      </c>
      <c r="AM21">
        <v>1</v>
      </c>
      <c r="AN21">
        <v>2</v>
      </c>
      <c r="AO21">
        <v>1</v>
      </c>
      <c r="AP21">
        <v>2</v>
      </c>
      <c r="AQ21">
        <v>2</v>
      </c>
      <c r="AR21">
        <v>10</v>
      </c>
      <c r="AS21">
        <v>13</v>
      </c>
      <c r="AT21">
        <v>10</v>
      </c>
      <c r="AU21">
        <v>13</v>
      </c>
      <c r="AV21">
        <v>27</v>
      </c>
      <c r="AW21">
        <v>68</v>
      </c>
      <c r="AX21">
        <v>118</v>
      </c>
      <c r="AY21">
        <v>76</v>
      </c>
      <c r="AZ21">
        <v>14</v>
      </c>
      <c r="BA21">
        <v>15</v>
      </c>
      <c r="BB21">
        <v>25</v>
      </c>
      <c r="BC21">
        <v>27</v>
      </c>
      <c r="BD21">
        <v>28</v>
      </c>
      <c r="BE21">
        <v>1149</v>
      </c>
      <c r="BF21">
        <v>2729</v>
      </c>
      <c r="BG21">
        <v>3785</v>
      </c>
      <c r="BH21">
        <v>2770</v>
      </c>
      <c r="BI21">
        <v>2936</v>
      </c>
      <c r="BJ21">
        <v>1526</v>
      </c>
      <c r="BK21">
        <v>3885</v>
      </c>
      <c r="BL21">
        <v>6157</v>
      </c>
      <c r="BM21">
        <v>8916</v>
      </c>
      <c r="BN21">
        <v>18812</v>
      </c>
      <c r="BO21">
        <v>19753</v>
      </c>
      <c r="BP21">
        <v>18548</v>
      </c>
      <c r="BQ21">
        <v>16178</v>
      </c>
      <c r="BR21">
        <v>14796</v>
      </c>
      <c r="BS21">
        <v>22333</v>
      </c>
      <c r="BT21">
        <v>28849</v>
      </c>
      <c r="BU21">
        <v>50389</v>
      </c>
      <c r="BV21">
        <v>61230</v>
      </c>
      <c r="BW21">
        <v>65626</v>
      </c>
      <c r="BX21">
        <v>73324</v>
      </c>
      <c r="BY21">
        <v>64630</v>
      </c>
      <c r="BZ21">
        <v>90469</v>
      </c>
      <c r="CA21">
        <v>101221</v>
      </c>
      <c r="CB21">
        <v>102185</v>
      </c>
      <c r="CC21">
        <v>85886</v>
      </c>
      <c r="CD21">
        <v>65420</v>
      </c>
      <c r="CE21">
        <v>77917</v>
      </c>
      <c r="CF21">
        <v>56800</v>
      </c>
      <c r="CG21">
        <v>62190</v>
      </c>
      <c r="CH21">
        <v>60430</v>
      </c>
    </row>
    <row r="22" spans="1:86">
      <c r="A22" t="s">
        <v>1346</v>
      </c>
      <c r="B22" t="s">
        <v>88</v>
      </c>
      <c r="C22">
        <v>1000000</v>
      </c>
      <c r="D22" t="s">
        <v>89</v>
      </c>
      <c r="E22" t="s">
        <v>1347</v>
      </c>
      <c r="F22" s="21" t="s">
        <v>1348</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169</v>
      </c>
      <c r="BG22">
        <v>311</v>
      </c>
      <c r="BH22">
        <v>2222</v>
      </c>
      <c r="BI22">
        <v>161</v>
      </c>
      <c r="BJ22">
        <v>181</v>
      </c>
      <c r="BK22">
        <v>505</v>
      </c>
      <c r="BL22">
        <v>530</v>
      </c>
      <c r="BM22">
        <v>2997</v>
      </c>
      <c r="BN22">
        <v>5704</v>
      </c>
      <c r="BO22">
        <v>5701</v>
      </c>
      <c r="BP22">
        <v>6965</v>
      </c>
      <c r="BQ22">
        <v>4525</v>
      </c>
      <c r="BR22">
        <v>1945</v>
      </c>
      <c r="BS22">
        <v>1731</v>
      </c>
      <c r="BT22">
        <v>2391</v>
      </c>
      <c r="BU22">
        <v>2426</v>
      </c>
      <c r="BV22">
        <v>3312</v>
      </c>
      <c r="BW22">
        <v>4516</v>
      </c>
      <c r="BX22">
        <v>3056</v>
      </c>
      <c r="BY22">
        <v>2396</v>
      </c>
      <c r="BZ22">
        <v>2924</v>
      </c>
      <c r="CA22">
        <v>3580</v>
      </c>
      <c r="CB22">
        <v>3212</v>
      </c>
      <c r="CC22">
        <v>4207</v>
      </c>
      <c r="CD22">
        <v>4526</v>
      </c>
      <c r="CE22">
        <v>5439</v>
      </c>
      <c r="CF22">
        <v>3633</v>
      </c>
      <c r="CG22">
        <v>4053</v>
      </c>
      <c r="CH22">
        <v>4096</v>
      </c>
    </row>
    <row r="23" spans="1:86">
      <c r="A23" t="s">
        <v>1349</v>
      </c>
      <c r="B23" t="s">
        <v>88</v>
      </c>
      <c r="C23">
        <v>1000000</v>
      </c>
      <c r="D23" t="s">
        <v>89</v>
      </c>
      <c r="E23" t="s">
        <v>1350</v>
      </c>
      <c r="F23" s="21" t="s">
        <v>1351</v>
      </c>
      <c r="G23">
        <v>121</v>
      </c>
      <c r="H23">
        <v>141</v>
      </c>
      <c r="I23">
        <v>104</v>
      </c>
      <c r="J23">
        <v>100</v>
      </c>
      <c r="K23">
        <v>104</v>
      </c>
      <c r="L23">
        <v>94</v>
      </c>
      <c r="M23">
        <v>93</v>
      </c>
      <c r="N23">
        <v>81</v>
      </c>
      <c r="O23">
        <v>106</v>
      </c>
      <c r="P23">
        <v>90</v>
      </c>
      <c r="Q23">
        <v>116</v>
      </c>
      <c r="R23">
        <v>128</v>
      </c>
      <c r="S23">
        <v>139</v>
      </c>
      <c r="T23">
        <v>216</v>
      </c>
      <c r="U23">
        <v>432</v>
      </c>
      <c r="V23">
        <v>738</v>
      </c>
      <c r="W23">
        <v>1058</v>
      </c>
      <c r="X23">
        <v>1220</v>
      </c>
      <c r="Y23">
        <v>971</v>
      </c>
      <c r="Z23">
        <v>812</v>
      </c>
      <c r="AA23">
        <v>746</v>
      </c>
      <c r="AB23">
        <v>927</v>
      </c>
      <c r="AC23">
        <v>1299</v>
      </c>
      <c r="AD23">
        <v>1377</v>
      </c>
      <c r="AE23">
        <v>478</v>
      </c>
      <c r="AF23">
        <v>530</v>
      </c>
      <c r="AG23">
        <v>3653</v>
      </c>
      <c r="AH23">
        <v>2100</v>
      </c>
      <c r="AI23">
        <v>802</v>
      </c>
      <c r="AJ23">
        <v>557</v>
      </c>
      <c r="AK23">
        <v>835</v>
      </c>
      <c r="AL23">
        <v>1375</v>
      </c>
      <c r="AM23">
        <v>871</v>
      </c>
      <c r="AN23">
        <v>946</v>
      </c>
      <c r="AO23">
        <v>1284</v>
      </c>
      <c r="AP23">
        <v>2950</v>
      </c>
      <c r="AQ23">
        <v>2608</v>
      </c>
      <c r="AR23">
        <v>3803</v>
      </c>
      <c r="AS23">
        <v>5040</v>
      </c>
      <c r="AT23">
        <v>3729</v>
      </c>
      <c r="AU23">
        <v>6763</v>
      </c>
      <c r="AV23">
        <v>10735</v>
      </c>
      <c r="AW23">
        <v>7429</v>
      </c>
      <c r="AX23">
        <v>7884</v>
      </c>
      <c r="AY23">
        <v>8942</v>
      </c>
      <c r="AZ23">
        <v>6393</v>
      </c>
      <c r="BA23">
        <v>17556</v>
      </c>
      <c r="BB23">
        <v>19455</v>
      </c>
      <c r="BC23">
        <v>31894</v>
      </c>
      <c r="BD23">
        <v>28114</v>
      </c>
      <c r="BE23">
        <v>37327</v>
      </c>
      <c r="BF23">
        <v>61013</v>
      </c>
      <c r="BG23">
        <v>102277</v>
      </c>
      <c r="BH23">
        <v>113391</v>
      </c>
      <c r="BI23">
        <v>227161</v>
      </c>
      <c r="BJ23">
        <v>252339</v>
      </c>
      <c r="BK23">
        <v>212867</v>
      </c>
      <c r="BL23">
        <v>157807</v>
      </c>
      <c r="BM23">
        <v>235773</v>
      </c>
      <c r="BN23">
        <v>253317</v>
      </c>
      <c r="BO23">
        <v>302338</v>
      </c>
      <c r="BP23">
        <v>382317</v>
      </c>
      <c r="BQ23">
        <v>337683</v>
      </c>
      <c r="BR23">
        <v>84787</v>
      </c>
      <c r="BS23">
        <v>86640</v>
      </c>
      <c r="BT23">
        <v>93395</v>
      </c>
      <c r="BU23">
        <v>68799</v>
      </c>
      <c r="BV23">
        <v>31567</v>
      </c>
      <c r="BW23">
        <v>75594</v>
      </c>
      <c r="BX23">
        <v>87498</v>
      </c>
      <c r="BY23">
        <v>77106</v>
      </c>
      <c r="BZ23">
        <v>83625</v>
      </c>
      <c r="CA23">
        <v>103379</v>
      </c>
      <c r="CB23">
        <v>80923</v>
      </c>
      <c r="CC23">
        <v>99706</v>
      </c>
      <c r="CD23">
        <v>105781</v>
      </c>
      <c r="CE23">
        <v>127319</v>
      </c>
      <c r="CF23">
        <v>94858</v>
      </c>
      <c r="CG23">
        <v>108479</v>
      </c>
      <c r="CH23">
        <v>172108</v>
      </c>
    </row>
    <row r="24" spans="1:86">
      <c r="A24" t="s">
        <v>1352</v>
      </c>
      <c r="B24" t="s">
        <v>88</v>
      </c>
      <c r="C24">
        <v>1000000</v>
      </c>
      <c r="D24" t="s">
        <v>89</v>
      </c>
      <c r="E24" t="s">
        <v>1353</v>
      </c>
      <c r="F24" s="21" t="s">
        <v>1354</v>
      </c>
      <c r="G24">
        <v>121</v>
      </c>
      <c r="H24">
        <v>141</v>
      </c>
      <c r="I24">
        <v>104</v>
      </c>
      <c r="J24">
        <v>100</v>
      </c>
      <c r="K24">
        <v>104</v>
      </c>
      <c r="L24">
        <v>94</v>
      </c>
      <c r="M24">
        <v>93</v>
      </c>
      <c r="N24">
        <v>81</v>
      </c>
      <c r="O24">
        <v>106</v>
      </c>
      <c r="P24">
        <v>90</v>
      </c>
      <c r="Q24">
        <v>116</v>
      </c>
      <c r="R24">
        <v>128</v>
      </c>
      <c r="S24">
        <v>139</v>
      </c>
      <c r="T24">
        <v>216</v>
      </c>
      <c r="U24">
        <v>432</v>
      </c>
      <c r="V24">
        <v>738</v>
      </c>
      <c r="W24">
        <v>1058</v>
      </c>
      <c r="X24">
        <v>1220</v>
      </c>
      <c r="Y24">
        <v>971</v>
      </c>
      <c r="Z24">
        <v>812</v>
      </c>
      <c r="AA24">
        <v>746</v>
      </c>
      <c r="AB24">
        <v>927</v>
      </c>
      <c r="AC24">
        <v>1299</v>
      </c>
      <c r="AD24">
        <v>1377</v>
      </c>
      <c r="AE24">
        <v>478</v>
      </c>
      <c r="AF24">
        <v>530</v>
      </c>
      <c r="AG24">
        <v>3653</v>
      </c>
      <c r="AH24">
        <v>2100</v>
      </c>
      <c r="AI24">
        <v>802</v>
      </c>
      <c r="AJ24">
        <v>557</v>
      </c>
      <c r="AK24">
        <v>835</v>
      </c>
      <c r="AL24">
        <v>1375</v>
      </c>
      <c r="AM24">
        <v>871</v>
      </c>
      <c r="AN24">
        <v>946</v>
      </c>
      <c r="AO24">
        <v>1284</v>
      </c>
      <c r="AP24">
        <v>2950</v>
      </c>
      <c r="AQ24">
        <v>2608</v>
      </c>
      <c r="AR24">
        <v>3803</v>
      </c>
      <c r="AS24">
        <v>5040</v>
      </c>
      <c r="AT24">
        <v>3729</v>
      </c>
      <c r="AU24">
        <v>6763</v>
      </c>
      <c r="AV24">
        <v>10735</v>
      </c>
      <c r="AW24">
        <v>7429</v>
      </c>
      <c r="AX24">
        <v>7884</v>
      </c>
      <c r="AY24">
        <v>8942</v>
      </c>
      <c r="AZ24">
        <v>6393</v>
      </c>
      <c r="BA24">
        <v>17556</v>
      </c>
      <c r="BB24">
        <v>19455</v>
      </c>
      <c r="BC24">
        <v>31894</v>
      </c>
      <c r="BD24">
        <v>28114</v>
      </c>
      <c r="BE24">
        <v>37327</v>
      </c>
      <c r="BF24">
        <v>59096</v>
      </c>
      <c r="BG24">
        <v>96674</v>
      </c>
      <c r="BH24">
        <v>109144</v>
      </c>
      <c r="BI24">
        <v>220193</v>
      </c>
      <c r="BJ24">
        <v>244587</v>
      </c>
      <c r="BK24">
        <v>207129</v>
      </c>
      <c r="BL24">
        <v>152334</v>
      </c>
      <c r="BM24">
        <v>229141</v>
      </c>
      <c r="BN24">
        <v>246150</v>
      </c>
      <c r="BO24">
        <v>293115</v>
      </c>
      <c r="BP24">
        <v>367761</v>
      </c>
      <c r="BQ24">
        <v>321304</v>
      </c>
      <c r="BR24">
        <v>78277</v>
      </c>
      <c r="BS24">
        <v>84945</v>
      </c>
      <c r="BT24">
        <v>91542</v>
      </c>
      <c r="BU24">
        <v>67396</v>
      </c>
      <c r="BV24">
        <v>30466</v>
      </c>
      <c r="BW24">
        <v>73591</v>
      </c>
      <c r="BX24">
        <v>85399</v>
      </c>
      <c r="BY24">
        <v>75438</v>
      </c>
      <c r="BZ24">
        <v>81651</v>
      </c>
      <c r="CA24">
        <v>100686</v>
      </c>
      <c r="CB24">
        <v>78629</v>
      </c>
      <c r="CC24">
        <v>97513</v>
      </c>
      <c r="CD24">
        <v>104119</v>
      </c>
      <c r="CE24">
        <v>123709</v>
      </c>
      <c r="CF24">
        <v>91973</v>
      </c>
      <c r="CG24">
        <v>105258</v>
      </c>
      <c r="CH24">
        <v>165729</v>
      </c>
    </row>
    <row r="25" spans="1:86">
      <c r="A25" t="s">
        <v>1355</v>
      </c>
      <c r="B25" t="s">
        <v>88</v>
      </c>
      <c r="C25">
        <v>1000000</v>
      </c>
      <c r="D25" t="s">
        <v>89</v>
      </c>
      <c r="E25" t="s">
        <v>1356</v>
      </c>
      <c r="F25" s="21" t="s">
        <v>1357</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1917</v>
      </c>
      <c r="BG25">
        <v>5603</v>
      </c>
      <c r="BH25">
        <v>4247</v>
      </c>
      <c r="BI25">
        <v>6968</v>
      </c>
      <c r="BJ25">
        <v>7752</v>
      </c>
      <c r="BK25">
        <v>5738</v>
      </c>
      <c r="BL25">
        <v>5473</v>
      </c>
      <c r="BM25">
        <v>6632</v>
      </c>
      <c r="BN25">
        <v>7167</v>
      </c>
      <c r="BO25">
        <v>9223</v>
      </c>
      <c r="BP25">
        <v>14556</v>
      </c>
      <c r="BQ25">
        <v>16379</v>
      </c>
      <c r="BR25">
        <v>6510</v>
      </c>
      <c r="BS25">
        <v>1695</v>
      </c>
      <c r="BT25">
        <v>1853</v>
      </c>
      <c r="BU25">
        <v>1403</v>
      </c>
      <c r="BV25">
        <v>1101</v>
      </c>
      <c r="BW25">
        <v>2003</v>
      </c>
      <c r="BX25">
        <v>2099</v>
      </c>
      <c r="BY25">
        <v>1668</v>
      </c>
      <c r="BZ25">
        <v>1974</v>
      </c>
      <c r="CA25">
        <v>2693</v>
      </c>
      <c r="CB25">
        <v>2294</v>
      </c>
      <c r="CC25">
        <v>2193</v>
      </c>
      <c r="CD25">
        <v>1662</v>
      </c>
      <c r="CE25">
        <v>3610</v>
      </c>
      <c r="CF25">
        <v>2885</v>
      </c>
      <c r="CG25">
        <v>3221</v>
      </c>
      <c r="CH25">
        <v>6379</v>
      </c>
    </row>
    <row r="26" spans="1:86">
      <c r="A26" t="s">
        <v>1358</v>
      </c>
      <c r="B26" t="s">
        <v>88</v>
      </c>
      <c r="C26">
        <v>1000000</v>
      </c>
      <c r="D26" t="s">
        <v>89</v>
      </c>
      <c r="E26" t="s">
        <v>1359</v>
      </c>
      <c r="F26" s="21" t="s">
        <v>1360</v>
      </c>
      <c r="G26">
        <v>2325</v>
      </c>
      <c r="H26">
        <v>2616</v>
      </c>
      <c r="I26">
        <v>2228</v>
      </c>
      <c r="J26">
        <v>2009</v>
      </c>
      <c r="K26">
        <v>1975</v>
      </c>
      <c r="L26">
        <v>2053</v>
      </c>
      <c r="M26">
        <v>2053</v>
      </c>
      <c r="N26">
        <v>2188</v>
      </c>
      <c r="O26">
        <v>2157</v>
      </c>
      <c r="P26">
        <v>2741</v>
      </c>
      <c r="Q26">
        <v>2924</v>
      </c>
      <c r="R26">
        <v>3013</v>
      </c>
      <c r="S26">
        <v>2898</v>
      </c>
      <c r="T26">
        <v>4953</v>
      </c>
      <c r="U26">
        <v>6438</v>
      </c>
      <c r="V26">
        <v>7022</v>
      </c>
      <c r="W26">
        <v>8423</v>
      </c>
      <c r="X26">
        <v>8041</v>
      </c>
      <c r="Y26">
        <v>9895</v>
      </c>
      <c r="Z26">
        <v>11289</v>
      </c>
      <c r="AA26">
        <v>19840</v>
      </c>
      <c r="AB26">
        <v>19948</v>
      </c>
      <c r="AC26">
        <v>19714</v>
      </c>
      <c r="AD26">
        <v>29499</v>
      </c>
      <c r="AE26">
        <v>35168</v>
      </c>
      <c r="AF26">
        <v>34913</v>
      </c>
      <c r="AG26">
        <v>36960</v>
      </c>
      <c r="AH26">
        <v>54497</v>
      </c>
      <c r="AI26">
        <v>48320</v>
      </c>
      <c r="AJ26">
        <v>26314</v>
      </c>
      <c r="AK26">
        <v>29458</v>
      </c>
      <c r="AL26">
        <v>37414</v>
      </c>
      <c r="AM26">
        <v>34066</v>
      </c>
      <c r="AN26">
        <v>37590</v>
      </c>
      <c r="AO26">
        <v>38957</v>
      </c>
      <c r="AP26">
        <v>40304</v>
      </c>
      <c r="AQ26">
        <v>46596</v>
      </c>
      <c r="AR26">
        <v>47871</v>
      </c>
      <c r="AS26">
        <v>64062</v>
      </c>
      <c r="AT26">
        <v>62715</v>
      </c>
      <c r="AU26">
        <v>93385</v>
      </c>
      <c r="AV26">
        <v>121272</v>
      </c>
      <c r="AW26">
        <v>101106</v>
      </c>
      <c r="AX26">
        <v>129590</v>
      </c>
      <c r="AY26">
        <v>149849</v>
      </c>
      <c r="AZ26">
        <v>102940</v>
      </c>
      <c r="BA26">
        <v>185610</v>
      </c>
      <c r="BB26">
        <v>278453</v>
      </c>
      <c r="BC26">
        <v>314182</v>
      </c>
      <c r="BD26">
        <v>308161</v>
      </c>
      <c r="BE26">
        <v>474039</v>
      </c>
      <c r="BF26">
        <v>699891</v>
      </c>
      <c r="BG26">
        <v>1059391</v>
      </c>
      <c r="BH26">
        <v>1122807</v>
      </c>
      <c r="BI26">
        <v>1038104</v>
      </c>
      <c r="BJ26">
        <v>1241535</v>
      </c>
      <c r="BK26">
        <v>1294745</v>
      </c>
      <c r="BL26">
        <v>1125731</v>
      </c>
      <c r="BM26">
        <v>1472027</v>
      </c>
      <c r="BN26">
        <v>1604158</v>
      </c>
      <c r="BO26">
        <v>1578690</v>
      </c>
      <c r="BP26">
        <v>1816611</v>
      </c>
      <c r="BQ26">
        <v>1336062</v>
      </c>
      <c r="BR26">
        <v>1064214</v>
      </c>
      <c r="BS26">
        <v>1278734</v>
      </c>
      <c r="BT26">
        <v>1416025</v>
      </c>
      <c r="BU26">
        <v>1047657</v>
      </c>
      <c r="BV26">
        <v>1511446</v>
      </c>
      <c r="BW26">
        <v>1989320</v>
      </c>
      <c r="BX26">
        <v>2158087</v>
      </c>
      <c r="BY26">
        <v>2040441</v>
      </c>
      <c r="BZ26">
        <v>2418695</v>
      </c>
      <c r="CA26">
        <v>2665810</v>
      </c>
      <c r="CB26">
        <v>2077860</v>
      </c>
      <c r="CC26">
        <v>2599901</v>
      </c>
      <c r="CD26">
        <v>2309161</v>
      </c>
      <c r="CE26">
        <v>3065173</v>
      </c>
      <c r="CF26">
        <v>2488555</v>
      </c>
      <c r="CG26">
        <v>2626578</v>
      </c>
      <c r="CH26">
        <v>3409988</v>
      </c>
    </row>
    <row r="27" spans="1:86">
      <c r="A27" t="s">
        <v>1361</v>
      </c>
      <c r="B27" t="s">
        <v>88</v>
      </c>
      <c r="C27">
        <v>1000000</v>
      </c>
      <c r="D27" t="s">
        <v>89</v>
      </c>
      <c r="E27" t="s">
        <v>1362</v>
      </c>
      <c r="F27" s="21" t="s">
        <v>1363</v>
      </c>
      <c r="G27">
        <v>2325</v>
      </c>
      <c r="H27">
        <v>2616</v>
      </c>
      <c r="I27">
        <v>2228</v>
      </c>
      <c r="J27">
        <v>2009</v>
      </c>
      <c r="K27">
        <v>1975</v>
      </c>
      <c r="L27">
        <v>2053</v>
      </c>
      <c r="M27">
        <v>2053</v>
      </c>
      <c r="N27">
        <v>2188</v>
      </c>
      <c r="O27">
        <v>2157</v>
      </c>
      <c r="P27">
        <v>2741</v>
      </c>
      <c r="Q27">
        <v>2924</v>
      </c>
      <c r="R27">
        <v>3013</v>
      </c>
      <c r="S27">
        <v>2898</v>
      </c>
      <c r="T27">
        <v>4953</v>
      </c>
      <c r="U27">
        <v>6438</v>
      </c>
      <c r="V27">
        <v>7022</v>
      </c>
      <c r="W27">
        <v>8423</v>
      </c>
      <c r="X27">
        <v>8041</v>
      </c>
      <c r="Y27">
        <v>9895</v>
      </c>
      <c r="Z27">
        <v>11289</v>
      </c>
      <c r="AA27">
        <v>19840</v>
      </c>
      <c r="AB27">
        <v>19948</v>
      </c>
      <c r="AC27">
        <v>19714</v>
      </c>
      <c r="AD27">
        <v>29499</v>
      </c>
      <c r="AE27">
        <v>35168</v>
      </c>
      <c r="AF27">
        <v>34913</v>
      </c>
      <c r="AG27">
        <v>36960</v>
      </c>
      <c r="AH27">
        <v>54497</v>
      </c>
      <c r="AI27">
        <v>48320</v>
      </c>
      <c r="AJ27">
        <v>26314</v>
      </c>
      <c r="AK27">
        <v>29458</v>
      </c>
      <c r="AL27">
        <v>37414</v>
      </c>
      <c r="AM27">
        <v>34066</v>
      </c>
      <c r="AN27">
        <v>37590</v>
      </c>
      <c r="AO27">
        <v>38957</v>
      </c>
      <c r="AP27">
        <v>40304</v>
      </c>
      <c r="AQ27">
        <v>46596</v>
      </c>
      <c r="AR27">
        <v>47871</v>
      </c>
      <c r="AS27">
        <v>64062</v>
      </c>
      <c r="AT27">
        <v>62715</v>
      </c>
      <c r="AU27">
        <v>93385</v>
      </c>
      <c r="AV27">
        <v>121272</v>
      </c>
      <c r="AW27">
        <v>101106</v>
      </c>
      <c r="AX27">
        <v>129590</v>
      </c>
      <c r="AY27">
        <v>149849</v>
      </c>
      <c r="AZ27">
        <v>102940</v>
      </c>
      <c r="BA27">
        <v>185610</v>
      </c>
      <c r="BB27">
        <v>278453</v>
      </c>
      <c r="BC27">
        <v>314182</v>
      </c>
      <c r="BD27">
        <v>308161</v>
      </c>
      <c r="BE27">
        <v>474039</v>
      </c>
      <c r="BF27">
        <v>670285</v>
      </c>
      <c r="BG27">
        <v>1001517</v>
      </c>
      <c r="BH27">
        <v>1076631</v>
      </c>
      <c r="BI27">
        <v>1004038</v>
      </c>
      <c r="BJ27">
        <v>1195863</v>
      </c>
      <c r="BK27">
        <v>1250185</v>
      </c>
      <c r="BL27">
        <v>1081228</v>
      </c>
      <c r="BM27">
        <v>1417798</v>
      </c>
      <c r="BN27">
        <v>1542429</v>
      </c>
      <c r="BO27">
        <v>1517076</v>
      </c>
      <c r="BP27">
        <v>1733170</v>
      </c>
      <c r="BQ27">
        <v>1258491</v>
      </c>
      <c r="BR27">
        <v>1010555</v>
      </c>
      <c r="BS27">
        <v>1226990</v>
      </c>
      <c r="BT27">
        <v>1358393</v>
      </c>
      <c r="BU27">
        <v>1005748</v>
      </c>
      <c r="BV27">
        <v>1449149</v>
      </c>
      <c r="BW27">
        <v>1904619</v>
      </c>
      <c r="BX27">
        <v>2074056</v>
      </c>
      <c r="BY27">
        <v>1967472</v>
      </c>
      <c r="BZ27">
        <v>2325539</v>
      </c>
      <c r="CA27">
        <v>2557203</v>
      </c>
      <c r="CB27">
        <v>2002841</v>
      </c>
      <c r="CC27">
        <v>2502339</v>
      </c>
      <c r="CD27">
        <v>2209207</v>
      </c>
      <c r="CE27">
        <v>2920782</v>
      </c>
      <c r="CF27">
        <v>2379335</v>
      </c>
      <c r="CG27">
        <v>2508932</v>
      </c>
      <c r="CH27">
        <v>3254367</v>
      </c>
    </row>
    <row r="28" spans="1:86">
      <c r="A28" t="s">
        <v>1364</v>
      </c>
      <c r="B28" t="s">
        <v>88</v>
      </c>
      <c r="C28">
        <v>1000000</v>
      </c>
      <c r="D28" t="s">
        <v>89</v>
      </c>
      <c r="E28" t="s">
        <v>1365</v>
      </c>
      <c r="F28" s="21" t="s">
        <v>1366</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29606</v>
      </c>
      <c r="BG28">
        <v>57874</v>
      </c>
      <c r="BH28">
        <v>46176</v>
      </c>
      <c r="BI28">
        <v>34066</v>
      </c>
      <c r="BJ28">
        <v>45672</v>
      </c>
      <c r="BK28">
        <v>44560</v>
      </c>
      <c r="BL28">
        <v>44503</v>
      </c>
      <c r="BM28">
        <v>54229</v>
      </c>
      <c r="BN28">
        <v>61729</v>
      </c>
      <c r="BO28">
        <v>61614</v>
      </c>
      <c r="BP28">
        <v>83441</v>
      </c>
      <c r="BQ28">
        <v>77571</v>
      </c>
      <c r="BR28">
        <v>53659</v>
      </c>
      <c r="BS28">
        <v>51744</v>
      </c>
      <c r="BT28">
        <v>57632</v>
      </c>
      <c r="BU28">
        <v>41909</v>
      </c>
      <c r="BV28">
        <v>62297</v>
      </c>
      <c r="BW28">
        <v>84701</v>
      </c>
      <c r="BX28">
        <v>84031</v>
      </c>
      <c r="BY28">
        <v>72969</v>
      </c>
      <c r="BZ28">
        <v>93156</v>
      </c>
      <c r="CA28">
        <v>108607</v>
      </c>
      <c r="CB28">
        <v>75019</v>
      </c>
      <c r="CC28">
        <v>97562</v>
      </c>
      <c r="CD28">
        <v>99954</v>
      </c>
      <c r="CE28">
        <v>144391</v>
      </c>
      <c r="CF28">
        <v>109220</v>
      </c>
      <c r="CG28">
        <v>117646</v>
      </c>
      <c r="CH28">
        <v>155621</v>
      </c>
    </row>
    <row r="29" spans="1:86">
      <c r="A29" t="s">
        <v>1367</v>
      </c>
      <c r="B29" t="s">
        <v>88</v>
      </c>
      <c r="C29">
        <v>1000000</v>
      </c>
      <c r="D29" t="s">
        <v>89</v>
      </c>
      <c r="E29" t="s">
        <v>1368</v>
      </c>
      <c r="F29" s="21" t="s">
        <v>1369</v>
      </c>
      <c r="G29">
        <v>42988</v>
      </c>
      <c r="H29">
        <v>42263</v>
      </c>
      <c r="I29">
        <v>42219</v>
      </c>
      <c r="J29">
        <v>42970</v>
      </c>
      <c r="K29">
        <v>42876</v>
      </c>
      <c r="L29">
        <v>43448</v>
      </c>
      <c r="M29">
        <v>43533</v>
      </c>
      <c r="N29">
        <v>43667</v>
      </c>
      <c r="O29">
        <v>43206</v>
      </c>
      <c r="P29">
        <v>43118</v>
      </c>
      <c r="Q29">
        <v>43139</v>
      </c>
      <c r="R29">
        <v>43369</v>
      </c>
      <c r="S29">
        <v>43161</v>
      </c>
      <c r="T29">
        <v>41332</v>
      </c>
      <c r="U29">
        <v>40265</v>
      </c>
      <c r="V29">
        <v>39112</v>
      </c>
      <c r="W29">
        <v>59260</v>
      </c>
      <c r="X29">
        <v>49834</v>
      </c>
      <c r="Y29">
        <v>58381</v>
      </c>
      <c r="Z29">
        <v>64229</v>
      </c>
      <c r="AA29">
        <v>62636</v>
      </c>
      <c r="AB29">
        <v>63080</v>
      </c>
      <c r="AC29">
        <v>75560</v>
      </c>
      <c r="AD29">
        <v>93088</v>
      </c>
      <c r="AE29">
        <v>69165</v>
      </c>
      <c r="AF29">
        <v>62606</v>
      </c>
      <c r="AG29">
        <v>73599</v>
      </c>
      <c r="AH29">
        <v>67155</v>
      </c>
      <c r="AI29">
        <v>41537</v>
      </c>
      <c r="AJ29">
        <v>19701</v>
      </c>
      <c r="AK29">
        <v>24241</v>
      </c>
      <c r="AL29">
        <v>34643</v>
      </c>
      <c r="AM29">
        <v>36163</v>
      </c>
      <c r="AN29">
        <v>38612</v>
      </c>
      <c r="AO29">
        <v>50590</v>
      </c>
      <c r="AP29">
        <v>59673</v>
      </c>
      <c r="AQ29">
        <v>62058</v>
      </c>
      <c r="AR29">
        <v>75682</v>
      </c>
      <c r="AS29">
        <v>93910</v>
      </c>
      <c r="AT29">
        <v>110612</v>
      </c>
      <c r="AU29">
        <v>157349</v>
      </c>
      <c r="AV29">
        <v>164215</v>
      </c>
      <c r="AW29">
        <v>147933</v>
      </c>
      <c r="AX29">
        <v>142249</v>
      </c>
      <c r="AY29">
        <v>169914</v>
      </c>
      <c r="AZ29">
        <v>136304</v>
      </c>
      <c r="BA29">
        <v>166936</v>
      </c>
      <c r="BB29">
        <v>182184</v>
      </c>
      <c r="BC29">
        <v>221678</v>
      </c>
      <c r="BD29">
        <v>205881</v>
      </c>
      <c r="BE29">
        <v>285643</v>
      </c>
      <c r="BF29">
        <v>366848</v>
      </c>
      <c r="BG29">
        <v>485108</v>
      </c>
      <c r="BH29">
        <v>466793</v>
      </c>
      <c r="BI29">
        <v>484392</v>
      </c>
      <c r="BJ29">
        <v>399135</v>
      </c>
      <c r="BK29">
        <v>263104</v>
      </c>
      <c r="BL29">
        <v>267930</v>
      </c>
      <c r="BM29">
        <v>375022</v>
      </c>
      <c r="BN29">
        <v>432587</v>
      </c>
      <c r="BO29">
        <v>523117</v>
      </c>
      <c r="BP29">
        <v>641378</v>
      </c>
      <c r="BQ29">
        <v>629449</v>
      </c>
      <c r="BR29">
        <v>333374</v>
      </c>
      <c r="BS29">
        <v>405888</v>
      </c>
      <c r="BT29">
        <v>469710</v>
      </c>
      <c r="BU29">
        <v>401051</v>
      </c>
      <c r="BV29">
        <v>369090</v>
      </c>
      <c r="BW29">
        <v>582464</v>
      </c>
      <c r="BX29">
        <v>724840</v>
      </c>
      <c r="BY29">
        <v>760769</v>
      </c>
      <c r="BZ29">
        <v>869526</v>
      </c>
      <c r="CA29">
        <v>1152379</v>
      </c>
      <c r="CB29">
        <v>1086626</v>
      </c>
      <c r="CC29">
        <v>1351348</v>
      </c>
      <c r="CD29">
        <v>1605996</v>
      </c>
      <c r="CE29">
        <v>2499549</v>
      </c>
      <c r="CF29">
        <v>2112560</v>
      </c>
      <c r="CG29">
        <v>2307489</v>
      </c>
      <c r="CH29">
        <v>2704882</v>
      </c>
    </row>
    <row r="30" spans="1:86">
      <c r="A30" t="s">
        <v>1370</v>
      </c>
      <c r="B30" t="s">
        <v>88</v>
      </c>
      <c r="C30">
        <v>1000000</v>
      </c>
      <c r="D30" t="s">
        <v>89</v>
      </c>
      <c r="E30" t="s">
        <v>1371</v>
      </c>
      <c r="F30" s="21" t="s">
        <v>1372</v>
      </c>
      <c r="G30">
        <v>42988</v>
      </c>
      <c r="H30">
        <v>42263</v>
      </c>
      <c r="I30">
        <v>42219</v>
      </c>
      <c r="J30">
        <v>42970</v>
      </c>
      <c r="K30">
        <v>42876</v>
      </c>
      <c r="L30">
        <v>43448</v>
      </c>
      <c r="M30">
        <v>43533</v>
      </c>
      <c r="N30">
        <v>43667</v>
      </c>
      <c r="O30">
        <v>43206</v>
      </c>
      <c r="P30">
        <v>43118</v>
      </c>
      <c r="Q30">
        <v>43139</v>
      </c>
      <c r="R30">
        <v>43369</v>
      </c>
      <c r="S30">
        <v>43161</v>
      </c>
      <c r="T30">
        <v>41332</v>
      </c>
      <c r="U30">
        <v>40265</v>
      </c>
      <c r="V30">
        <v>39112</v>
      </c>
      <c r="W30">
        <v>59260</v>
      </c>
      <c r="X30">
        <v>49834</v>
      </c>
      <c r="Y30">
        <v>58381</v>
      </c>
      <c r="Z30">
        <v>64229</v>
      </c>
      <c r="AA30">
        <v>62636</v>
      </c>
      <c r="AB30">
        <v>63080</v>
      </c>
      <c r="AC30">
        <v>75560</v>
      </c>
      <c r="AD30">
        <v>93088</v>
      </c>
      <c r="AE30">
        <v>69165</v>
      </c>
      <c r="AF30">
        <v>62606</v>
      </c>
      <c r="AG30">
        <v>73599</v>
      </c>
      <c r="AH30">
        <v>67155</v>
      </c>
      <c r="AI30">
        <v>41537</v>
      </c>
      <c r="AJ30">
        <v>19701</v>
      </c>
      <c r="AK30">
        <v>24241</v>
      </c>
      <c r="AL30">
        <v>34643</v>
      </c>
      <c r="AM30">
        <v>36163</v>
      </c>
      <c r="AN30">
        <v>38612</v>
      </c>
      <c r="AO30">
        <v>50590</v>
      </c>
      <c r="AP30">
        <v>59673</v>
      </c>
      <c r="AQ30">
        <v>62058</v>
      </c>
      <c r="AR30">
        <v>75682</v>
      </c>
      <c r="AS30">
        <v>93910</v>
      </c>
      <c r="AT30">
        <v>110612</v>
      </c>
      <c r="AU30">
        <v>157349</v>
      </c>
      <c r="AV30">
        <v>164215</v>
      </c>
      <c r="AW30">
        <v>147933</v>
      </c>
      <c r="AX30">
        <v>142249</v>
      </c>
      <c r="AY30">
        <v>169914</v>
      </c>
      <c r="AZ30">
        <v>136304</v>
      </c>
      <c r="BA30">
        <v>166936</v>
      </c>
      <c r="BB30">
        <v>182184</v>
      </c>
      <c r="BC30">
        <v>221678</v>
      </c>
      <c r="BD30">
        <v>205881</v>
      </c>
      <c r="BE30">
        <v>285643</v>
      </c>
      <c r="BF30">
        <v>354823</v>
      </c>
      <c r="BG30">
        <v>464868</v>
      </c>
      <c r="BH30">
        <v>450589</v>
      </c>
      <c r="BI30">
        <v>471080</v>
      </c>
      <c r="BJ30">
        <v>383841</v>
      </c>
      <c r="BK30">
        <v>250340</v>
      </c>
      <c r="BL30">
        <v>255547</v>
      </c>
      <c r="BM30">
        <v>360657</v>
      </c>
      <c r="BN30">
        <v>415393</v>
      </c>
      <c r="BO30">
        <v>503836</v>
      </c>
      <c r="BP30">
        <v>613314</v>
      </c>
      <c r="BQ30">
        <v>593402</v>
      </c>
      <c r="BR30">
        <v>312167</v>
      </c>
      <c r="BS30">
        <v>388430</v>
      </c>
      <c r="BT30">
        <v>451096</v>
      </c>
      <c r="BU30">
        <v>383648</v>
      </c>
      <c r="BV30">
        <v>348669</v>
      </c>
      <c r="BW30">
        <v>549330</v>
      </c>
      <c r="BX30">
        <v>690350</v>
      </c>
      <c r="BY30">
        <v>729001</v>
      </c>
      <c r="BZ30">
        <v>832069</v>
      </c>
      <c r="CA30">
        <v>1106605</v>
      </c>
      <c r="CB30">
        <v>1045335</v>
      </c>
      <c r="CC30">
        <v>1299614</v>
      </c>
      <c r="CD30">
        <v>1531682</v>
      </c>
      <c r="CE30">
        <v>2388825</v>
      </c>
      <c r="CF30">
        <v>2023243</v>
      </c>
      <c r="CG30">
        <v>2204623</v>
      </c>
      <c r="CH30">
        <v>2581062</v>
      </c>
    </row>
    <row r="31" spans="1:86">
      <c r="A31" t="s">
        <v>1373</v>
      </c>
      <c r="B31" t="s">
        <v>88</v>
      </c>
      <c r="C31">
        <v>1000000</v>
      </c>
      <c r="D31" t="s">
        <v>89</v>
      </c>
      <c r="E31" t="s">
        <v>1374</v>
      </c>
      <c r="F31" s="21" t="s">
        <v>1375</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12025</v>
      </c>
      <c r="BG31">
        <v>20240</v>
      </c>
      <c r="BH31">
        <v>16204</v>
      </c>
      <c r="BI31">
        <v>13312</v>
      </c>
      <c r="BJ31">
        <v>15294</v>
      </c>
      <c r="BK31">
        <v>12764</v>
      </c>
      <c r="BL31">
        <v>12383</v>
      </c>
      <c r="BM31">
        <v>14365</v>
      </c>
      <c r="BN31">
        <v>17194</v>
      </c>
      <c r="BO31">
        <v>19281</v>
      </c>
      <c r="BP31">
        <v>28064</v>
      </c>
      <c r="BQ31">
        <v>36047</v>
      </c>
      <c r="BR31">
        <v>21207</v>
      </c>
      <c r="BS31">
        <v>17458</v>
      </c>
      <c r="BT31">
        <v>18614</v>
      </c>
      <c r="BU31">
        <v>17403</v>
      </c>
      <c r="BV31">
        <v>20421</v>
      </c>
      <c r="BW31">
        <v>33134</v>
      </c>
      <c r="BX31">
        <v>34490</v>
      </c>
      <c r="BY31">
        <v>31768</v>
      </c>
      <c r="BZ31">
        <v>37457</v>
      </c>
      <c r="CA31">
        <v>45774</v>
      </c>
      <c r="CB31">
        <v>41291</v>
      </c>
      <c r="CC31">
        <v>51734</v>
      </c>
      <c r="CD31">
        <v>74314</v>
      </c>
      <c r="CE31">
        <v>110724</v>
      </c>
      <c r="CF31">
        <v>89317</v>
      </c>
      <c r="CG31">
        <v>102866</v>
      </c>
      <c r="CH31">
        <v>123820</v>
      </c>
    </row>
    <row r="32" spans="1:86">
      <c r="A32" t="s">
        <v>1376</v>
      </c>
      <c r="B32" t="s">
        <v>88</v>
      </c>
      <c r="C32">
        <v>1000000</v>
      </c>
      <c r="D32" t="s">
        <v>89</v>
      </c>
      <c r="E32" t="s">
        <v>1377</v>
      </c>
      <c r="F32" s="21" t="s">
        <v>1378</v>
      </c>
      <c r="G32">
        <v>942</v>
      </c>
      <c r="H32">
        <v>1001</v>
      </c>
      <c r="I32">
        <v>972</v>
      </c>
      <c r="J32">
        <v>944</v>
      </c>
      <c r="K32">
        <v>708</v>
      </c>
      <c r="L32">
        <v>1175</v>
      </c>
      <c r="M32">
        <v>1390</v>
      </c>
      <c r="N32">
        <v>1459</v>
      </c>
      <c r="O32">
        <v>1329</v>
      </c>
      <c r="P32">
        <v>1868</v>
      </c>
      <c r="Q32">
        <v>2439</v>
      </c>
      <c r="R32">
        <v>2625</v>
      </c>
      <c r="S32">
        <v>2233</v>
      </c>
      <c r="T32">
        <v>3095</v>
      </c>
      <c r="U32">
        <v>3689</v>
      </c>
      <c r="V32">
        <v>3984</v>
      </c>
      <c r="W32">
        <v>4902</v>
      </c>
      <c r="X32">
        <v>4714</v>
      </c>
      <c r="Y32">
        <v>5145</v>
      </c>
      <c r="Z32">
        <v>5270</v>
      </c>
      <c r="AA32">
        <v>5048</v>
      </c>
      <c r="AB32">
        <v>4324</v>
      </c>
      <c r="AC32">
        <v>5238</v>
      </c>
      <c r="AD32">
        <v>6452</v>
      </c>
      <c r="AE32">
        <v>6953</v>
      </c>
      <c r="AF32">
        <v>6573</v>
      </c>
      <c r="AG32">
        <v>7641</v>
      </c>
      <c r="AH32">
        <v>10537</v>
      </c>
      <c r="AI32">
        <v>10026</v>
      </c>
      <c r="AJ32">
        <v>9011</v>
      </c>
      <c r="AK32">
        <v>9585</v>
      </c>
      <c r="AL32">
        <v>9453</v>
      </c>
      <c r="AM32">
        <v>10110</v>
      </c>
      <c r="AN32">
        <v>11236</v>
      </c>
      <c r="AO32">
        <v>14803</v>
      </c>
      <c r="AP32">
        <v>18930</v>
      </c>
      <c r="AQ32">
        <v>16467</v>
      </c>
      <c r="AR32">
        <v>17442</v>
      </c>
      <c r="AS32">
        <v>26154</v>
      </c>
      <c r="AT32">
        <v>25994</v>
      </c>
      <c r="AU32">
        <v>44383</v>
      </c>
      <c r="AV32">
        <v>72399</v>
      </c>
      <c r="AW32">
        <v>94700</v>
      </c>
      <c r="AX32">
        <v>128662</v>
      </c>
      <c r="AY32">
        <v>197345</v>
      </c>
      <c r="AZ32">
        <v>197596</v>
      </c>
      <c r="BA32">
        <v>278976</v>
      </c>
      <c r="BB32">
        <v>314266</v>
      </c>
      <c r="BC32">
        <v>543862</v>
      </c>
      <c r="BD32">
        <v>626762</v>
      </c>
      <c r="BE32">
        <v>790615</v>
      </c>
      <c r="BF32">
        <v>1006135</v>
      </c>
      <c r="BG32">
        <v>1207787</v>
      </c>
      <c r="BH32">
        <v>1474983</v>
      </c>
      <c r="BI32">
        <v>2003716</v>
      </c>
      <c r="BJ32">
        <v>1852842</v>
      </c>
      <c r="BK32">
        <v>1612673</v>
      </c>
      <c r="BL32">
        <v>1373980</v>
      </c>
      <c r="BM32">
        <v>2079422</v>
      </c>
      <c r="BN32">
        <v>2560418</v>
      </c>
      <c r="BO32">
        <v>3317705</v>
      </c>
      <c r="BP32">
        <v>4328960</v>
      </c>
      <c r="BQ32">
        <v>5247990</v>
      </c>
      <c r="BR32">
        <v>2748428</v>
      </c>
      <c r="BS32">
        <v>3995295</v>
      </c>
      <c r="BT32">
        <v>4900246</v>
      </c>
      <c r="BU32">
        <v>4501438</v>
      </c>
      <c r="BV32">
        <v>5321857</v>
      </c>
      <c r="BW32">
        <v>6472877</v>
      </c>
      <c r="BX32">
        <v>6770629</v>
      </c>
      <c r="BY32">
        <v>6756163</v>
      </c>
      <c r="BZ32">
        <v>7146320</v>
      </c>
      <c r="CA32">
        <v>9118138</v>
      </c>
      <c r="CB32">
        <v>7899563</v>
      </c>
      <c r="CC32">
        <v>9478014</v>
      </c>
      <c r="CD32">
        <v>10615016</v>
      </c>
      <c r="CE32">
        <v>12061294</v>
      </c>
      <c r="CF32">
        <v>10132028</v>
      </c>
      <c r="CG32">
        <v>11267034</v>
      </c>
      <c r="CH32">
        <v>11996289</v>
      </c>
    </row>
    <row r="33" spans="1:86">
      <c r="A33" t="s">
        <v>1295</v>
      </c>
      <c r="B33" t="s">
        <v>88</v>
      </c>
      <c r="C33">
        <v>1000000</v>
      </c>
      <c r="D33" t="s">
        <v>89</v>
      </c>
      <c r="E33" t="s">
        <v>1296</v>
      </c>
      <c r="F33" s="21" t="s">
        <v>1297</v>
      </c>
      <c r="G33">
        <v>152852</v>
      </c>
      <c r="H33">
        <v>146656</v>
      </c>
      <c r="I33">
        <v>144829</v>
      </c>
      <c r="J33">
        <v>144008</v>
      </c>
      <c r="K33">
        <v>153784</v>
      </c>
      <c r="L33">
        <v>177528</v>
      </c>
      <c r="M33">
        <v>199082</v>
      </c>
      <c r="N33">
        <v>198678</v>
      </c>
      <c r="O33">
        <v>196403</v>
      </c>
      <c r="P33">
        <v>248357</v>
      </c>
      <c r="Q33">
        <v>298673</v>
      </c>
      <c r="R33">
        <v>323618</v>
      </c>
      <c r="S33">
        <v>301375</v>
      </c>
      <c r="T33">
        <v>382051</v>
      </c>
      <c r="U33">
        <v>420820</v>
      </c>
      <c r="V33">
        <v>425058</v>
      </c>
      <c r="W33">
        <v>521094</v>
      </c>
      <c r="X33">
        <v>503823</v>
      </c>
      <c r="Y33">
        <v>558475</v>
      </c>
      <c r="Z33">
        <v>647246</v>
      </c>
      <c r="AA33">
        <v>734923</v>
      </c>
      <c r="AB33">
        <v>660424</v>
      </c>
      <c r="AC33">
        <v>835107</v>
      </c>
      <c r="AD33">
        <v>996085</v>
      </c>
      <c r="AE33">
        <v>840609</v>
      </c>
      <c r="AF33">
        <v>831233</v>
      </c>
      <c r="AG33">
        <v>974871</v>
      </c>
      <c r="AH33">
        <v>1203281</v>
      </c>
      <c r="AI33">
        <v>938338</v>
      </c>
      <c r="AJ33">
        <v>632492</v>
      </c>
      <c r="AK33">
        <v>839378</v>
      </c>
      <c r="AL33">
        <v>1034228</v>
      </c>
      <c r="AM33">
        <v>922579</v>
      </c>
      <c r="AN33">
        <v>969619</v>
      </c>
      <c r="AO33">
        <v>1147253</v>
      </c>
      <c r="AP33">
        <v>1494924</v>
      </c>
      <c r="AQ33">
        <v>1382028</v>
      </c>
      <c r="AR33">
        <v>1562485</v>
      </c>
      <c r="AS33">
        <v>1855966</v>
      </c>
      <c r="AT33">
        <v>1789165</v>
      </c>
      <c r="AU33">
        <v>2270405</v>
      </c>
      <c r="AV33">
        <v>2682199</v>
      </c>
      <c r="AW33">
        <v>2710300</v>
      </c>
      <c r="AX33">
        <v>3075619</v>
      </c>
      <c r="AY33">
        <v>3812955</v>
      </c>
      <c r="AZ33">
        <v>3531306</v>
      </c>
      <c r="BA33">
        <v>4847773</v>
      </c>
      <c r="BB33">
        <v>5421969</v>
      </c>
      <c r="BC33">
        <v>6296866</v>
      </c>
      <c r="BD33">
        <v>6317493</v>
      </c>
      <c r="BE33">
        <v>8481326</v>
      </c>
      <c r="BF33">
        <v>10061049</v>
      </c>
      <c r="BG33">
        <v>12994553</v>
      </c>
      <c r="BH33">
        <v>15913534</v>
      </c>
      <c r="BI33">
        <v>19973394</v>
      </c>
      <c r="BJ33">
        <v>18244390</v>
      </c>
      <c r="BK33">
        <v>16388532</v>
      </c>
      <c r="BL33">
        <v>13194274</v>
      </c>
      <c r="BM33">
        <v>17330352</v>
      </c>
      <c r="BN33">
        <v>19800437</v>
      </c>
      <c r="BO33">
        <v>21515809</v>
      </c>
      <c r="BP33">
        <v>24973843</v>
      </c>
      <c r="BQ33">
        <v>26300070</v>
      </c>
      <c r="BR33">
        <v>16482304</v>
      </c>
      <c r="BS33">
        <v>21008142</v>
      </c>
      <c r="BT33">
        <v>24428137</v>
      </c>
      <c r="BU33">
        <v>23655389</v>
      </c>
      <c r="BV33">
        <v>27064003</v>
      </c>
      <c r="BW33">
        <v>34766495</v>
      </c>
      <c r="BX33">
        <v>38422608</v>
      </c>
      <c r="BY33">
        <v>37357372</v>
      </c>
      <c r="BZ33">
        <v>40313791</v>
      </c>
      <c r="CA33">
        <v>48133249</v>
      </c>
      <c r="CB33">
        <v>44014308</v>
      </c>
      <c r="CC33">
        <v>54708167</v>
      </c>
      <c r="CD33">
        <v>65517579</v>
      </c>
      <c r="CE33">
        <v>81253224</v>
      </c>
      <c r="CF33">
        <v>65308604</v>
      </c>
      <c r="CG33">
        <v>78220902</v>
      </c>
      <c r="CH33">
        <v>93815167</v>
      </c>
    </row>
    <row r="34" spans="1:86">
      <c r="A34" t="s">
        <v>1379</v>
      </c>
      <c r="B34" t="s">
        <v>88</v>
      </c>
      <c r="C34">
        <v>1000000</v>
      </c>
      <c r="D34" t="s">
        <v>89</v>
      </c>
      <c r="E34" t="s">
        <v>1380</v>
      </c>
      <c r="F34" s="21" t="s">
        <v>1381</v>
      </c>
      <c r="G34">
        <v>144855</v>
      </c>
      <c r="H34">
        <v>138515</v>
      </c>
      <c r="I34">
        <v>136405</v>
      </c>
      <c r="J34">
        <v>135486</v>
      </c>
      <c r="K34">
        <v>142455</v>
      </c>
      <c r="L34">
        <v>164696</v>
      </c>
      <c r="M34">
        <v>184698</v>
      </c>
      <c r="N34">
        <v>181107</v>
      </c>
      <c r="O34">
        <v>177571</v>
      </c>
      <c r="P34">
        <v>222894</v>
      </c>
      <c r="Q34">
        <v>265346</v>
      </c>
      <c r="R34">
        <v>287754</v>
      </c>
      <c r="S34">
        <v>266362</v>
      </c>
      <c r="T34">
        <v>333702</v>
      </c>
      <c r="U34">
        <v>364772</v>
      </c>
      <c r="V34">
        <v>364813</v>
      </c>
      <c r="W34">
        <v>443622</v>
      </c>
      <c r="X34">
        <v>431479</v>
      </c>
      <c r="Y34">
        <v>457587</v>
      </c>
      <c r="Z34">
        <v>530699</v>
      </c>
      <c r="AA34">
        <v>601439</v>
      </c>
      <c r="AB34">
        <v>531716</v>
      </c>
      <c r="AC34">
        <v>663676</v>
      </c>
      <c r="AD34">
        <v>791494</v>
      </c>
      <c r="AE34">
        <v>638984</v>
      </c>
      <c r="AF34">
        <v>617731</v>
      </c>
      <c r="AG34">
        <v>707587</v>
      </c>
      <c r="AH34">
        <v>882122</v>
      </c>
      <c r="AI34">
        <v>647173</v>
      </c>
      <c r="AJ34">
        <v>391408</v>
      </c>
      <c r="AK34">
        <v>523873</v>
      </c>
      <c r="AL34">
        <v>664031</v>
      </c>
      <c r="AM34">
        <v>559025</v>
      </c>
      <c r="AN34">
        <v>567841</v>
      </c>
      <c r="AO34">
        <v>684612</v>
      </c>
      <c r="AP34">
        <v>901755</v>
      </c>
      <c r="AQ34">
        <v>800923</v>
      </c>
      <c r="AR34">
        <v>845288</v>
      </c>
      <c r="AS34">
        <v>939597</v>
      </c>
      <c r="AT34">
        <v>847020</v>
      </c>
      <c r="AU34">
        <v>1033079</v>
      </c>
      <c r="AV34">
        <v>1249742</v>
      </c>
      <c r="AW34">
        <v>1210754</v>
      </c>
      <c r="AX34">
        <v>1552536</v>
      </c>
      <c r="AY34">
        <v>1913688</v>
      </c>
      <c r="AZ34">
        <v>1734697</v>
      </c>
      <c r="BA34">
        <v>2491325</v>
      </c>
      <c r="BB34">
        <v>2810125</v>
      </c>
      <c r="BC34">
        <v>3110199</v>
      </c>
      <c r="BD34">
        <v>3013823</v>
      </c>
      <c r="BE34">
        <v>4029075</v>
      </c>
      <c r="BF34">
        <v>4511914</v>
      </c>
      <c r="BG34">
        <v>5729508</v>
      </c>
      <c r="BH34">
        <v>6848005</v>
      </c>
      <c r="BI34">
        <v>8346196</v>
      </c>
      <c r="BJ34">
        <v>7171117</v>
      </c>
      <c r="BK34">
        <v>6419347</v>
      </c>
      <c r="BL34">
        <v>5013635</v>
      </c>
      <c r="BM34">
        <v>6628755</v>
      </c>
      <c r="BN34">
        <v>7373179</v>
      </c>
      <c r="BO34">
        <v>8191347</v>
      </c>
      <c r="BP34">
        <v>10150352</v>
      </c>
      <c r="BQ34">
        <v>9975721</v>
      </c>
      <c r="BR34">
        <v>5876720</v>
      </c>
      <c r="BS34">
        <v>7453612</v>
      </c>
      <c r="BT34">
        <v>8809013</v>
      </c>
      <c r="BU34">
        <v>8351581</v>
      </c>
      <c r="BV34">
        <v>9604964</v>
      </c>
      <c r="BW34">
        <v>12507557</v>
      </c>
      <c r="BX34">
        <v>14316525</v>
      </c>
      <c r="BY34">
        <v>13942388</v>
      </c>
      <c r="BZ34">
        <v>15393729</v>
      </c>
      <c r="CA34">
        <v>18273992</v>
      </c>
      <c r="CB34">
        <v>16641609</v>
      </c>
      <c r="CC34">
        <v>21144458</v>
      </c>
      <c r="CD34">
        <v>26126390</v>
      </c>
      <c r="CE34">
        <v>33023439</v>
      </c>
      <c r="CF34">
        <v>26892506</v>
      </c>
      <c r="CG34">
        <v>32241947</v>
      </c>
      <c r="CH34">
        <v>38996748</v>
      </c>
    </row>
    <row r="35" spans="1:86">
      <c r="A35" t="s">
        <v>331</v>
      </c>
      <c r="B35" t="s">
        <v>88</v>
      </c>
      <c r="C35">
        <v>1000000</v>
      </c>
      <c r="D35" t="s">
        <v>89</v>
      </c>
      <c r="E35" t="s">
        <v>547</v>
      </c>
      <c r="F35" s="21" t="s">
        <v>548</v>
      </c>
      <c r="G35">
        <v>0</v>
      </c>
      <c r="H35">
        <v>0</v>
      </c>
      <c r="I35">
        <v>0</v>
      </c>
      <c r="J35">
        <v>0</v>
      </c>
      <c r="K35">
        <v>0</v>
      </c>
      <c r="L35">
        <v>0</v>
      </c>
      <c r="M35">
        <v>0</v>
      </c>
      <c r="N35">
        <v>0</v>
      </c>
      <c r="O35">
        <v>0</v>
      </c>
      <c r="P35">
        <v>0</v>
      </c>
      <c r="Q35">
        <v>0</v>
      </c>
      <c r="R35">
        <v>0</v>
      </c>
      <c r="S35">
        <v>0</v>
      </c>
      <c r="T35">
        <v>0</v>
      </c>
      <c r="U35">
        <v>0</v>
      </c>
      <c r="V35">
        <v>0</v>
      </c>
      <c r="W35">
        <v>0</v>
      </c>
      <c r="X35">
        <v>0</v>
      </c>
      <c r="Y35">
        <v>12666</v>
      </c>
      <c r="Z35">
        <v>13844</v>
      </c>
      <c r="AA35">
        <v>15148</v>
      </c>
      <c r="AB35">
        <v>16847</v>
      </c>
      <c r="AC35">
        <v>18911</v>
      </c>
      <c r="AD35">
        <v>24109</v>
      </c>
      <c r="AE35">
        <v>28569</v>
      </c>
      <c r="AF35">
        <v>32658</v>
      </c>
      <c r="AG35">
        <v>36422</v>
      </c>
      <c r="AH35">
        <v>39717</v>
      </c>
      <c r="AI35">
        <v>46857</v>
      </c>
      <c r="AJ35">
        <v>53476</v>
      </c>
      <c r="AK35">
        <v>60832</v>
      </c>
      <c r="AL35">
        <v>67205</v>
      </c>
      <c r="AM35">
        <v>72035</v>
      </c>
      <c r="AN35">
        <v>72345</v>
      </c>
      <c r="AO35">
        <v>83307</v>
      </c>
      <c r="AP35">
        <v>113879</v>
      </c>
      <c r="AQ35">
        <v>109002</v>
      </c>
      <c r="AR35">
        <v>128675</v>
      </c>
      <c r="AS35">
        <v>159277</v>
      </c>
      <c r="AT35">
        <v>175013</v>
      </c>
      <c r="AU35">
        <v>214143</v>
      </c>
      <c r="AV35">
        <v>265538</v>
      </c>
      <c r="AW35">
        <v>275803</v>
      </c>
      <c r="AX35">
        <v>230344</v>
      </c>
      <c r="AY35">
        <v>287674</v>
      </c>
      <c r="AZ35">
        <v>274682</v>
      </c>
      <c r="BA35">
        <v>353898</v>
      </c>
      <c r="BB35">
        <v>335563</v>
      </c>
      <c r="BC35">
        <v>406967</v>
      </c>
      <c r="BD35">
        <v>369073</v>
      </c>
      <c r="BE35">
        <v>491714</v>
      </c>
      <c r="BF35">
        <v>621908</v>
      </c>
      <c r="BG35">
        <v>916390</v>
      </c>
      <c r="BH35">
        <v>1303141</v>
      </c>
      <c r="BI35">
        <v>2075021</v>
      </c>
      <c r="BJ35">
        <v>1717546</v>
      </c>
      <c r="BK35">
        <v>1286722</v>
      </c>
      <c r="BL35">
        <v>984329</v>
      </c>
      <c r="BM35">
        <v>1106509</v>
      </c>
      <c r="BN35">
        <v>1213832</v>
      </c>
      <c r="BO35">
        <v>1058806</v>
      </c>
      <c r="BP35">
        <v>964060</v>
      </c>
      <c r="BQ35">
        <v>1033221</v>
      </c>
      <c r="BR35">
        <v>791594</v>
      </c>
      <c r="BS35">
        <v>863153</v>
      </c>
      <c r="BT35">
        <v>917209</v>
      </c>
      <c r="BU35">
        <v>940555</v>
      </c>
      <c r="BV35">
        <v>1040110</v>
      </c>
      <c r="BW35">
        <v>1359761</v>
      </c>
      <c r="BX35">
        <v>1553751</v>
      </c>
      <c r="BY35">
        <v>1499935</v>
      </c>
      <c r="BZ35">
        <v>1712941</v>
      </c>
      <c r="CA35">
        <v>1949283</v>
      </c>
      <c r="CB35">
        <v>1789868</v>
      </c>
      <c r="CC35">
        <v>2317738</v>
      </c>
      <c r="CD35">
        <v>2543177</v>
      </c>
      <c r="CE35">
        <v>3144897</v>
      </c>
      <c r="CF35">
        <v>2397646</v>
      </c>
      <c r="CG35">
        <v>2913842</v>
      </c>
      <c r="CH35">
        <v>3249896</v>
      </c>
    </row>
    <row r="36" spans="1:86">
      <c r="A36" t="s">
        <v>1382</v>
      </c>
      <c r="B36" t="s">
        <v>88</v>
      </c>
      <c r="C36">
        <v>1000000</v>
      </c>
      <c r="D36" t="s">
        <v>89</v>
      </c>
      <c r="E36" t="s">
        <v>1383</v>
      </c>
      <c r="F36" s="21" t="s">
        <v>1384</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269938</v>
      </c>
      <c r="BS36">
        <v>225314</v>
      </c>
      <c r="BT36">
        <v>227993</v>
      </c>
      <c r="BU36">
        <v>209455</v>
      </c>
      <c r="BV36">
        <v>137933</v>
      </c>
      <c r="BW36">
        <v>137036</v>
      </c>
      <c r="BX36">
        <v>99506</v>
      </c>
      <c r="BY36">
        <v>106928</v>
      </c>
      <c r="BZ36">
        <v>103623</v>
      </c>
      <c r="CA36">
        <v>96434</v>
      </c>
      <c r="CB36">
        <v>111680</v>
      </c>
      <c r="CC36">
        <v>110751</v>
      </c>
      <c r="CD36">
        <v>128173</v>
      </c>
      <c r="CE36">
        <v>221452</v>
      </c>
      <c r="CF36">
        <v>227558</v>
      </c>
      <c r="CG36">
        <v>255208</v>
      </c>
      <c r="CH36">
        <v>317541</v>
      </c>
    </row>
    <row r="37" spans="1:86">
      <c r="A37" t="s">
        <v>1385</v>
      </c>
      <c r="B37" t="s">
        <v>88</v>
      </c>
      <c r="C37">
        <v>1000000</v>
      </c>
      <c r="D37" t="s">
        <v>89</v>
      </c>
      <c r="E37" t="s">
        <v>1386</v>
      </c>
      <c r="F37" s="21" t="s">
        <v>1387</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219</v>
      </c>
      <c r="AW37">
        <v>687</v>
      </c>
      <c r="AX37">
        <v>1688</v>
      </c>
      <c r="AY37">
        <v>3250</v>
      </c>
      <c r="AZ37">
        <v>4750</v>
      </c>
      <c r="BA37">
        <v>6250</v>
      </c>
      <c r="BB37">
        <v>7750</v>
      </c>
      <c r="BC37">
        <v>9286</v>
      </c>
      <c r="BD37">
        <v>10670</v>
      </c>
      <c r="BE37">
        <v>26739</v>
      </c>
      <c r="BF37">
        <v>47524</v>
      </c>
      <c r="BG37">
        <v>79669</v>
      </c>
      <c r="BH37">
        <v>102777</v>
      </c>
      <c r="BI37">
        <v>102545</v>
      </c>
      <c r="BJ37">
        <v>97289</v>
      </c>
      <c r="BK37">
        <v>91828</v>
      </c>
      <c r="BL37">
        <v>82753</v>
      </c>
      <c r="BM37">
        <v>93987</v>
      </c>
      <c r="BN37">
        <v>91024</v>
      </c>
      <c r="BO37">
        <v>103687</v>
      </c>
      <c r="BP37">
        <v>106521</v>
      </c>
      <c r="BQ37">
        <v>115021</v>
      </c>
      <c r="BR37">
        <v>96647</v>
      </c>
      <c r="BS37">
        <v>102986</v>
      </c>
      <c r="BT37">
        <v>105336</v>
      </c>
      <c r="BU37">
        <v>100956</v>
      </c>
      <c r="BV37">
        <v>99365</v>
      </c>
      <c r="BW37">
        <v>103302</v>
      </c>
      <c r="BX37">
        <v>102317</v>
      </c>
      <c r="BY37">
        <v>104180</v>
      </c>
      <c r="BZ37">
        <v>108783</v>
      </c>
      <c r="CA37">
        <v>117772</v>
      </c>
      <c r="CB37">
        <v>118661</v>
      </c>
      <c r="CC37">
        <v>120435</v>
      </c>
      <c r="CD37">
        <v>131038</v>
      </c>
      <c r="CE37">
        <v>120858</v>
      </c>
      <c r="CF37">
        <v>121016</v>
      </c>
      <c r="CG37">
        <v>130702</v>
      </c>
      <c r="CH37">
        <v>136336</v>
      </c>
    </row>
    <row r="38" spans="1:86">
      <c r="A38" t="s">
        <v>1388</v>
      </c>
      <c r="B38" t="s">
        <v>88</v>
      </c>
      <c r="C38">
        <v>1000000</v>
      </c>
      <c r="D38" t="s">
        <v>89</v>
      </c>
      <c r="E38" t="s">
        <v>1389</v>
      </c>
      <c r="F38" s="21" t="s">
        <v>1390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25106</v>
      </c>
      <c r="BT38">
        <v>26385</v>
      </c>
      <c r="BU38">
        <v>0</v>
      </c>
      <c r="BV38">
        <v>0</v>
      </c>
      <c r="BW38">
        <v>0</v>
      </c>
      <c r="BX38">
        <v>0</v>
      </c>
      <c r="BY38">
        <v>0</v>
      </c>
      <c r="BZ38">
        <v>0</v>
      </c>
      <c r="CA38">
        <v>0</v>
      </c>
      <c r="CB38">
        <v>0</v>
      </c>
      <c r="CC38">
        <v>0</v>
      </c>
      <c r="CD38">
        <v>0</v>
      </c>
      <c r="CE38">
        <v>0</v>
      </c>
      <c r="CF38">
        <v>0</v>
      </c>
      <c r="CG38">
        <v>0</v>
      </c>
      <c r="CH38">
        <v>0</v>
      </c>
    </row>
    <row r="39" spans="1:86">
      <c r="A39" t="s">
        <v>1391</v>
      </c>
      <c r="B39" t="s">
        <v>88</v>
      </c>
      <c r="C39">
        <v>1000000</v>
      </c>
      <c r="D39" t="s">
        <v>89</v>
      </c>
      <c r="E39" t="s">
        <v>1392</v>
      </c>
      <c r="F39" s="21" t="s">
        <v>1393</v>
      </c>
      <c r="G39">
        <v>166</v>
      </c>
      <c r="H39">
        <v>180</v>
      </c>
      <c r="I39">
        <v>146</v>
      </c>
      <c r="J39">
        <v>157</v>
      </c>
      <c r="K39">
        <v>157</v>
      </c>
      <c r="L39">
        <v>181</v>
      </c>
      <c r="M39">
        <v>227</v>
      </c>
      <c r="N39">
        <v>336</v>
      </c>
      <c r="O39">
        <v>432</v>
      </c>
      <c r="P39">
        <v>572</v>
      </c>
      <c r="Q39">
        <v>808</v>
      </c>
      <c r="R39">
        <v>837</v>
      </c>
      <c r="S39">
        <v>872</v>
      </c>
      <c r="T39">
        <v>1099</v>
      </c>
      <c r="U39">
        <v>1070</v>
      </c>
      <c r="V39">
        <v>1040</v>
      </c>
      <c r="W39">
        <v>1195</v>
      </c>
      <c r="X39">
        <v>1251</v>
      </c>
      <c r="Y39">
        <v>1442</v>
      </c>
      <c r="Z39">
        <v>1584</v>
      </c>
      <c r="AA39">
        <v>1809</v>
      </c>
      <c r="AB39">
        <v>1701</v>
      </c>
      <c r="AC39">
        <v>2041</v>
      </c>
      <c r="AD39">
        <v>2131</v>
      </c>
      <c r="AE39">
        <v>2303</v>
      </c>
      <c r="AF39">
        <v>2624</v>
      </c>
      <c r="AG39">
        <v>3215</v>
      </c>
      <c r="AH39">
        <v>4045</v>
      </c>
      <c r="AI39">
        <v>4041</v>
      </c>
      <c r="AJ39">
        <v>3851</v>
      </c>
      <c r="AK39">
        <v>4295</v>
      </c>
      <c r="AL39">
        <v>4329</v>
      </c>
      <c r="AM39">
        <v>4711</v>
      </c>
      <c r="AN39">
        <v>4744</v>
      </c>
      <c r="AO39">
        <v>4672</v>
      </c>
      <c r="AP39">
        <v>4150</v>
      </c>
      <c r="AQ39">
        <v>3418</v>
      </c>
      <c r="AR39">
        <v>3095</v>
      </c>
      <c r="AS39">
        <v>3612</v>
      </c>
      <c r="AT39">
        <v>3447</v>
      </c>
      <c r="AU39">
        <v>3681</v>
      </c>
      <c r="AV39">
        <v>5694</v>
      </c>
      <c r="AW39">
        <v>6638</v>
      </c>
      <c r="AX39">
        <v>8437</v>
      </c>
      <c r="AY39">
        <v>11207</v>
      </c>
      <c r="AZ39">
        <v>6227</v>
      </c>
      <c r="BA39">
        <v>7467</v>
      </c>
      <c r="BB39">
        <v>7598</v>
      </c>
      <c r="BC39">
        <v>10073</v>
      </c>
      <c r="BD39">
        <v>6806</v>
      </c>
      <c r="BE39">
        <v>10338</v>
      </c>
      <c r="BF39">
        <v>13551</v>
      </c>
      <c r="BG39">
        <v>10734</v>
      </c>
      <c r="BH39">
        <v>15185</v>
      </c>
      <c r="BI39">
        <v>17720</v>
      </c>
      <c r="BJ39">
        <v>18568</v>
      </c>
      <c r="BK39">
        <v>20542</v>
      </c>
      <c r="BL39">
        <v>19154</v>
      </c>
      <c r="BM39">
        <v>25204</v>
      </c>
      <c r="BN39">
        <v>26346</v>
      </c>
      <c r="BO39">
        <v>27008</v>
      </c>
      <c r="BP39">
        <v>30535</v>
      </c>
      <c r="BQ39">
        <v>33625</v>
      </c>
      <c r="BR39">
        <v>22193</v>
      </c>
      <c r="BS39">
        <v>34126</v>
      </c>
      <c r="BT39">
        <v>35060</v>
      </c>
      <c r="BU39">
        <v>34080</v>
      </c>
      <c r="BV39">
        <v>30466</v>
      </c>
      <c r="BW39">
        <v>35821</v>
      </c>
      <c r="BX39">
        <v>37995</v>
      </c>
      <c r="BY39">
        <v>37579</v>
      </c>
      <c r="BZ39">
        <v>33388</v>
      </c>
      <c r="CA39">
        <v>36521</v>
      </c>
      <c r="CB39">
        <v>34893</v>
      </c>
      <c r="CC39">
        <v>43521</v>
      </c>
      <c r="CD39">
        <v>49008</v>
      </c>
      <c r="CE39">
        <v>60401</v>
      </c>
      <c r="CF39">
        <v>51375</v>
      </c>
      <c r="CG39">
        <v>59716</v>
      </c>
      <c r="CH39">
        <v>79844</v>
      </c>
    </row>
    <row r="40" spans="1:86">
      <c r="A40" t="s">
        <v>1394</v>
      </c>
      <c r="B40" t="s">
        <v>88</v>
      </c>
      <c r="C40">
        <v>1000000</v>
      </c>
      <c r="D40" t="s">
        <v>89</v>
      </c>
      <c r="E40" t="s">
        <v>1395</v>
      </c>
      <c r="F40" s="21" t="s">
        <v>1396</v>
      </c>
      <c r="G40">
        <v>1</v>
      </c>
      <c r="H40">
        <v>1</v>
      </c>
      <c r="I40">
        <v>1</v>
      </c>
      <c r="J40">
        <v>1</v>
      </c>
      <c r="K40">
        <v>1</v>
      </c>
      <c r="L40">
        <v>1</v>
      </c>
      <c r="M40">
        <v>1</v>
      </c>
      <c r="N40">
        <v>2</v>
      </c>
      <c r="O40">
        <v>3</v>
      </c>
      <c r="P40">
        <v>5</v>
      </c>
      <c r="Q40">
        <v>6</v>
      </c>
      <c r="R40">
        <v>6</v>
      </c>
      <c r="S40">
        <v>9</v>
      </c>
      <c r="T40">
        <v>10</v>
      </c>
      <c r="U40">
        <v>11</v>
      </c>
      <c r="V40">
        <v>15</v>
      </c>
      <c r="W40">
        <v>16</v>
      </c>
      <c r="X40">
        <v>16</v>
      </c>
      <c r="Y40">
        <v>17</v>
      </c>
      <c r="Z40">
        <v>20</v>
      </c>
      <c r="AA40">
        <v>30</v>
      </c>
      <c r="AB40">
        <v>41</v>
      </c>
      <c r="AC40">
        <v>52</v>
      </c>
      <c r="AD40">
        <v>64</v>
      </c>
      <c r="AE40">
        <v>72</v>
      </c>
      <c r="AF40">
        <v>89</v>
      </c>
      <c r="AG40">
        <v>85</v>
      </c>
      <c r="AH40">
        <v>108</v>
      </c>
      <c r="AI40">
        <v>157</v>
      </c>
      <c r="AJ40">
        <v>169</v>
      </c>
      <c r="AK40">
        <v>179</v>
      </c>
      <c r="AL40">
        <v>214</v>
      </c>
      <c r="AM40">
        <v>245</v>
      </c>
      <c r="AN40">
        <v>118</v>
      </c>
      <c r="AO40">
        <v>129</v>
      </c>
      <c r="AP40">
        <v>117</v>
      </c>
      <c r="AQ40">
        <v>66</v>
      </c>
      <c r="AR40">
        <v>76</v>
      </c>
      <c r="AS40">
        <v>77</v>
      </c>
      <c r="AT40">
        <v>4</v>
      </c>
      <c r="AU40">
        <v>90</v>
      </c>
      <c r="AV40">
        <v>97</v>
      </c>
      <c r="AW40">
        <v>7</v>
      </c>
      <c r="AX40">
        <v>6</v>
      </c>
      <c r="AY40">
        <v>8</v>
      </c>
      <c r="AZ40">
        <v>8</v>
      </c>
      <c r="BA40">
        <v>27</v>
      </c>
      <c r="BB40">
        <v>3</v>
      </c>
      <c r="BC40">
        <v>3</v>
      </c>
      <c r="BD40">
        <v>2</v>
      </c>
      <c r="BE40">
        <v>7</v>
      </c>
      <c r="BF40">
        <v>3</v>
      </c>
      <c r="BG40">
        <v>0</v>
      </c>
      <c r="BH40">
        <v>0</v>
      </c>
      <c r="BI40">
        <v>0</v>
      </c>
      <c r="BJ40">
        <v>0</v>
      </c>
      <c r="BK40">
        <v>0</v>
      </c>
      <c r="BL40">
        <v>0</v>
      </c>
      <c r="BM40">
        <v>0</v>
      </c>
      <c r="BN40">
        <v>0</v>
      </c>
      <c r="BO40">
        <v>0</v>
      </c>
      <c r="BP40">
        <v>0</v>
      </c>
      <c r="BQ40">
        <v>0</v>
      </c>
      <c r="BR40">
        <v>0</v>
      </c>
      <c r="BS40">
        <v>0</v>
      </c>
      <c r="BT40">
        <v>50</v>
      </c>
      <c r="BU40">
        <v>3</v>
      </c>
      <c r="BV40">
        <v>3</v>
      </c>
      <c r="BW40">
        <v>3</v>
      </c>
      <c r="BX40">
        <v>3</v>
      </c>
      <c r="BY40">
        <v>3</v>
      </c>
      <c r="BZ40">
        <v>0</v>
      </c>
      <c r="CA40">
        <v>0</v>
      </c>
      <c r="CB40">
        <v>0</v>
      </c>
      <c r="CC40">
        <v>0</v>
      </c>
      <c r="CD40">
        <v>0</v>
      </c>
      <c r="CE40">
        <v>0</v>
      </c>
      <c r="CF40">
        <v>0</v>
      </c>
      <c r="CG40">
        <v>0</v>
      </c>
      <c r="CH40">
        <v>0</v>
      </c>
    </row>
    <row r="41" spans="1:86">
      <c r="A41" t="s">
        <v>1397</v>
      </c>
      <c r="B41" t="s">
        <v>88</v>
      </c>
      <c r="C41">
        <v>1000000</v>
      </c>
      <c r="D41" t="s">
        <v>89</v>
      </c>
      <c r="E41" t="s">
        <v>1398</v>
      </c>
      <c r="F41" s="21" t="s">
        <v>1399</v>
      </c>
      <c r="G41">
        <v>1760</v>
      </c>
      <c r="H41">
        <v>1719</v>
      </c>
      <c r="I41">
        <v>1744</v>
      </c>
      <c r="J41">
        <v>1809</v>
      </c>
      <c r="K41">
        <v>2224</v>
      </c>
      <c r="L41">
        <v>2587</v>
      </c>
      <c r="M41">
        <v>2911</v>
      </c>
      <c r="N41">
        <v>3245</v>
      </c>
      <c r="O41">
        <v>3344</v>
      </c>
      <c r="P41">
        <v>4539</v>
      </c>
      <c r="Q41">
        <v>5408</v>
      </c>
      <c r="R41">
        <v>5599</v>
      </c>
      <c r="S41">
        <v>5159</v>
      </c>
      <c r="T41">
        <v>6721</v>
      </c>
      <c r="U41">
        <v>7204</v>
      </c>
      <c r="V41">
        <v>7456</v>
      </c>
      <c r="W41">
        <v>9309</v>
      </c>
      <c r="X41">
        <v>8620</v>
      </c>
      <c r="Y41">
        <v>9959</v>
      </c>
      <c r="Z41">
        <v>11351</v>
      </c>
      <c r="AA41">
        <v>12000</v>
      </c>
      <c r="AB41">
        <v>11000</v>
      </c>
      <c r="AC41">
        <v>13000</v>
      </c>
      <c r="AD41">
        <v>14600</v>
      </c>
      <c r="AE41">
        <v>13300</v>
      </c>
      <c r="AF41">
        <v>13200</v>
      </c>
      <c r="AG41">
        <v>16600</v>
      </c>
      <c r="AH41">
        <v>21800</v>
      </c>
      <c r="AI41">
        <v>19700</v>
      </c>
      <c r="AJ41">
        <v>12800</v>
      </c>
      <c r="AK41">
        <v>14200</v>
      </c>
      <c r="AL41">
        <v>16900</v>
      </c>
      <c r="AM41">
        <v>17100</v>
      </c>
      <c r="AN41">
        <v>19400</v>
      </c>
      <c r="AO41">
        <v>24800</v>
      </c>
      <c r="AP41">
        <v>32300</v>
      </c>
      <c r="AQ41">
        <v>32393</v>
      </c>
      <c r="AR41">
        <v>38500</v>
      </c>
      <c r="AS41">
        <v>48112</v>
      </c>
      <c r="AT41">
        <v>44658</v>
      </c>
      <c r="AU41">
        <v>56969</v>
      </c>
      <c r="AV41">
        <v>61163</v>
      </c>
      <c r="AW41">
        <v>65056</v>
      </c>
      <c r="AX41">
        <v>71424</v>
      </c>
      <c r="AY41">
        <v>84005</v>
      </c>
      <c r="AZ41">
        <v>79940</v>
      </c>
      <c r="BA41">
        <v>94054</v>
      </c>
      <c r="BB41">
        <v>97312</v>
      </c>
      <c r="BC41">
        <v>103392</v>
      </c>
      <c r="BD41">
        <v>111735</v>
      </c>
      <c r="BE41">
        <v>133479</v>
      </c>
      <c r="BF41">
        <v>147528</v>
      </c>
      <c r="BG41">
        <v>184332</v>
      </c>
      <c r="BH41">
        <v>197908</v>
      </c>
      <c r="BI41">
        <v>208169</v>
      </c>
      <c r="BJ41">
        <v>195106</v>
      </c>
      <c r="BK41">
        <v>176575</v>
      </c>
      <c r="BL41">
        <v>155573</v>
      </c>
      <c r="BM41">
        <v>185024</v>
      </c>
      <c r="BN41">
        <v>202674</v>
      </c>
      <c r="BO41">
        <v>205749</v>
      </c>
      <c r="BP41">
        <v>231627</v>
      </c>
      <c r="BQ41">
        <v>237325</v>
      </c>
      <c r="BR41">
        <v>195998</v>
      </c>
      <c r="BS41">
        <v>224503</v>
      </c>
      <c r="BT41">
        <v>224165</v>
      </c>
      <c r="BU41">
        <v>231062</v>
      </c>
      <c r="BV41">
        <v>266253</v>
      </c>
      <c r="BW41">
        <v>325409</v>
      </c>
      <c r="BX41">
        <v>341932</v>
      </c>
      <c r="BY41">
        <v>333955</v>
      </c>
      <c r="BZ41">
        <v>354315</v>
      </c>
      <c r="CA41">
        <v>410585</v>
      </c>
      <c r="CB41">
        <v>392117</v>
      </c>
      <c r="CC41">
        <v>493890</v>
      </c>
      <c r="CD41">
        <v>518090</v>
      </c>
      <c r="CE41">
        <v>641877</v>
      </c>
      <c r="CF41">
        <v>532945</v>
      </c>
      <c r="CG41">
        <v>596349</v>
      </c>
      <c r="CH41">
        <v>545945</v>
      </c>
    </row>
    <row r="42" spans="1:86">
      <c r="A42" t="s">
        <v>1400</v>
      </c>
      <c r="B42" t="s">
        <v>88</v>
      </c>
      <c r="C42">
        <v>1000000</v>
      </c>
      <c r="D42" t="s">
        <v>89</v>
      </c>
      <c r="E42" t="s">
        <v>1401</v>
      </c>
      <c r="F42" s="21" t="s">
        <v>1402</v>
      </c>
      <c r="G42">
        <v>999</v>
      </c>
      <c r="H42">
        <v>1249</v>
      </c>
      <c r="I42">
        <v>1390</v>
      </c>
      <c r="J42">
        <v>1428</v>
      </c>
      <c r="K42">
        <v>1718</v>
      </c>
      <c r="L42">
        <v>2103</v>
      </c>
      <c r="M42">
        <v>2221</v>
      </c>
      <c r="N42">
        <v>2446</v>
      </c>
      <c r="O42">
        <v>2573</v>
      </c>
      <c r="P42">
        <v>3268</v>
      </c>
      <c r="Q42">
        <v>3633</v>
      </c>
      <c r="R42">
        <v>3503</v>
      </c>
      <c r="S42">
        <v>3391</v>
      </c>
      <c r="T42">
        <v>4109</v>
      </c>
      <c r="U42">
        <v>4561</v>
      </c>
      <c r="V42">
        <v>4981</v>
      </c>
      <c r="W42">
        <v>6258</v>
      </c>
      <c r="X42">
        <v>6280</v>
      </c>
      <c r="Y42">
        <v>7118</v>
      </c>
      <c r="Z42">
        <v>7834</v>
      </c>
      <c r="AA42">
        <v>9006</v>
      </c>
      <c r="AB42">
        <v>8692</v>
      </c>
      <c r="AC42">
        <v>10687</v>
      </c>
      <c r="AD42">
        <v>12986</v>
      </c>
      <c r="AE42">
        <v>13157</v>
      </c>
      <c r="AF42">
        <v>14571</v>
      </c>
      <c r="AG42">
        <v>20007</v>
      </c>
      <c r="AH42">
        <v>26528</v>
      </c>
      <c r="AI42">
        <v>25448</v>
      </c>
      <c r="AJ42">
        <v>21291</v>
      </c>
      <c r="AK42">
        <v>27450</v>
      </c>
      <c r="AL42">
        <v>33685</v>
      </c>
      <c r="AM42">
        <v>32299</v>
      </c>
      <c r="AN42">
        <v>35062</v>
      </c>
      <c r="AO42">
        <v>38890</v>
      </c>
      <c r="AP42">
        <v>46271</v>
      </c>
      <c r="AQ42">
        <v>46160</v>
      </c>
      <c r="AR42">
        <v>52890</v>
      </c>
      <c r="AS42">
        <v>62193</v>
      </c>
      <c r="AT42">
        <v>60311</v>
      </c>
      <c r="AU42">
        <v>73983</v>
      </c>
      <c r="AV42">
        <v>76385</v>
      </c>
      <c r="AW42">
        <v>87949</v>
      </c>
      <c r="AX42">
        <v>92860</v>
      </c>
      <c r="AY42">
        <v>85382</v>
      </c>
      <c r="AZ42">
        <v>83854</v>
      </c>
      <c r="BA42">
        <v>98440</v>
      </c>
      <c r="BB42">
        <v>109818</v>
      </c>
      <c r="BC42">
        <v>131030</v>
      </c>
      <c r="BD42">
        <v>138917</v>
      </c>
      <c r="BE42">
        <v>162615</v>
      </c>
      <c r="BF42">
        <v>202633</v>
      </c>
      <c r="BG42">
        <v>252145</v>
      </c>
      <c r="BH42">
        <v>299567</v>
      </c>
      <c r="BI42">
        <v>383281</v>
      </c>
      <c r="BJ42">
        <v>354549</v>
      </c>
      <c r="BK42">
        <v>305025</v>
      </c>
      <c r="BL42">
        <v>264732</v>
      </c>
      <c r="BM42">
        <v>325777</v>
      </c>
      <c r="BN42">
        <v>366740</v>
      </c>
      <c r="BO42">
        <v>380355</v>
      </c>
      <c r="BP42">
        <v>462491</v>
      </c>
      <c r="BQ42">
        <v>480323</v>
      </c>
      <c r="BR42">
        <v>320911</v>
      </c>
      <c r="BS42">
        <v>351146</v>
      </c>
      <c r="BT42">
        <v>429535</v>
      </c>
      <c r="BU42">
        <v>442388</v>
      </c>
      <c r="BV42">
        <v>480858</v>
      </c>
      <c r="BW42">
        <v>564503</v>
      </c>
      <c r="BX42">
        <v>571447</v>
      </c>
      <c r="BY42">
        <v>578703</v>
      </c>
      <c r="BZ42">
        <v>586930</v>
      </c>
      <c r="CA42">
        <v>660820</v>
      </c>
      <c r="CB42">
        <v>573169</v>
      </c>
      <c r="CC42">
        <v>682855</v>
      </c>
      <c r="CD42">
        <v>769765</v>
      </c>
      <c r="CE42">
        <v>809307</v>
      </c>
      <c r="CF42">
        <v>658501</v>
      </c>
      <c r="CG42">
        <v>695948</v>
      </c>
      <c r="CH42">
        <v>800533</v>
      </c>
    </row>
    <row r="43" spans="1:86">
      <c r="A43" t="s">
        <v>1403</v>
      </c>
      <c r="B43" t="s">
        <v>88</v>
      </c>
      <c r="C43">
        <v>1000000</v>
      </c>
      <c r="D43" t="s">
        <v>89</v>
      </c>
      <c r="E43" t="s">
        <v>1404</v>
      </c>
      <c r="F43" s="21" t="s">
        <v>1405</v>
      </c>
      <c r="G43">
        <v>0</v>
      </c>
      <c r="H43">
        <v>0</v>
      </c>
      <c r="I43">
        <v>0</v>
      </c>
      <c r="J43">
        <v>0</v>
      </c>
      <c r="K43">
        <v>0</v>
      </c>
      <c r="L43">
        <v>0</v>
      </c>
      <c r="M43">
        <v>275</v>
      </c>
      <c r="N43">
        <v>1843</v>
      </c>
      <c r="O43">
        <v>2392</v>
      </c>
      <c r="P43">
        <v>3154</v>
      </c>
      <c r="Q43">
        <v>6085</v>
      </c>
      <c r="R43">
        <v>7065</v>
      </c>
      <c r="S43">
        <v>7489</v>
      </c>
      <c r="T43">
        <v>11561</v>
      </c>
      <c r="U43">
        <v>14525</v>
      </c>
      <c r="V43">
        <v>16545</v>
      </c>
      <c r="W43">
        <v>22856</v>
      </c>
      <c r="X43">
        <v>21885</v>
      </c>
      <c r="Y43">
        <v>27670</v>
      </c>
      <c r="Z43">
        <v>33705</v>
      </c>
      <c r="AA43">
        <v>40754</v>
      </c>
      <c r="AB43">
        <v>39468</v>
      </c>
      <c r="AC43">
        <v>51104</v>
      </c>
      <c r="AD43">
        <v>61456</v>
      </c>
      <c r="AE43">
        <v>61425</v>
      </c>
      <c r="AF43">
        <v>67087</v>
      </c>
      <c r="AG43">
        <v>88651</v>
      </c>
      <c r="AH43">
        <v>107817</v>
      </c>
      <c r="AI43">
        <v>93557</v>
      </c>
      <c r="AJ43">
        <v>74755</v>
      </c>
      <c r="AK43">
        <v>107999</v>
      </c>
      <c r="AL43">
        <v>125501</v>
      </c>
      <c r="AM43">
        <v>123610</v>
      </c>
      <c r="AN43">
        <v>150308</v>
      </c>
      <c r="AO43">
        <v>175437</v>
      </c>
      <c r="AP43">
        <v>223468</v>
      </c>
      <c r="AQ43">
        <v>218479</v>
      </c>
      <c r="AR43">
        <v>282916</v>
      </c>
      <c r="AS43">
        <v>350266</v>
      </c>
      <c r="AT43">
        <v>358978</v>
      </c>
      <c r="AU43">
        <v>494946</v>
      </c>
      <c r="AV43">
        <v>499172</v>
      </c>
      <c r="AW43">
        <v>507411</v>
      </c>
      <c r="AX43">
        <v>486477</v>
      </c>
      <c r="AY43">
        <v>599629</v>
      </c>
      <c r="AZ43">
        <v>572836</v>
      </c>
      <c r="BA43">
        <v>762709</v>
      </c>
      <c r="BB43">
        <v>826681</v>
      </c>
      <c r="BC43">
        <v>959673</v>
      </c>
      <c r="BD43">
        <v>957924</v>
      </c>
      <c r="BE43">
        <v>1182795</v>
      </c>
      <c r="BF43">
        <v>1316271</v>
      </c>
      <c r="BG43">
        <v>1492906</v>
      </c>
      <c r="BH43">
        <v>1735641</v>
      </c>
      <c r="BI43">
        <v>1806759</v>
      </c>
      <c r="BJ43">
        <v>1823066</v>
      </c>
      <c r="BK43">
        <v>1785331</v>
      </c>
      <c r="BL43">
        <v>1493308</v>
      </c>
      <c r="BM43">
        <v>1967418</v>
      </c>
      <c r="BN43">
        <v>2193261</v>
      </c>
      <c r="BO43">
        <v>2287801</v>
      </c>
      <c r="BP43">
        <v>1976297</v>
      </c>
      <c r="BQ43">
        <v>2040978</v>
      </c>
      <c r="BR43">
        <v>1275037</v>
      </c>
      <c r="BS43">
        <v>1504445</v>
      </c>
      <c r="BT43">
        <v>1778082</v>
      </c>
      <c r="BU43">
        <v>1680431</v>
      </c>
      <c r="BV43">
        <v>1890700</v>
      </c>
      <c r="BW43">
        <v>2243776</v>
      </c>
      <c r="BX43">
        <v>2284263</v>
      </c>
      <c r="BY43">
        <v>2220447</v>
      </c>
      <c r="BZ43">
        <v>2329911</v>
      </c>
      <c r="CA43">
        <v>2713027</v>
      </c>
      <c r="CB43">
        <v>2447979</v>
      </c>
      <c r="CC43">
        <v>2961841</v>
      </c>
      <c r="CD43">
        <v>3378771</v>
      </c>
      <c r="CE43">
        <v>3869810</v>
      </c>
      <c r="CF43">
        <v>3177495</v>
      </c>
      <c r="CG43">
        <v>3689082</v>
      </c>
      <c r="CH43">
        <v>4448807</v>
      </c>
    </row>
    <row r="44" spans="1:86">
      <c r="A44" t="s">
        <v>1406</v>
      </c>
      <c r="B44" t="s">
        <v>88</v>
      </c>
      <c r="C44">
        <v>1000000</v>
      </c>
      <c r="D44" t="s">
        <v>89</v>
      </c>
      <c r="E44" t="s">
        <v>1407</v>
      </c>
      <c r="F44" s="21" t="s">
        <v>1408</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7</v>
      </c>
      <c r="AY44">
        <v>55</v>
      </c>
      <c r="AZ44">
        <v>340</v>
      </c>
      <c r="BA44">
        <v>1045</v>
      </c>
      <c r="BB44">
        <v>2415</v>
      </c>
      <c r="BC44">
        <v>4398</v>
      </c>
      <c r="BD44">
        <v>6179</v>
      </c>
      <c r="BE44">
        <v>11459</v>
      </c>
      <c r="BF44">
        <v>18778</v>
      </c>
      <c r="BG44">
        <v>29946</v>
      </c>
      <c r="BH44">
        <v>42960</v>
      </c>
      <c r="BI44">
        <v>56909</v>
      </c>
      <c r="BJ44">
        <v>56576</v>
      </c>
      <c r="BK44">
        <v>49091</v>
      </c>
      <c r="BL44">
        <v>48836</v>
      </c>
      <c r="BM44">
        <v>79022</v>
      </c>
      <c r="BN44">
        <v>98280</v>
      </c>
      <c r="BO44">
        <v>112724</v>
      </c>
      <c r="BP44">
        <v>138402</v>
      </c>
      <c r="BQ44">
        <v>150810</v>
      </c>
      <c r="BR44">
        <v>86818</v>
      </c>
      <c r="BS44">
        <v>119695</v>
      </c>
      <c r="BT44">
        <v>145304</v>
      </c>
      <c r="BU44">
        <v>132201</v>
      </c>
      <c r="BV44">
        <v>153076</v>
      </c>
      <c r="BW44">
        <v>217002</v>
      </c>
      <c r="BX44">
        <v>240154</v>
      </c>
      <c r="BY44">
        <v>240348</v>
      </c>
      <c r="BZ44">
        <v>260768</v>
      </c>
      <c r="CA44">
        <v>324207</v>
      </c>
      <c r="CB44">
        <v>292063</v>
      </c>
      <c r="CC44">
        <v>370695</v>
      </c>
      <c r="CD44">
        <v>418582</v>
      </c>
      <c r="CE44">
        <v>524006</v>
      </c>
      <c r="CF44">
        <v>418678</v>
      </c>
      <c r="CG44">
        <v>534457</v>
      </c>
      <c r="CH44">
        <v>650463</v>
      </c>
    </row>
    <row r="45" spans="1:86">
      <c r="A45" t="s">
        <v>1409</v>
      </c>
      <c r="B45" t="s">
        <v>88</v>
      </c>
      <c r="C45">
        <v>1000000</v>
      </c>
      <c r="D45" t="s">
        <v>89</v>
      </c>
      <c r="E45" t="s">
        <v>1410</v>
      </c>
      <c r="F45" s="21" t="s">
        <v>1411</v>
      </c>
      <c r="G45">
        <v>7</v>
      </c>
      <c r="H45">
        <v>8</v>
      </c>
      <c r="I45">
        <v>10</v>
      </c>
      <c r="J45">
        <v>13</v>
      </c>
      <c r="K45">
        <v>20</v>
      </c>
      <c r="L45">
        <v>29</v>
      </c>
      <c r="M45">
        <v>41</v>
      </c>
      <c r="N45">
        <v>56</v>
      </c>
      <c r="O45">
        <v>75</v>
      </c>
      <c r="P45">
        <v>99</v>
      </c>
      <c r="Q45">
        <v>200</v>
      </c>
      <c r="R45">
        <v>200</v>
      </c>
      <c r="S45">
        <v>300</v>
      </c>
      <c r="T45">
        <v>400</v>
      </c>
      <c r="U45">
        <v>500</v>
      </c>
      <c r="V45">
        <v>600</v>
      </c>
      <c r="W45">
        <v>900</v>
      </c>
      <c r="X45">
        <v>1000</v>
      </c>
      <c r="Y45">
        <v>1500</v>
      </c>
      <c r="Z45">
        <v>2000</v>
      </c>
      <c r="AA45">
        <v>2500</v>
      </c>
      <c r="AB45">
        <v>2800</v>
      </c>
      <c r="AC45">
        <v>3900</v>
      </c>
      <c r="AD45">
        <v>5800</v>
      </c>
      <c r="AE45">
        <v>7300</v>
      </c>
      <c r="AF45">
        <v>10100</v>
      </c>
      <c r="AG45">
        <v>15400</v>
      </c>
      <c r="AH45">
        <v>22200</v>
      </c>
      <c r="AI45">
        <v>20200</v>
      </c>
      <c r="AJ45">
        <v>16400</v>
      </c>
      <c r="AK45">
        <v>24300</v>
      </c>
      <c r="AL45">
        <v>30100</v>
      </c>
      <c r="AM45">
        <v>30000</v>
      </c>
      <c r="AN45">
        <v>33300</v>
      </c>
      <c r="AO45">
        <v>37100</v>
      </c>
      <c r="AP45">
        <v>44300</v>
      </c>
      <c r="AQ45">
        <v>47800</v>
      </c>
      <c r="AR45">
        <v>60200</v>
      </c>
      <c r="AS45">
        <v>89641</v>
      </c>
      <c r="AT45">
        <v>96514</v>
      </c>
      <c r="AU45">
        <v>120071</v>
      </c>
      <c r="AV45">
        <v>150215</v>
      </c>
      <c r="AW45">
        <v>170087</v>
      </c>
      <c r="AX45">
        <v>212634</v>
      </c>
      <c r="AY45">
        <v>277832</v>
      </c>
      <c r="AZ45">
        <v>284569</v>
      </c>
      <c r="BA45">
        <v>394962</v>
      </c>
      <c r="BB45">
        <v>431666</v>
      </c>
      <c r="BC45">
        <v>506221</v>
      </c>
      <c r="BD45">
        <v>521682</v>
      </c>
      <c r="BE45">
        <v>703520</v>
      </c>
      <c r="BF45">
        <v>846588</v>
      </c>
      <c r="BG45">
        <v>1051316</v>
      </c>
      <c r="BH45">
        <v>1188056</v>
      </c>
      <c r="BI45">
        <v>1407716</v>
      </c>
      <c r="BJ45">
        <v>1298683</v>
      </c>
      <c r="BK45">
        <v>1260360</v>
      </c>
      <c r="BL45">
        <v>1076523</v>
      </c>
      <c r="BM45">
        <v>1254192</v>
      </c>
      <c r="BN45">
        <v>1471030</v>
      </c>
      <c r="BO45">
        <v>1530000</v>
      </c>
      <c r="BP45">
        <v>1734141</v>
      </c>
      <c r="BQ45">
        <v>1839262</v>
      </c>
      <c r="BR45">
        <v>1299132</v>
      </c>
      <c r="BS45">
        <v>1574956</v>
      </c>
      <c r="BT45">
        <v>1722987</v>
      </c>
      <c r="BU45">
        <v>1735762</v>
      </c>
      <c r="BV45">
        <v>1962660</v>
      </c>
      <c r="BW45">
        <v>2246766</v>
      </c>
      <c r="BX45">
        <v>2283589</v>
      </c>
      <c r="BY45">
        <v>2249974</v>
      </c>
      <c r="BZ45">
        <v>2321541</v>
      </c>
      <c r="CA45">
        <v>2706807</v>
      </c>
      <c r="CB45">
        <v>2478604</v>
      </c>
      <c r="CC45">
        <v>2555232</v>
      </c>
      <c r="CD45">
        <v>2908572</v>
      </c>
      <c r="CE45">
        <v>3373478</v>
      </c>
      <c r="CF45">
        <v>2957435</v>
      </c>
      <c r="CG45">
        <v>3157172</v>
      </c>
      <c r="CH45">
        <v>3381357</v>
      </c>
    </row>
    <row r="46" spans="1:86">
      <c r="A46" t="s">
        <v>1412</v>
      </c>
      <c r="B46" t="s">
        <v>88</v>
      </c>
      <c r="C46">
        <v>1000000</v>
      </c>
      <c r="D46" t="s">
        <v>89</v>
      </c>
      <c r="E46" t="s">
        <v>1413</v>
      </c>
      <c r="F46" s="21" t="s">
        <v>1414</v>
      </c>
      <c r="G46">
        <v>1033</v>
      </c>
      <c r="H46">
        <v>1044</v>
      </c>
      <c r="I46">
        <v>1153</v>
      </c>
      <c r="J46">
        <v>1226</v>
      </c>
      <c r="K46">
        <v>2710</v>
      </c>
      <c r="L46">
        <v>2897</v>
      </c>
      <c r="M46">
        <v>2948</v>
      </c>
      <c r="N46">
        <v>3326</v>
      </c>
      <c r="O46">
        <v>3521</v>
      </c>
      <c r="P46">
        <v>5361</v>
      </c>
      <c r="Q46">
        <v>6927</v>
      </c>
      <c r="R46">
        <v>7887</v>
      </c>
      <c r="S46">
        <v>7411</v>
      </c>
      <c r="T46">
        <v>11672</v>
      </c>
      <c r="U46">
        <v>13867</v>
      </c>
      <c r="V46">
        <v>14806</v>
      </c>
      <c r="W46">
        <v>20252</v>
      </c>
      <c r="X46">
        <v>18339</v>
      </c>
      <c r="Y46">
        <v>22085</v>
      </c>
      <c r="Z46">
        <v>25638</v>
      </c>
      <c r="AA46">
        <v>30863</v>
      </c>
      <c r="AB46">
        <v>28943</v>
      </c>
      <c r="AC46">
        <v>39176</v>
      </c>
      <c r="AD46">
        <v>46082</v>
      </c>
      <c r="AE46">
        <v>40857</v>
      </c>
      <c r="AF46">
        <v>39683</v>
      </c>
      <c r="AG46">
        <v>48621</v>
      </c>
      <c r="AH46">
        <v>51728</v>
      </c>
      <c r="AI46">
        <v>38321</v>
      </c>
      <c r="AJ46">
        <v>26347</v>
      </c>
      <c r="AK46">
        <v>33664</v>
      </c>
      <c r="AL46">
        <v>37282</v>
      </c>
      <c r="AM46">
        <v>31866</v>
      </c>
      <c r="AN46">
        <v>31659</v>
      </c>
      <c r="AO46">
        <v>35436</v>
      </c>
      <c r="AP46">
        <v>51032</v>
      </c>
      <c r="AQ46">
        <v>46417</v>
      </c>
      <c r="AR46">
        <v>60919</v>
      </c>
      <c r="AS46">
        <v>88931</v>
      </c>
      <c r="AT46">
        <v>97111</v>
      </c>
      <c r="AU46">
        <v>137156</v>
      </c>
      <c r="AV46">
        <v>184410</v>
      </c>
      <c r="AW46">
        <v>196632</v>
      </c>
      <c r="AX46">
        <v>205473</v>
      </c>
      <c r="AY46">
        <v>270649</v>
      </c>
      <c r="AZ46">
        <v>250395</v>
      </c>
      <c r="BA46">
        <v>341543</v>
      </c>
      <c r="BB46">
        <v>486710</v>
      </c>
      <c r="BC46">
        <v>714292</v>
      </c>
      <c r="BD46">
        <v>824545</v>
      </c>
      <c r="BE46">
        <v>1216013</v>
      </c>
      <c r="BF46">
        <v>1719141</v>
      </c>
      <c r="BG46">
        <v>2360738</v>
      </c>
      <c r="BH46">
        <v>3005393</v>
      </c>
      <c r="BI46">
        <v>4060203</v>
      </c>
      <c r="BJ46">
        <v>3910517</v>
      </c>
      <c r="BK46">
        <v>3425322</v>
      </c>
      <c r="BL46">
        <v>2688868</v>
      </c>
      <c r="BM46">
        <v>3762039</v>
      </c>
      <c r="BN46">
        <v>4491000</v>
      </c>
      <c r="BO46">
        <v>5056822</v>
      </c>
      <c r="BP46">
        <v>6026520</v>
      </c>
      <c r="BQ46">
        <v>6611942</v>
      </c>
      <c r="BR46">
        <v>3736342</v>
      </c>
      <c r="BS46">
        <v>5093642</v>
      </c>
      <c r="BT46">
        <v>5872706</v>
      </c>
      <c r="BU46">
        <v>5510024</v>
      </c>
      <c r="BV46">
        <v>6297415</v>
      </c>
      <c r="BW46">
        <v>8227282</v>
      </c>
      <c r="BX46">
        <v>8799214</v>
      </c>
      <c r="BY46">
        <v>8625329</v>
      </c>
      <c r="BZ46">
        <v>9069933</v>
      </c>
      <c r="CA46">
        <v>10819639</v>
      </c>
      <c r="CB46">
        <v>9657450</v>
      </c>
      <c r="CC46">
        <v>11934519</v>
      </c>
      <c r="CD46">
        <v>13391070</v>
      </c>
      <c r="CE46">
        <v>15533811</v>
      </c>
      <c r="CF46">
        <v>11867026</v>
      </c>
      <c r="CG46">
        <v>13882105</v>
      </c>
      <c r="CH46">
        <v>15716125</v>
      </c>
    </row>
    <row r="47" spans="1:86">
      <c r="A47" t="s">
        <v>1415</v>
      </c>
      <c r="B47" t="s">
        <v>88</v>
      </c>
      <c r="C47">
        <v>1000000</v>
      </c>
      <c r="D47" t="s">
        <v>89</v>
      </c>
      <c r="E47" t="s">
        <v>1416</v>
      </c>
      <c r="F47" s="21" t="s">
        <v>1417</v>
      </c>
      <c r="G47">
        <v>777</v>
      </c>
      <c r="H47">
        <v>800</v>
      </c>
      <c r="I47">
        <v>1040</v>
      </c>
      <c r="J47">
        <v>1120</v>
      </c>
      <c r="K47">
        <v>1360</v>
      </c>
      <c r="L47">
        <v>1600</v>
      </c>
      <c r="M47">
        <v>1760</v>
      </c>
      <c r="N47">
        <v>2000</v>
      </c>
      <c r="O47">
        <v>2240</v>
      </c>
      <c r="P47">
        <v>2480</v>
      </c>
      <c r="Q47">
        <v>2800</v>
      </c>
      <c r="R47">
        <v>3120</v>
      </c>
      <c r="S47">
        <v>3520</v>
      </c>
      <c r="T47">
        <v>3984</v>
      </c>
      <c r="U47">
        <v>4381</v>
      </c>
      <c r="V47">
        <v>4964</v>
      </c>
      <c r="W47">
        <v>4684</v>
      </c>
      <c r="X47">
        <v>4362</v>
      </c>
      <c r="Y47">
        <v>5467</v>
      </c>
      <c r="Z47">
        <v>5839</v>
      </c>
      <c r="AA47">
        <v>5572</v>
      </c>
      <c r="AB47">
        <v>5256</v>
      </c>
      <c r="AC47">
        <v>5360</v>
      </c>
      <c r="AD47">
        <v>6337</v>
      </c>
      <c r="AE47">
        <v>6011</v>
      </c>
      <c r="AF47">
        <v>4299</v>
      </c>
      <c r="AG47">
        <v>5365</v>
      </c>
      <c r="AH47">
        <v>5746</v>
      </c>
      <c r="AI47">
        <v>6603</v>
      </c>
      <c r="AJ47">
        <v>5910</v>
      </c>
      <c r="AK47">
        <v>5819</v>
      </c>
      <c r="AL47">
        <v>5964</v>
      </c>
      <c r="AM47">
        <v>4719</v>
      </c>
      <c r="AN47">
        <v>5065</v>
      </c>
      <c r="AO47">
        <v>4870</v>
      </c>
      <c r="AP47">
        <v>4910</v>
      </c>
      <c r="AQ47">
        <v>4170</v>
      </c>
      <c r="AR47">
        <v>4118</v>
      </c>
      <c r="AS47">
        <v>4292</v>
      </c>
      <c r="AT47">
        <v>3712</v>
      </c>
      <c r="AU47">
        <v>4210</v>
      </c>
      <c r="AV47">
        <v>7486</v>
      </c>
      <c r="AW47">
        <v>10379</v>
      </c>
      <c r="AX47">
        <v>14342</v>
      </c>
      <c r="AY47">
        <v>17099</v>
      </c>
      <c r="AZ47">
        <v>16188</v>
      </c>
      <c r="BA47">
        <v>21752</v>
      </c>
      <c r="BB47">
        <v>23800</v>
      </c>
      <c r="BC47">
        <v>26491</v>
      </c>
      <c r="BD47">
        <v>31880</v>
      </c>
      <c r="BE47">
        <v>41846</v>
      </c>
      <c r="BF47">
        <v>46904</v>
      </c>
      <c r="BG47">
        <v>49548</v>
      </c>
      <c r="BH47">
        <v>47540</v>
      </c>
      <c r="BI47">
        <v>41191</v>
      </c>
      <c r="BJ47">
        <v>36543</v>
      </c>
      <c r="BK47">
        <v>31009</v>
      </c>
      <c r="BL47">
        <v>33584</v>
      </c>
      <c r="BM47">
        <v>52730</v>
      </c>
      <c r="BN47">
        <v>81804</v>
      </c>
      <c r="BO47">
        <v>104874</v>
      </c>
      <c r="BP47">
        <v>121670</v>
      </c>
      <c r="BQ47">
        <v>145198</v>
      </c>
      <c r="BR47">
        <v>72277</v>
      </c>
      <c r="BS47">
        <v>87430</v>
      </c>
      <c r="BT47">
        <v>96701</v>
      </c>
      <c r="BU47">
        <v>95855</v>
      </c>
      <c r="BV47">
        <v>100640</v>
      </c>
      <c r="BW47">
        <v>114237</v>
      </c>
      <c r="BX47">
        <v>119384</v>
      </c>
      <c r="BY47">
        <v>99794</v>
      </c>
      <c r="BZ47">
        <v>101804</v>
      </c>
      <c r="CA47">
        <v>109298</v>
      </c>
      <c r="CB47">
        <v>91200</v>
      </c>
      <c r="CC47">
        <v>107181</v>
      </c>
      <c r="CD47">
        <v>105865</v>
      </c>
      <c r="CE47">
        <v>122695</v>
      </c>
      <c r="CF47">
        <v>98518</v>
      </c>
      <c r="CG47">
        <v>99770</v>
      </c>
      <c r="CH47">
        <v>104086</v>
      </c>
    </row>
    <row r="48" spans="1:86">
      <c r="A48" t="s">
        <v>1418</v>
      </c>
      <c r="B48" t="s">
        <v>88</v>
      </c>
      <c r="C48">
        <v>1000000</v>
      </c>
      <c r="D48" t="s">
        <v>89</v>
      </c>
      <c r="E48" t="s">
        <v>1419</v>
      </c>
      <c r="F48" s="21" t="s">
        <v>1420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464</v>
      </c>
      <c r="BD48">
        <v>424</v>
      </c>
      <c r="BE48">
        <v>1052</v>
      </c>
      <c r="BF48">
        <v>2401</v>
      </c>
      <c r="BG48">
        <v>6702</v>
      </c>
      <c r="BH48">
        <v>15564</v>
      </c>
      <c r="BI48">
        <v>33862</v>
      </c>
      <c r="BJ48">
        <v>65585</v>
      </c>
      <c r="BK48">
        <v>82992</v>
      </c>
      <c r="BL48">
        <v>98228</v>
      </c>
      <c r="BM48">
        <v>146316</v>
      </c>
      <c r="BN48">
        <v>217689</v>
      </c>
      <c r="BO48">
        <v>281018</v>
      </c>
      <c r="BP48">
        <v>387336</v>
      </c>
      <c r="BQ48">
        <v>544824</v>
      </c>
      <c r="BR48">
        <v>438296</v>
      </c>
      <c r="BS48">
        <v>595518</v>
      </c>
      <c r="BT48">
        <v>752507</v>
      </c>
      <c r="BU48">
        <v>754137</v>
      </c>
      <c r="BV48">
        <v>972228</v>
      </c>
      <c r="BW48">
        <v>1363158</v>
      </c>
      <c r="BX48">
        <v>1619032</v>
      </c>
      <c r="BY48">
        <v>1708670</v>
      </c>
      <c r="BZ48">
        <v>2029285</v>
      </c>
      <c r="CA48">
        <v>2771577</v>
      </c>
      <c r="CB48">
        <v>2659009</v>
      </c>
      <c r="CC48">
        <v>3476225</v>
      </c>
      <c r="CD48">
        <v>4229440</v>
      </c>
      <c r="CE48">
        <v>5803330</v>
      </c>
      <c r="CF48">
        <v>5059098</v>
      </c>
      <c r="CG48">
        <v>6433279</v>
      </c>
      <c r="CH48">
        <v>8352697</v>
      </c>
    </row>
    <row r="49" spans="1:86">
      <c r="A49" t="s">
        <v>1421</v>
      </c>
      <c r="B49" t="s">
        <v>88</v>
      </c>
      <c r="C49">
        <v>1000000</v>
      </c>
      <c r="D49" t="s">
        <v>89</v>
      </c>
      <c r="E49" t="s">
        <v>1422</v>
      </c>
      <c r="F49" s="21" t="s">
        <v>1423</v>
      </c>
      <c r="G49">
        <v>554</v>
      </c>
      <c r="H49">
        <v>450</v>
      </c>
      <c r="I49">
        <v>460</v>
      </c>
      <c r="J49">
        <v>463</v>
      </c>
      <c r="K49">
        <v>649</v>
      </c>
      <c r="L49">
        <v>509</v>
      </c>
      <c r="M49">
        <v>550</v>
      </c>
      <c r="N49">
        <v>612</v>
      </c>
      <c r="O49">
        <v>602</v>
      </c>
      <c r="P49">
        <v>731</v>
      </c>
      <c r="Q49">
        <v>885</v>
      </c>
      <c r="R49">
        <v>686</v>
      </c>
      <c r="S49">
        <v>771</v>
      </c>
      <c r="T49">
        <v>488</v>
      </c>
      <c r="U49">
        <v>566</v>
      </c>
      <c r="V49">
        <v>536</v>
      </c>
      <c r="W49">
        <v>194</v>
      </c>
      <c r="X49">
        <v>255</v>
      </c>
      <c r="Y49">
        <v>479</v>
      </c>
      <c r="Z49">
        <v>897</v>
      </c>
      <c r="AA49">
        <v>1203</v>
      </c>
      <c r="AB49">
        <v>1317</v>
      </c>
      <c r="AC49">
        <v>1689</v>
      </c>
      <c r="AD49">
        <v>1509</v>
      </c>
      <c r="AE49">
        <v>1870</v>
      </c>
      <c r="AF49">
        <v>1982</v>
      </c>
      <c r="AG49">
        <v>2107</v>
      </c>
      <c r="AH49">
        <v>2411</v>
      </c>
      <c r="AI49">
        <v>2765</v>
      </c>
      <c r="AJ49">
        <v>2164</v>
      </c>
      <c r="AK49">
        <v>3368</v>
      </c>
      <c r="AL49">
        <v>1542</v>
      </c>
      <c r="AM49">
        <v>1840</v>
      </c>
      <c r="AN49">
        <v>1918</v>
      </c>
      <c r="AO49">
        <v>2566</v>
      </c>
      <c r="AP49">
        <v>-1844</v>
      </c>
      <c r="AQ49">
        <v>-1483</v>
      </c>
      <c r="AR49">
        <v>-2516</v>
      </c>
      <c r="AS49">
        <v>413</v>
      </c>
      <c r="AT49">
        <v>-2455</v>
      </c>
      <c r="AU49">
        <v>-4714</v>
      </c>
      <c r="AV49">
        <v>-1094</v>
      </c>
      <c r="AW49">
        <v>-10109</v>
      </c>
      <c r="AX49">
        <v>-14422</v>
      </c>
      <c r="AY49">
        <v>-13232</v>
      </c>
      <c r="AZ49">
        <v>-19795</v>
      </c>
      <c r="BA49">
        <v>-16899</v>
      </c>
      <c r="BB49">
        <v>-26319</v>
      </c>
      <c r="BC49">
        <v>-26620</v>
      </c>
      <c r="BD49">
        <v>-28979</v>
      </c>
      <c r="BE49">
        <v>-13506</v>
      </c>
      <c r="BF49">
        <v>-19375</v>
      </c>
      <c r="BG49">
        <v>-7597</v>
      </c>
      <c r="BH49">
        <v>3136</v>
      </c>
      <c r="BI49">
        <v>-1259</v>
      </c>
      <c r="BJ49">
        <v>16708</v>
      </c>
      <c r="BK49">
        <v>12937</v>
      </c>
      <c r="BL49">
        <v>5330</v>
      </c>
      <c r="BM49">
        <v>7146</v>
      </c>
      <c r="BN49">
        <v>21405</v>
      </c>
      <c r="BO49">
        <v>57865</v>
      </c>
      <c r="BP49">
        <v>85480</v>
      </c>
      <c r="BQ49">
        <v>137821</v>
      </c>
      <c r="BR49">
        <v>70542</v>
      </c>
      <c r="BS49">
        <v>69978</v>
      </c>
      <c r="BT49">
        <v>45255</v>
      </c>
      <c r="BU49">
        <v>39725</v>
      </c>
      <c r="BV49">
        <v>74339</v>
      </c>
      <c r="BW49">
        <v>115504</v>
      </c>
      <c r="BX49">
        <v>132928</v>
      </c>
      <c r="BY49">
        <v>108212</v>
      </c>
      <c r="BZ49">
        <v>124159</v>
      </c>
      <c r="CA49">
        <v>123874</v>
      </c>
      <c r="CB49">
        <v>96473</v>
      </c>
      <c r="CC49">
        <v>110277</v>
      </c>
      <c r="CD49">
        <v>137500</v>
      </c>
      <c r="CE49">
        <v>105598</v>
      </c>
      <c r="CF49">
        <v>47635</v>
      </c>
      <c r="CG49">
        <v>116104</v>
      </c>
      <c r="CH49">
        <v>143212</v>
      </c>
    </row>
    <row r="50" spans="1:86">
      <c r="A50" t="s">
        <v>1424</v>
      </c>
      <c r="B50" t="s">
        <v>88</v>
      </c>
      <c r="C50">
        <v>1000000</v>
      </c>
      <c r="D50" t="s">
        <v>89</v>
      </c>
      <c r="E50" t="s">
        <v>1425</v>
      </c>
      <c r="F50" s="21" t="s">
        <v>1426</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25106</v>
      </c>
      <c r="BT50">
        <v>26385</v>
      </c>
      <c r="BU50">
        <v>0</v>
      </c>
      <c r="BV50">
        <v>0</v>
      </c>
      <c r="BW50">
        <v>0</v>
      </c>
      <c r="BX50">
        <v>0</v>
      </c>
      <c r="BY50">
        <v>0</v>
      </c>
      <c r="BZ50">
        <v>0</v>
      </c>
      <c r="CA50">
        <v>0</v>
      </c>
      <c r="CB50">
        <v>0</v>
      </c>
      <c r="CC50">
        <v>0</v>
      </c>
      <c r="CD50">
        <v>8776</v>
      </c>
      <c r="CE50">
        <v>0</v>
      </c>
      <c r="CF50">
        <v>0</v>
      </c>
      <c r="CG50">
        <v>0</v>
      </c>
      <c r="CH50">
        <v>0</v>
      </c>
    </row>
    <row r="51" spans="1:86">
      <c r="A51" t="s">
        <v>1427</v>
      </c>
      <c r="B51" t="s">
        <v>88</v>
      </c>
      <c r="C51">
        <v>1000000</v>
      </c>
      <c r="D51" t="s">
        <v>89</v>
      </c>
      <c r="E51" t="s">
        <v>1428</v>
      </c>
      <c r="F51" s="21" t="s">
        <v>1429</v>
      </c>
      <c r="G51">
        <v>2700</v>
      </c>
      <c r="H51">
        <v>2690</v>
      </c>
      <c r="I51">
        <v>2480</v>
      </c>
      <c r="J51">
        <v>2305</v>
      </c>
      <c r="K51">
        <v>2490</v>
      </c>
      <c r="L51">
        <v>2925</v>
      </c>
      <c r="M51">
        <v>3450</v>
      </c>
      <c r="N51">
        <v>3705</v>
      </c>
      <c r="O51">
        <v>3650</v>
      </c>
      <c r="P51">
        <v>5254</v>
      </c>
      <c r="Q51">
        <v>6575</v>
      </c>
      <c r="R51">
        <v>6961</v>
      </c>
      <c r="S51">
        <v>6091</v>
      </c>
      <c r="T51">
        <v>8305</v>
      </c>
      <c r="U51">
        <v>9363</v>
      </c>
      <c r="V51">
        <v>9302</v>
      </c>
      <c r="W51">
        <v>11808</v>
      </c>
      <c r="X51">
        <v>10336</v>
      </c>
      <c r="Y51">
        <v>12485</v>
      </c>
      <c r="Z51">
        <v>13835</v>
      </c>
      <c r="AA51">
        <v>14599</v>
      </c>
      <c r="AB51">
        <v>12643</v>
      </c>
      <c r="AC51">
        <v>25511</v>
      </c>
      <c r="AD51">
        <v>29517</v>
      </c>
      <c r="AE51">
        <v>26761</v>
      </c>
      <c r="AF51">
        <v>27209</v>
      </c>
      <c r="AG51">
        <v>30811</v>
      </c>
      <c r="AH51">
        <v>39059</v>
      </c>
      <c r="AI51">
        <v>33516</v>
      </c>
      <c r="AJ51">
        <v>23921</v>
      </c>
      <c r="AK51">
        <v>33399</v>
      </c>
      <c r="AL51">
        <v>47475</v>
      </c>
      <c r="AM51">
        <v>45129</v>
      </c>
      <c r="AN51">
        <v>47859</v>
      </c>
      <c r="AO51">
        <v>55434</v>
      </c>
      <c r="AP51">
        <v>74586</v>
      </c>
      <c r="AQ51">
        <v>74683</v>
      </c>
      <c r="AR51">
        <v>88324</v>
      </c>
      <c r="AS51">
        <v>109555</v>
      </c>
      <c r="AT51">
        <v>104852</v>
      </c>
      <c r="AU51">
        <v>136791</v>
      </c>
      <c r="AV51">
        <v>183172</v>
      </c>
      <c r="AW51">
        <v>189006</v>
      </c>
      <c r="AX51">
        <v>213813</v>
      </c>
      <c r="AY51">
        <v>275709</v>
      </c>
      <c r="AZ51">
        <v>242615</v>
      </c>
      <c r="BA51">
        <v>291200</v>
      </c>
      <c r="BB51">
        <v>308847</v>
      </c>
      <c r="BC51">
        <v>340997</v>
      </c>
      <c r="BD51">
        <v>352812</v>
      </c>
      <c r="BE51">
        <v>484180</v>
      </c>
      <c r="BF51">
        <v>585280</v>
      </c>
      <c r="BG51">
        <v>838216</v>
      </c>
      <c r="BH51">
        <v>1108661</v>
      </c>
      <c r="BI51">
        <v>1435081</v>
      </c>
      <c r="BJ51">
        <v>1482537</v>
      </c>
      <c r="BK51">
        <v>1441451</v>
      </c>
      <c r="BL51">
        <v>1229421</v>
      </c>
      <c r="BM51">
        <v>1696233</v>
      </c>
      <c r="BN51">
        <v>1952173</v>
      </c>
      <c r="BO51">
        <v>2117753</v>
      </c>
      <c r="BP51">
        <v>2558411</v>
      </c>
      <c r="BQ51">
        <v>2953999</v>
      </c>
      <c r="BR51">
        <v>1929859</v>
      </c>
      <c r="BS51">
        <v>2657426</v>
      </c>
      <c r="BT51">
        <v>3213464</v>
      </c>
      <c r="BU51">
        <v>3397174</v>
      </c>
      <c r="BV51">
        <v>3952993</v>
      </c>
      <c r="BW51">
        <v>5205378</v>
      </c>
      <c r="BX51">
        <v>5920568</v>
      </c>
      <c r="BY51">
        <v>5500927</v>
      </c>
      <c r="BZ51">
        <v>5782681</v>
      </c>
      <c r="CA51">
        <v>7019413</v>
      </c>
      <c r="CB51">
        <v>6629533</v>
      </c>
      <c r="CC51">
        <v>8278549</v>
      </c>
      <c r="CD51">
        <v>10673362</v>
      </c>
      <c r="CE51">
        <v>13898265</v>
      </c>
      <c r="CF51">
        <v>10801172</v>
      </c>
      <c r="CG51">
        <v>13415221</v>
      </c>
      <c r="CH51">
        <v>16891577</v>
      </c>
    </row>
    <row r="52" spans="1:86">
      <c r="A52" t="s">
        <v>1430</v>
      </c>
      <c r="B52" t="s">
        <v>88</v>
      </c>
      <c r="C52">
        <v>1000000</v>
      </c>
      <c r="D52" t="s">
        <v>89</v>
      </c>
      <c r="E52" t="s">
        <v>1431</v>
      </c>
      <c r="F52" s="21" t="s">
        <v>1432</v>
      </c>
      <c r="G52">
        <v>151910</v>
      </c>
      <c r="H52">
        <v>145655</v>
      </c>
      <c r="I52">
        <v>143857</v>
      </c>
      <c r="J52">
        <v>143064</v>
      </c>
      <c r="K52">
        <v>153076</v>
      </c>
      <c r="L52">
        <v>176353</v>
      </c>
      <c r="M52">
        <v>197692</v>
      </c>
      <c r="N52">
        <v>197219</v>
      </c>
      <c r="O52">
        <v>195074</v>
      </c>
      <c r="P52">
        <v>246489</v>
      </c>
      <c r="Q52">
        <v>296234</v>
      </c>
      <c r="R52">
        <v>320993</v>
      </c>
      <c r="S52">
        <v>299142</v>
      </c>
      <c r="T52">
        <v>378956</v>
      </c>
      <c r="U52">
        <v>417131</v>
      </c>
      <c r="V52">
        <v>421074</v>
      </c>
      <c r="W52">
        <v>516192</v>
      </c>
      <c r="X52">
        <v>499109</v>
      </c>
      <c r="Y52">
        <v>553330</v>
      </c>
      <c r="Z52">
        <v>641976</v>
      </c>
      <c r="AA52">
        <v>729875</v>
      </c>
      <c r="AB52">
        <v>656100</v>
      </c>
      <c r="AC52">
        <v>829869</v>
      </c>
      <c r="AD52">
        <v>989633</v>
      </c>
      <c r="AE52">
        <v>833656</v>
      </c>
      <c r="AF52">
        <v>824660</v>
      </c>
      <c r="AG52">
        <v>967230</v>
      </c>
      <c r="AH52">
        <v>1192744</v>
      </c>
      <c r="AI52">
        <v>928312</v>
      </c>
      <c r="AJ52">
        <v>623481</v>
      </c>
      <c r="AK52">
        <v>829793</v>
      </c>
      <c r="AL52">
        <v>1024775</v>
      </c>
      <c r="AM52">
        <v>912469</v>
      </c>
      <c r="AN52">
        <v>958383</v>
      </c>
      <c r="AO52">
        <v>1132450</v>
      </c>
      <c r="AP52">
        <v>1475994</v>
      </c>
      <c r="AQ52">
        <v>1365561</v>
      </c>
      <c r="AR52">
        <v>1545043</v>
      </c>
      <c r="AS52">
        <v>1829812</v>
      </c>
      <c r="AT52">
        <v>1763171</v>
      </c>
      <c r="AU52">
        <v>2226022</v>
      </c>
      <c r="AV52">
        <v>2609800</v>
      </c>
      <c r="AW52">
        <v>2615600</v>
      </c>
      <c r="AX52">
        <v>2946957</v>
      </c>
      <c r="AY52">
        <v>3615610</v>
      </c>
      <c r="AZ52">
        <v>3333710</v>
      </c>
      <c r="BA52">
        <v>4568797</v>
      </c>
      <c r="BB52">
        <v>5107703</v>
      </c>
      <c r="BC52">
        <v>5753004</v>
      </c>
      <c r="BD52">
        <v>5690731</v>
      </c>
      <c r="BE52">
        <v>7690711</v>
      </c>
      <c r="BF52">
        <v>8053291</v>
      </c>
      <c r="BG52">
        <v>10432794</v>
      </c>
      <c r="BH52">
        <v>12787079</v>
      </c>
      <c r="BI52">
        <v>16211917</v>
      </c>
      <c r="BJ52">
        <v>14815246</v>
      </c>
      <c r="BK52">
        <v>13189874</v>
      </c>
      <c r="BL52">
        <v>10435460</v>
      </c>
      <c r="BM52">
        <v>13616926</v>
      </c>
      <c r="BN52">
        <v>15263523</v>
      </c>
      <c r="BO52">
        <v>15934857</v>
      </c>
      <c r="BP52">
        <v>17894538</v>
      </c>
      <c r="BQ52">
        <v>18022425</v>
      </c>
      <c r="BR52">
        <v>11423842</v>
      </c>
      <c r="BS52">
        <v>14447744</v>
      </c>
      <c r="BT52">
        <v>16851842</v>
      </c>
      <c r="BU52">
        <v>16508609</v>
      </c>
      <c r="BV52">
        <v>18658375</v>
      </c>
      <c r="BW52">
        <v>24144820</v>
      </c>
      <c r="BX52">
        <v>26690849</v>
      </c>
      <c r="BY52">
        <v>25711985</v>
      </c>
      <c r="BZ52">
        <v>27914058</v>
      </c>
      <c r="CA52">
        <v>33170197</v>
      </c>
      <c r="CB52">
        <v>30542025</v>
      </c>
      <c r="CC52">
        <v>38526550</v>
      </c>
      <c r="CD52">
        <v>47014703</v>
      </c>
      <c r="CE52">
        <v>59440276</v>
      </c>
      <c r="CF52">
        <v>46974385</v>
      </c>
      <c r="CG52">
        <v>57440679</v>
      </c>
      <c r="CH52">
        <v>70642467</v>
      </c>
    </row>
    <row r="53" spans="1:86">
      <c r="A53" t="s">
        <v>1433</v>
      </c>
      <c r="B53" t="s">
        <v>88</v>
      </c>
      <c r="C53">
        <v>1000000</v>
      </c>
      <c r="D53" t="s">
        <v>89</v>
      </c>
      <c r="E53" t="s">
        <v>1434</v>
      </c>
      <c r="F53" s="21" t="s">
        <v>1435</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1001623</v>
      </c>
      <c r="BG53">
        <v>1353972</v>
      </c>
      <c r="BH53">
        <v>1651472</v>
      </c>
      <c r="BI53">
        <v>1757761</v>
      </c>
      <c r="BJ53">
        <v>1576302</v>
      </c>
      <c r="BK53">
        <v>1585985</v>
      </c>
      <c r="BL53">
        <v>1384834</v>
      </c>
      <c r="BM53">
        <v>1634004</v>
      </c>
      <c r="BN53">
        <v>1976496</v>
      </c>
      <c r="BO53">
        <v>2263247</v>
      </c>
      <c r="BP53">
        <v>2750345</v>
      </c>
      <c r="BQ53">
        <v>3029655</v>
      </c>
      <c r="BR53">
        <v>2310034</v>
      </c>
      <c r="BS53">
        <v>2565103</v>
      </c>
      <c r="BT53">
        <v>2676049</v>
      </c>
      <c r="BU53">
        <v>2645342</v>
      </c>
      <c r="BV53">
        <v>3083771</v>
      </c>
      <c r="BW53">
        <v>4148798</v>
      </c>
      <c r="BX53">
        <v>4961130</v>
      </c>
      <c r="BY53">
        <v>4889224</v>
      </c>
      <c r="BZ53">
        <v>5253413</v>
      </c>
      <c r="CA53">
        <v>5844914</v>
      </c>
      <c r="CB53">
        <v>5572720</v>
      </c>
      <c r="CC53">
        <v>6703603</v>
      </c>
      <c r="CD53">
        <v>7887860</v>
      </c>
      <c r="CE53">
        <v>9751654</v>
      </c>
      <c r="CF53">
        <v>8202191</v>
      </c>
      <c r="CG53">
        <v>9513189</v>
      </c>
      <c r="CH53">
        <v>11176411</v>
      </c>
    </row>
    <row r="54" spans="1:86">
      <c r="A54" t="s">
        <v>1436</v>
      </c>
      <c r="B54" t="s">
        <v>88</v>
      </c>
      <c r="C54">
        <v>1000000</v>
      </c>
      <c r="D54" t="s">
        <v>89</v>
      </c>
      <c r="E54" t="s">
        <v>1437</v>
      </c>
      <c r="F54" s="21" t="s">
        <v>1438</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673700</v>
      </c>
      <c r="BG54">
        <v>903538</v>
      </c>
      <c r="BH54">
        <v>1089075</v>
      </c>
      <c r="BI54">
        <v>1355860</v>
      </c>
      <c r="BJ54">
        <v>1227930</v>
      </c>
      <c r="BK54">
        <v>1195742</v>
      </c>
      <c r="BL54">
        <v>1041637</v>
      </c>
      <c r="BM54">
        <v>1237562</v>
      </c>
      <c r="BN54">
        <v>1409660</v>
      </c>
      <c r="BO54">
        <v>1565658</v>
      </c>
      <c r="BP54">
        <v>1796358</v>
      </c>
      <c r="BQ54">
        <v>1910162</v>
      </c>
      <c r="BR54">
        <v>1342756</v>
      </c>
      <c r="BS54">
        <v>1544049</v>
      </c>
      <c r="BT54">
        <v>1706815</v>
      </c>
      <c r="BU54">
        <v>1760131</v>
      </c>
      <c r="BV54">
        <v>2060911</v>
      </c>
      <c r="BW54">
        <v>2532321</v>
      </c>
      <c r="BX54">
        <v>3096684</v>
      </c>
      <c r="BY54">
        <v>3166467</v>
      </c>
      <c r="BZ54">
        <v>3532610</v>
      </c>
      <c r="CA54">
        <v>4097967</v>
      </c>
      <c r="CB54">
        <v>3865466</v>
      </c>
      <c r="CC54">
        <v>4821343</v>
      </c>
      <c r="CD54">
        <v>5760320</v>
      </c>
      <c r="CE54">
        <v>7430786</v>
      </c>
      <c r="CF54">
        <v>6253835</v>
      </c>
      <c r="CG54">
        <v>7380222</v>
      </c>
      <c r="CH54">
        <v>8760736</v>
      </c>
    </row>
    <row r="55" spans="1:86">
      <c r="A55" t="s">
        <v>1439</v>
      </c>
      <c r="B55" t="s">
        <v>88</v>
      </c>
      <c r="C55">
        <v>1000000</v>
      </c>
      <c r="D55" t="s">
        <v>89</v>
      </c>
      <c r="E55" t="s">
        <v>1440</v>
      </c>
      <c r="F55" s="21" t="s">
        <v>1441</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327923</v>
      </c>
      <c r="BG55">
        <v>450434</v>
      </c>
      <c r="BH55">
        <v>562397</v>
      </c>
      <c r="BI55">
        <v>401901</v>
      </c>
      <c r="BJ55">
        <v>348372</v>
      </c>
      <c r="BK55">
        <v>390243</v>
      </c>
      <c r="BL55">
        <v>343197</v>
      </c>
      <c r="BM55">
        <v>396442</v>
      </c>
      <c r="BN55">
        <v>566836</v>
      </c>
      <c r="BO55">
        <v>697589</v>
      </c>
      <c r="BP55">
        <v>953987</v>
      </c>
      <c r="BQ55">
        <v>1119493</v>
      </c>
      <c r="BR55">
        <v>967278</v>
      </c>
      <c r="BS55">
        <v>1021054</v>
      </c>
      <c r="BT55">
        <v>969234</v>
      </c>
      <c r="BU55">
        <v>885211</v>
      </c>
      <c r="BV55">
        <v>1022860</v>
      </c>
      <c r="BW55">
        <v>1616477</v>
      </c>
      <c r="BX55">
        <v>1864446</v>
      </c>
      <c r="BY55">
        <v>1722757</v>
      </c>
      <c r="BZ55">
        <v>1720803</v>
      </c>
      <c r="CA55">
        <v>1746947</v>
      </c>
      <c r="CB55">
        <v>1707254</v>
      </c>
      <c r="CC55">
        <v>1882260</v>
      </c>
      <c r="CD55">
        <v>2127540</v>
      </c>
      <c r="CE55">
        <v>2320868</v>
      </c>
      <c r="CF55">
        <v>1948356</v>
      </c>
      <c r="CG55">
        <v>2132967</v>
      </c>
      <c r="CH55">
        <v>2415675</v>
      </c>
    </row>
    <row r="56" spans="1:86">
      <c r="A56" t="s">
        <v>1442</v>
      </c>
      <c r="B56" t="s">
        <v>1443</v>
      </c>
      <c r="C56">
        <v>1000000</v>
      </c>
      <c r="D56" t="s">
        <v>89</v>
      </c>
      <c r="E56" t="s">
        <v>1444</v>
      </c>
      <c r="F56" s="21" t="s">
        <v>1445</v>
      </c>
      <c r="G56" t="s">
        <v>97</v>
      </c>
      <c r="H56" t="s">
        <v>97</v>
      </c>
      <c r="I56" t="s">
        <v>97</v>
      </c>
      <c r="J56" t="s">
        <v>97</v>
      </c>
      <c r="K56" t="s">
        <v>97</v>
      </c>
      <c r="L56" t="s">
        <v>97</v>
      </c>
      <c r="M56" t="s">
        <v>97</v>
      </c>
      <c r="N56" t="s">
        <v>97</v>
      </c>
      <c r="O56" t="s">
        <v>97</v>
      </c>
      <c r="P56" t="s">
        <v>97</v>
      </c>
      <c r="Q56" t="s">
        <v>97</v>
      </c>
      <c r="R56" t="s">
        <v>97</v>
      </c>
      <c r="S56" t="s">
        <v>97</v>
      </c>
      <c r="T56" t="s">
        <v>97</v>
      </c>
      <c r="U56" t="s">
        <v>97</v>
      </c>
      <c r="V56" t="s">
        <v>97</v>
      </c>
      <c r="W56" t="s">
        <v>97</v>
      </c>
      <c r="X56" t="s">
        <v>97</v>
      </c>
      <c r="Y56" t="s">
        <v>97</v>
      </c>
      <c r="Z56" t="s">
        <v>97</v>
      </c>
      <c r="AA56" t="s">
        <v>97</v>
      </c>
      <c r="AB56" t="s">
        <v>97</v>
      </c>
      <c r="AC56" t="s">
        <v>97</v>
      </c>
      <c r="AD56" t="s">
        <v>97</v>
      </c>
      <c r="AE56" t="s">
        <v>97</v>
      </c>
      <c r="AF56" t="s">
        <v>97</v>
      </c>
      <c r="AG56">
        <v>14.331482529779468</v>
      </c>
      <c r="AH56">
        <v>14.858942755409476</v>
      </c>
      <c r="AI56">
        <v>-20.964679769973678</v>
      </c>
      <c r="AJ56">
        <v>-31.493623292678681</v>
      </c>
      <c r="AK56">
        <v>32.830233424806046</v>
      </c>
      <c r="AL56">
        <v>21.683351399604668</v>
      </c>
      <c r="AM56">
        <v>-6.9787671089312289</v>
      </c>
      <c r="AN56">
        <v>3.963541725346162</v>
      </c>
      <c r="AO56">
        <v>19.283245012299925</v>
      </c>
      <c r="AP56">
        <v>27.607635071908131</v>
      </c>
      <c r="AQ56">
        <v>-8.4259463615717038</v>
      </c>
      <c r="AR56">
        <v>12.855299166563006</v>
      </c>
      <c r="AS56">
        <v>18.740140122210818</v>
      </c>
      <c r="AT56">
        <v>-1.253756628491199</v>
      </c>
      <c r="AU56">
        <v>27.184329116750195</v>
      </c>
      <c r="AV56">
        <v>12.484928557899746</v>
      </c>
      <c r="AW56">
        <v>-0.73225322901907597</v>
      </c>
      <c r="AX56">
        <v>13.292678890580525</v>
      </c>
      <c r="AY56">
        <v>24.88515275231703</v>
      </c>
      <c r="AZ56">
        <v>-9.3137770915938578</v>
      </c>
      <c r="BA56">
        <v>30.300900250212809</v>
      </c>
      <c r="BB56">
        <v>6.1525327262379053</v>
      </c>
      <c r="BC56">
        <v>8.5809596408165554</v>
      </c>
      <c r="BD56">
        <v>-2.5164078551600211</v>
      </c>
      <c r="BE56">
        <v>33.400504776880688</v>
      </c>
      <c r="BF56">
        <v>18.838376084038693</v>
      </c>
      <c r="BG56">
        <v>29.172206176744751</v>
      </c>
      <c r="BH56">
        <v>21.71820537115288</v>
      </c>
      <c r="BI56">
        <v>22.046036302781776</v>
      </c>
      <c r="BJ56">
        <v>-11.849917503277787</v>
      </c>
      <c r="BK56">
        <v>-12.058266014448236</v>
      </c>
      <c r="BL56">
        <v>-22.082187738146818</v>
      </c>
      <c r="BM56">
        <v>29.442455463677547</v>
      </c>
      <c r="BN56">
        <v>10.665550579047615</v>
      </c>
      <c r="BO56">
        <v>4.5660491972953956</v>
      </c>
      <c r="BP56">
        <v>13.752222501396316</v>
      </c>
      <c r="BQ56">
        <v>3.7831092402689399</v>
      </c>
      <c r="BR56">
        <v>-38.613913059981215</v>
      </c>
      <c r="BS56">
        <v>25.709670331369033</v>
      </c>
      <c r="BT56">
        <v>15.338982232055729</v>
      </c>
      <c r="BU56">
        <v>-0.85397902900436895</v>
      </c>
      <c r="BV56">
        <v>13.945034037849874</v>
      </c>
      <c r="BW56">
        <v>30.861658469768543</v>
      </c>
      <c r="BX56">
        <v>10.361059013030845</v>
      </c>
      <c r="BY56">
        <v>-1.5106480500434549</v>
      </c>
      <c r="BZ56">
        <v>10.311393857995832</v>
      </c>
      <c r="CA56">
        <v>18.887790510093126</v>
      </c>
      <c r="CB56">
        <v>-7.0417613581954228</v>
      </c>
      <c r="CC56">
        <v>28.419861058577972</v>
      </c>
      <c r="CD56">
        <v>18.720051048300352</v>
      </c>
      <c r="CE56">
        <v>24.00505155327869</v>
      </c>
      <c r="CF56">
        <v>-20.795421997351252</v>
      </c>
      <c r="CG56">
        <v>24.05692019335109</v>
      </c>
      <c r="CH56">
        <v>22.206197566014691</v>
      </c>
    </row>
    <row r="60" spans="1:86">
      <c r="A60" t="s">
        <v>1562</v>
      </c>
      <c r="G60">
        <f>G4+G7</f>
        <v>151910</v>
      </c>
      <c r="H60">
        <f t="shared" ref="H60:L60" si="0">H4+H7</f>
        <v>145655</v>
      </c>
      <c r="I60">
        <f t="shared" si="0"/>
        <v>143857</v>
      </c>
      <c r="J60">
        <f t="shared" si="0"/>
        <v>143064</v>
      </c>
      <c r="K60">
        <f t="shared" si="0"/>
        <v>153076</v>
      </c>
      <c r="L60">
        <f t="shared" si="0"/>
        <v>176353</v>
      </c>
    </row>
    <row r="61" spans="1:86">
      <c r="A61" t="s">
        <v>1563</v>
      </c>
      <c r="G61">
        <f>'CRSP Data'!U4</f>
        <v>64330622.100000001</v>
      </c>
      <c r="H61">
        <f>'CRSP Data'!V4</f>
        <v>59684383.600000001</v>
      </c>
      <c r="I61">
        <f>'CRSP Data'!W4</f>
        <v>59885360.700000003</v>
      </c>
      <c r="J61">
        <f>'CRSP Data'!X4</f>
        <v>58301258.200000003</v>
      </c>
      <c r="K61">
        <f>'CRSP Data'!Y4</f>
        <v>67344403.400000006</v>
      </c>
      <c r="L61">
        <f>'CRSP Data'!Z4</f>
        <v>84833973.900000006</v>
      </c>
    </row>
    <row r="63" spans="1:86">
      <c r="G63">
        <f>G60/G61</f>
        <v>2.3613948542866646E-3</v>
      </c>
      <c r="H63">
        <f t="shared" ref="H63:L63" si="1">H60/H61</f>
        <v>2.4404206128049882E-3</v>
      </c>
      <c r="I63">
        <f t="shared" si="1"/>
        <v>2.4022064544398742E-3</v>
      </c>
      <c r="J63">
        <f t="shared" si="1"/>
        <v>2.4538750005913251E-3</v>
      </c>
      <c r="K63">
        <f t="shared" si="1"/>
        <v>2.2730322383403873E-3</v>
      </c>
      <c r="L63">
        <f t="shared" si="1"/>
        <v>2.0788015920117117E-3</v>
      </c>
    </row>
  </sheetData>
  <hyperlinks>
    <hyperlink ref="A1" r:id="rId1" display="https://www.federalreserve.gov//datadownload/Download.aspx?rel=Z1&amp;series=55b8e662614f54d3e064df6bbe3d38b4&amp;filetype=spreadsheetml&amp;label=include&amp;layout=seriesrow&amp;from=01/01/1945&amp;to=12/31/2025" xr:uid="{71BFB2BC-FB10-DA4D-AC90-5AB59EA02E8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B26FD-2FF5-4945-A972-FA0D248F0BD2}">
  <dimension ref="A1:FJ175"/>
  <sheetViews>
    <sheetView topLeftCell="N133" workbookViewId="0">
      <selection activeCell="H175" sqref="H175:CH175"/>
    </sheetView>
  </sheetViews>
  <sheetFormatPr baseColWidth="10" defaultColWidth="11.5" defaultRowHeight="16"/>
  <cols>
    <col min="1" max="1" width="65.6640625" customWidth="1"/>
  </cols>
  <sheetData>
    <row r="1" spans="1:166" ht="18">
      <c r="A1" s="4" t="s">
        <v>113</v>
      </c>
      <c r="B1" s="3"/>
      <c r="C1" s="5"/>
      <c r="D1" s="5"/>
      <c r="E1" s="5"/>
      <c r="F1" s="5" t="s">
        <v>0</v>
      </c>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row>
    <row r="2" spans="1:166" ht="17" thickBot="1">
      <c r="A2" s="6" t="s">
        <v>1</v>
      </c>
      <c r="B2" s="6" t="s">
        <v>2</v>
      </c>
      <c r="C2" s="6" t="s">
        <v>3</v>
      </c>
      <c r="D2" s="6" t="s">
        <v>4</v>
      </c>
      <c r="E2" s="6" t="s">
        <v>5</v>
      </c>
      <c r="F2" s="6" t="s">
        <v>6</v>
      </c>
      <c r="G2" s="6">
        <v>1945</v>
      </c>
      <c r="H2" s="6">
        <v>1946</v>
      </c>
      <c r="I2" s="6">
        <v>1947</v>
      </c>
      <c r="J2" s="6">
        <v>1948</v>
      </c>
      <c r="K2" s="6">
        <v>1949</v>
      </c>
      <c r="L2" s="6">
        <v>1950</v>
      </c>
      <c r="M2" s="6">
        <v>1951</v>
      </c>
      <c r="N2" s="6">
        <v>1952</v>
      </c>
      <c r="O2" s="6">
        <v>1953</v>
      </c>
      <c r="P2" s="6">
        <v>1954</v>
      </c>
      <c r="Q2" s="6">
        <v>1955</v>
      </c>
      <c r="R2" s="6">
        <v>1956</v>
      </c>
      <c r="S2" s="6">
        <v>1957</v>
      </c>
      <c r="T2" s="6">
        <v>1958</v>
      </c>
      <c r="U2" s="6">
        <v>1959</v>
      </c>
      <c r="V2" s="6">
        <v>1960</v>
      </c>
      <c r="W2" s="6">
        <v>1961</v>
      </c>
      <c r="X2" s="6">
        <v>1962</v>
      </c>
      <c r="Y2" s="6">
        <v>1963</v>
      </c>
      <c r="Z2" s="6">
        <v>1964</v>
      </c>
      <c r="AA2" s="6">
        <v>1965</v>
      </c>
      <c r="AB2" s="6">
        <v>1966</v>
      </c>
      <c r="AC2" s="6">
        <v>1967</v>
      </c>
      <c r="AD2" s="6">
        <v>1968</v>
      </c>
      <c r="AE2" s="6">
        <v>1969</v>
      </c>
      <c r="AF2" s="6">
        <v>1970</v>
      </c>
      <c r="AG2" s="6">
        <v>1971</v>
      </c>
      <c r="AH2" s="6">
        <v>1972</v>
      </c>
      <c r="AI2" s="6">
        <v>1973</v>
      </c>
      <c r="AJ2" s="6">
        <v>1974</v>
      </c>
      <c r="AK2" s="6">
        <v>1975</v>
      </c>
      <c r="AL2" s="6">
        <v>1976</v>
      </c>
      <c r="AM2" s="6">
        <v>1977</v>
      </c>
      <c r="AN2" s="6">
        <v>1978</v>
      </c>
      <c r="AO2" s="6">
        <v>1979</v>
      </c>
      <c r="AP2" s="6">
        <v>1980</v>
      </c>
      <c r="AQ2" s="6">
        <v>1981</v>
      </c>
      <c r="AR2" s="6">
        <v>1982</v>
      </c>
      <c r="AS2" s="6">
        <v>1983</v>
      </c>
      <c r="AT2" s="6">
        <v>1984</v>
      </c>
      <c r="AU2" s="6">
        <v>1985</v>
      </c>
      <c r="AV2" s="6">
        <v>1986</v>
      </c>
      <c r="AW2" s="6">
        <v>1987</v>
      </c>
      <c r="AX2" s="6">
        <v>1988</v>
      </c>
      <c r="AY2" s="6">
        <v>1989</v>
      </c>
      <c r="AZ2" s="6">
        <v>1990</v>
      </c>
      <c r="BA2" s="6">
        <v>1991</v>
      </c>
      <c r="BB2" s="6">
        <v>1992</v>
      </c>
      <c r="BC2" s="6">
        <v>1993</v>
      </c>
      <c r="BD2" s="6">
        <v>1994</v>
      </c>
      <c r="BE2" s="6">
        <v>1995</v>
      </c>
      <c r="BF2" s="6">
        <v>1996</v>
      </c>
      <c r="BG2" s="6">
        <v>1997</v>
      </c>
      <c r="BH2" s="6">
        <v>1998</v>
      </c>
      <c r="BI2" s="6">
        <v>1999</v>
      </c>
      <c r="BJ2" s="6">
        <v>2000</v>
      </c>
      <c r="BK2" s="6">
        <v>2001</v>
      </c>
      <c r="BL2" s="6">
        <v>2002</v>
      </c>
      <c r="BM2" s="6">
        <v>2003</v>
      </c>
      <c r="BN2" s="6">
        <v>2004</v>
      </c>
      <c r="BO2" s="6">
        <v>2005</v>
      </c>
      <c r="BP2" s="6">
        <v>2006</v>
      </c>
      <c r="BQ2" s="6">
        <v>2007</v>
      </c>
      <c r="BR2" s="6">
        <v>2008</v>
      </c>
      <c r="BS2" s="6">
        <v>2009</v>
      </c>
      <c r="BT2" s="6">
        <v>2010</v>
      </c>
      <c r="BU2" s="6">
        <v>2011</v>
      </c>
      <c r="BV2" s="6">
        <v>2012</v>
      </c>
      <c r="BW2" s="6">
        <v>2013</v>
      </c>
      <c r="BX2" s="6">
        <v>2014</v>
      </c>
      <c r="BY2" s="6">
        <v>2015</v>
      </c>
      <c r="BZ2" s="6">
        <v>2016</v>
      </c>
      <c r="CA2" s="6">
        <v>2017</v>
      </c>
      <c r="CB2" s="6">
        <v>2018</v>
      </c>
      <c r="CC2" s="6">
        <v>2019</v>
      </c>
      <c r="CD2" s="6">
        <v>2020</v>
      </c>
      <c r="CE2" s="6">
        <v>2021</v>
      </c>
      <c r="CF2" s="6">
        <v>2022</v>
      </c>
      <c r="CG2" s="6">
        <v>2023</v>
      </c>
      <c r="CH2" s="6">
        <v>2024</v>
      </c>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row>
    <row r="3" spans="1:166">
      <c r="A3" s="7" t="s">
        <v>201</v>
      </c>
      <c r="B3" s="7" t="s">
        <v>88</v>
      </c>
      <c r="C3" s="7">
        <v>1000000</v>
      </c>
      <c r="D3" s="7" t="s">
        <v>89</v>
      </c>
      <c r="E3" s="7" t="s">
        <v>202</v>
      </c>
      <c r="F3" s="8" t="s">
        <v>203</v>
      </c>
      <c r="G3" s="7"/>
      <c r="H3" s="7">
        <v>100771</v>
      </c>
      <c r="I3" s="7">
        <v>122211</v>
      </c>
      <c r="J3" s="7">
        <v>140041</v>
      </c>
      <c r="K3" s="7">
        <v>136291</v>
      </c>
      <c r="L3" s="7">
        <v>154866</v>
      </c>
      <c r="M3" s="7">
        <v>177643</v>
      </c>
      <c r="N3" s="7">
        <v>185882</v>
      </c>
      <c r="O3" s="7">
        <v>199045</v>
      </c>
      <c r="P3" s="7">
        <v>196163</v>
      </c>
      <c r="Q3" s="7">
        <v>221377</v>
      </c>
      <c r="R3" s="7">
        <v>237234</v>
      </c>
      <c r="S3" s="7">
        <v>247921</v>
      </c>
      <c r="T3" s="7">
        <v>242248</v>
      </c>
      <c r="U3" s="7">
        <v>271655</v>
      </c>
      <c r="V3" s="7">
        <v>282485</v>
      </c>
      <c r="W3" s="7">
        <v>290424</v>
      </c>
      <c r="X3" s="7">
        <v>316808</v>
      </c>
      <c r="Y3" s="7">
        <v>337829</v>
      </c>
      <c r="Z3" s="7">
        <v>364524</v>
      </c>
      <c r="AA3" s="7">
        <v>400741</v>
      </c>
      <c r="AB3" s="7">
        <v>440079</v>
      </c>
      <c r="AC3" s="7">
        <v>463192</v>
      </c>
      <c r="AD3" s="7">
        <v>510945</v>
      </c>
      <c r="AE3" s="7">
        <v>554625</v>
      </c>
      <c r="AF3" s="7">
        <v>572891</v>
      </c>
      <c r="AG3" s="7">
        <v>618096</v>
      </c>
      <c r="AH3" s="7">
        <v>685949</v>
      </c>
      <c r="AI3" s="7">
        <v>768838</v>
      </c>
      <c r="AJ3" s="7">
        <v>830041</v>
      </c>
      <c r="AK3" s="7">
        <v>898279</v>
      </c>
      <c r="AL3" s="7">
        <v>1014666</v>
      </c>
      <c r="AM3" s="7">
        <v>1147402</v>
      </c>
      <c r="AN3" s="7">
        <v>1303931</v>
      </c>
      <c r="AO3" s="7">
        <v>1450327</v>
      </c>
      <c r="AP3" s="7">
        <v>1574528</v>
      </c>
      <c r="AQ3" s="7">
        <v>1789068</v>
      </c>
      <c r="AR3" s="7">
        <v>1854861</v>
      </c>
      <c r="AS3" s="7">
        <v>1985899</v>
      </c>
      <c r="AT3" s="7">
        <v>2226002</v>
      </c>
      <c r="AU3" s="7">
        <v>2369167</v>
      </c>
      <c r="AV3" s="7">
        <v>2464907</v>
      </c>
      <c r="AW3" s="7">
        <v>2641902</v>
      </c>
      <c r="AX3" s="7">
        <v>2873908</v>
      </c>
      <c r="AY3" s="7">
        <v>3020213</v>
      </c>
      <c r="AZ3" s="7">
        <v>3160696</v>
      </c>
      <c r="BA3" s="7">
        <v>3231238</v>
      </c>
      <c r="BB3" s="7">
        <v>3376497</v>
      </c>
      <c r="BC3" s="7">
        <v>3534938</v>
      </c>
      <c r="BD3" s="7">
        <v>3816576</v>
      </c>
      <c r="BE3" s="7">
        <v>4041487</v>
      </c>
      <c r="BF3" s="7">
        <v>4296356</v>
      </c>
      <c r="BG3" s="7">
        <v>4609354</v>
      </c>
      <c r="BH3" s="7">
        <v>4875177</v>
      </c>
      <c r="BI3" s="7">
        <v>5168285</v>
      </c>
      <c r="BJ3" s="7">
        <v>5510788</v>
      </c>
      <c r="BK3" s="7">
        <v>5470157</v>
      </c>
      <c r="BL3" s="7">
        <v>5543552</v>
      </c>
      <c r="BM3" s="7">
        <v>5733743</v>
      </c>
      <c r="BN3" s="7">
        <v>6133642</v>
      </c>
      <c r="BO3" s="7">
        <v>6575529</v>
      </c>
      <c r="BP3" s="7">
        <v>7021572</v>
      </c>
      <c r="BQ3" s="7">
        <v>7257368</v>
      </c>
      <c r="BR3" s="7">
        <v>7327703</v>
      </c>
      <c r="BS3" s="7">
        <v>6904035</v>
      </c>
      <c r="BT3" s="7">
        <v>7287190</v>
      </c>
      <c r="BU3" s="7">
        <v>7661064</v>
      </c>
      <c r="BV3" s="7">
        <v>8110945</v>
      </c>
      <c r="BW3" s="7">
        <v>8417763</v>
      </c>
      <c r="BX3" s="7">
        <v>8851700</v>
      </c>
      <c r="BY3" s="7">
        <v>9222331</v>
      </c>
      <c r="BZ3" s="7">
        <v>9346389</v>
      </c>
      <c r="CA3" s="7">
        <v>9771450</v>
      </c>
      <c r="CB3" s="7">
        <v>10337805</v>
      </c>
      <c r="CC3" s="7">
        <v>10799812</v>
      </c>
      <c r="CD3" s="7">
        <v>10498662</v>
      </c>
      <c r="CE3" s="7">
        <v>12072724</v>
      </c>
      <c r="CF3" s="7">
        <v>13445428</v>
      </c>
      <c r="CG3" s="7">
        <v>14163359</v>
      </c>
      <c r="CH3" s="7">
        <v>14849198</v>
      </c>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row>
    <row r="4" spans="1:166">
      <c r="A4" s="7" t="s">
        <v>204</v>
      </c>
      <c r="B4" s="7" t="s">
        <v>88</v>
      </c>
      <c r="C4" s="7">
        <v>1000000</v>
      </c>
      <c r="D4" s="7" t="s">
        <v>89</v>
      </c>
      <c r="E4" s="7" t="s">
        <v>205</v>
      </c>
      <c r="F4" s="8" t="s">
        <v>206</v>
      </c>
      <c r="G4" s="7"/>
      <c r="H4" s="7">
        <v>7752</v>
      </c>
      <c r="I4" s="7">
        <v>9476</v>
      </c>
      <c r="J4" s="7">
        <v>11120</v>
      </c>
      <c r="K4" s="7">
        <v>12008</v>
      </c>
      <c r="L4" s="7">
        <v>12848</v>
      </c>
      <c r="M4" s="7">
        <v>14636</v>
      </c>
      <c r="N4" s="7">
        <v>15581</v>
      </c>
      <c r="O4" s="7">
        <v>16729</v>
      </c>
      <c r="P4" s="7">
        <v>17724</v>
      </c>
      <c r="Q4" s="7">
        <v>18913</v>
      </c>
      <c r="R4" s="7">
        <v>21356</v>
      </c>
      <c r="S4" s="7">
        <v>23757</v>
      </c>
      <c r="T4" s="7">
        <v>25496</v>
      </c>
      <c r="U4" s="7">
        <v>26689</v>
      </c>
      <c r="V4" s="7">
        <v>27561</v>
      </c>
      <c r="W4" s="7">
        <v>28564</v>
      </c>
      <c r="X4" s="7">
        <v>29824</v>
      </c>
      <c r="Y4" s="7">
        <v>31340</v>
      </c>
      <c r="Z4" s="7">
        <v>33253</v>
      </c>
      <c r="AA4" s="7">
        <v>35829</v>
      </c>
      <c r="AB4" s="7">
        <v>39392</v>
      </c>
      <c r="AC4" s="7">
        <v>43452</v>
      </c>
      <c r="AD4" s="7">
        <v>48092</v>
      </c>
      <c r="AE4" s="7">
        <v>53485</v>
      </c>
      <c r="AF4" s="7">
        <v>59260</v>
      </c>
      <c r="AG4" s="7">
        <v>64733</v>
      </c>
      <c r="AH4" s="7">
        <v>70189</v>
      </c>
      <c r="AI4" s="7">
        <v>78181</v>
      </c>
      <c r="AJ4" s="7">
        <v>91385</v>
      </c>
      <c r="AK4" s="7">
        <v>107725</v>
      </c>
      <c r="AL4" s="7">
        <v>118273</v>
      </c>
      <c r="AM4" s="7">
        <v>132560</v>
      </c>
      <c r="AN4" s="7">
        <v>150153</v>
      </c>
      <c r="AO4" s="7">
        <v>172444</v>
      </c>
      <c r="AP4" s="7">
        <v>198860</v>
      </c>
      <c r="AQ4" s="7">
        <v>229084</v>
      </c>
      <c r="AR4" s="7">
        <v>253881</v>
      </c>
      <c r="AS4" s="7">
        <v>264616</v>
      </c>
      <c r="AT4" s="7">
        <v>278952</v>
      </c>
      <c r="AU4" s="7">
        <v>298976</v>
      </c>
      <c r="AV4" s="7">
        <v>317873</v>
      </c>
      <c r="AW4" s="7">
        <v>334692</v>
      </c>
      <c r="AX4" s="7">
        <v>358201</v>
      </c>
      <c r="AY4" s="7">
        <v>380160</v>
      </c>
      <c r="AZ4" s="7">
        <v>402625</v>
      </c>
      <c r="BA4" s="7">
        <v>423557</v>
      </c>
      <c r="BB4" s="7">
        <v>436253</v>
      </c>
      <c r="BC4" s="7">
        <v>455845</v>
      </c>
      <c r="BD4" s="7">
        <v>482344</v>
      </c>
      <c r="BE4" s="7">
        <v>520836</v>
      </c>
      <c r="BF4" s="7">
        <v>554165</v>
      </c>
      <c r="BG4" s="7">
        <v>594613</v>
      </c>
      <c r="BH4" s="7">
        <v>634096</v>
      </c>
      <c r="BI4" s="7">
        <v>679077</v>
      </c>
      <c r="BJ4" s="7">
        <v>737452</v>
      </c>
      <c r="BK4" s="7">
        <v>781461</v>
      </c>
      <c r="BL4" s="7">
        <v>805023</v>
      </c>
      <c r="BM4" s="7">
        <v>818192</v>
      </c>
      <c r="BN4" s="7">
        <v>851953</v>
      </c>
      <c r="BO4" s="7">
        <v>913611</v>
      </c>
      <c r="BP4" s="7">
        <v>984446</v>
      </c>
      <c r="BQ4" s="7">
        <v>1047220</v>
      </c>
      <c r="BR4" s="7">
        <v>1108750</v>
      </c>
      <c r="BS4" s="7">
        <v>1114627</v>
      </c>
      <c r="BT4" s="7">
        <v>1123496</v>
      </c>
      <c r="BU4" s="7">
        <v>1173464</v>
      </c>
      <c r="BV4" s="7">
        <v>1234809</v>
      </c>
      <c r="BW4" s="7">
        <v>1282796</v>
      </c>
      <c r="BX4" s="7">
        <v>1352680</v>
      </c>
      <c r="BY4" s="7">
        <v>1408264</v>
      </c>
      <c r="BZ4" s="7">
        <v>1441019</v>
      </c>
      <c r="CA4" s="7">
        <v>1509413</v>
      </c>
      <c r="CB4" s="7">
        <v>1582147</v>
      </c>
      <c r="CC4" s="7">
        <v>1664697</v>
      </c>
      <c r="CD4" s="7">
        <v>1728115</v>
      </c>
      <c r="CE4" s="7">
        <v>1815454</v>
      </c>
      <c r="CF4" s="7">
        <v>2010486</v>
      </c>
      <c r="CG4" s="7">
        <v>2154291</v>
      </c>
      <c r="CH4" s="7">
        <v>2274356</v>
      </c>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row>
    <row r="5" spans="1:166">
      <c r="A5" s="7" t="s">
        <v>207</v>
      </c>
      <c r="B5" s="7" t="s">
        <v>88</v>
      </c>
      <c r="C5" s="7">
        <v>1000000</v>
      </c>
      <c r="D5" s="7" t="s">
        <v>89</v>
      </c>
      <c r="E5" s="7" t="s">
        <v>208</v>
      </c>
      <c r="F5" s="8" t="s">
        <v>209</v>
      </c>
      <c r="G5" s="7"/>
      <c r="H5" s="7">
        <v>93019</v>
      </c>
      <c r="I5" s="7">
        <v>112735</v>
      </c>
      <c r="J5" s="7">
        <v>128921</v>
      </c>
      <c r="K5" s="7">
        <v>124283</v>
      </c>
      <c r="L5" s="7">
        <v>142018</v>
      </c>
      <c r="M5" s="7">
        <v>163007</v>
      </c>
      <c r="N5" s="7">
        <v>170301</v>
      </c>
      <c r="O5" s="7">
        <v>182316</v>
      </c>
      <c r="P5" s="7">
        <v>178439</v>
      </c>
      <c r="Q5" s="7">
        <v>202464</v>
      </c>
      <c r="R5" s="7">
        <v>215878</v>
      </c>
      <c r="S5" s="7">
        <v>224164</v>
      </c>
      <c r="T5" s="7">
        <v>216752</v>
      </c>
      <c r="U5" s="7">
        <v>244966</v>
      </c>
      <c r="V5" s="7">
        <v>254924</v>
      </c>
      <c r="W5" s="7">
        <v>261860</v>
      </c>
      <c r="X5" s="7">
        <v>286984</v>
      </c>
      <c r="Y5" s="7">
        <v>306489</v>
      </c>
      <c r="Z5" s="7">
        <v>331271</v>
      </c>
      <c r="AA5" s="7">
        <v>364912</v>
      </c>
      <c r="AB5" s="7">
        <v>400687</v>
      </c>
      <c r="AC5" s="7">
        <v>419740</v>
      </c>
      <c r="AD5" s="7">
        <v>462853</v>
      </c>
      <c r="AE5" s="7">
        <v>501140</v>
      </c>
      <c r="AF5" s="7">
        <v>513631</v>
      </c>
      <c r="AG5" s="7">
        <v>553363</v>
      </c>
      <c r="AH5" s="7">
        <v>615760</v>
      </c>
      <c r="AI5" s="7">
        <v>690657</v>
      </c>
      <c r="AJ5" s="7">
        <v>738656</v>
      </c>
      <c r="AK5" s="7">
        <v>790554</v>
      </c>
      <c r="AL5" s="7">
        <v>896393</v>
      </c>
      <c r="AM5" s="7">
        <v>1014842</v>
      </c>
      <c r="AN5" s="7">
        <v>1153778</v>
      </c>
      <c r="AO5" s="7">
        <v>1277883</v>
      </c>
      <c r="AP5" s="7">
        <v>1375668</v>
      </c>
      <c r="AQ5" s="7">
        <v>1559984</v>
      </c>
      <c r="AR5" s="7">
        <v>1600980</v>
      </c>
      <c r="AS5" s="7">
        <v>1721283</v>
      </c>
      <c r="AT5" s="7">
        <v>1947050</v>
      </c>
      <c r="AU5" s="7">
        <v>2070191</v>
      </c>
      <c r="AV5" s="7">
        <v>2147034</v>
      </c>
      <c r="AW5" s="7">
        <v>2307210</v>
      </c>
      <c r="AX5" s="7">
        <v>2515707</v>
      </c>
      <c r="AY5" s="7">
        <v>2640053</v>
      </c>
      <c r="AZ5" s="7">
        <v>2758071</v>
      </c>
      <c r="BA5" s="7">
        <v>2807681</v>
      </c>
      <c r="BB5" s="7">
        <v>2940244</v>
      </c>
      <c r="BC5" s="7">
        <v>3079093</v>
      </c>
      <c r="BD5" s="7">
        <v>3334232</v>
      </c>
      <c r="BE5" s="7">
        <v>3520651</v>
      </c>
      <c r="BF5" s="7">
        <v>3742191</v>
      </c>
      <c r="BG5" s="7">
        <v>4014741</v>
      </c>
      <c r="BH5" s="7">
        <v>4241081</v>
      </c>
      <c r="BI5" s="7">
        <v>4489208</v>
      </c>
      <c r="BJ5" s="7">
        <v>4773336</v>
      </c>
      <c r="BK5" s="7">
        <v>4688696</v>
      </c>
      <c r="BL5" s="7">
        <v>4738529</v>
      </c>
      <c r="BM5" s="7">
        <v>4915551</v>
      </c>
      <c r="BN5" s="7">
        <v>5281689</v>
      </c>
      <c r="BO5" s="7">
        <v>5661918</v>
      </c>
      <c r="BP5" s="7">
        <v>6037126</v>
      </c>
      <c r="BQ5" s="7">
        <v>6210148</v>
      </c>
      <c r="BR5" s="7">
        <v>6218953</v>
      </c>
      <c r="BS5" s="7">
        <v>5789408</v>
      </c>
      <c r="BT5" s="7">
        <v>6163694</v>
      </c>
      <c r="BU5" s="7">
        <v>6487600</v>
      </c>
      <c r="BV5" s="7">
        <v>6876136</v>
      </c>
      <c r="BW5" s="7">
        <v>7134967</v>
      </c>
      <c r="BX5" s="7">
        <v>7499020</v>
      </c>
      <c r="BY5" s="7">
        <v>7814067</v>
      </c>
      <c r="BZ5" s="7">
        <v>7905370</v>
      </c>
      <c r="CA5" s="7">
        <v>8262037</v>
      </c>
      <c r="CB5" s="7">
        <v>8755658</v>
      </c>
      <c r="CC5" s="7">
        <v>9135115</v>
      </c>
      <c r="CD5" s="7">
        <v>8770547</v>
      </c>
      <c r="CE5" s="7">
        <v>10257270</v>
      </c>
      <c r="CF5" s="7">
        <v>11434942</v>
      </c>
      <c r="CG5" s="7">
        <v>12009069</v>
      </c>
      <c r="CH5" s="7">
        <v>12574842</v>
      </c>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row>
    <row r="6" spans="1:166">
      <c r="A6" s="7" t="s">
        <v>210</v>
      </c>
      <c r="B6" s="7" t="s">
        <v>88</v>
      </c>
      <c r="C6" s="7">
        <v>1000000</v>
      </c>
      <c r="D6" s="7" t="s">
        <v>89</v>
      </c>
      <c r="E6" s="7" t="s">
        <v>211</v>
      </c>
      <c r="F6" s="8" t="s">
        <v>212</v>
      </c>
      <c r="G6" s="7"/>
      <c r="H6" s="7">
        <v>66853</v>
      </c>
      <c r="I6" s="7">
        <v>78763</v>
      </c>
      <c r="J6" s="7">
        <v>87467</v>
      </c>
      <c r="K6" s="7">
        <v>84902</v>
      </c>
      <c r="L6" s="7">
        <v>94387</v>
      </c>
      <c r="M6" s="7">
        <v>109808</v>
      </c>
      <c r="N6" s="7">
        <v>117770</v>
      </c>
      <c r="O6" s="7">
        <v>128198</v>
      </c>
      <c r="P6" s="7">
        <v>125945</v>
      </c>
      <c r="Q6" s="7">
        <v>137886</v>
      </c>
      <c r="R6" s="7">
        <v>150770</v>
      </c>
      <c r="S6" s="7">
        <v>158411</v>
      </c>
      <c r="T6" s="7">
        <v>155209</v>
      </c>
      <c r="U6" s="7">
        <v>170794</v>
      </c>
      <c r="V6" s="7">
        <v>180409</v>
      </c>
      <c r="W6" s="7">
        <v>184516</v>
      </c>
      <c r="X6" s="7">
        <v>199256</v>
      </c>
      <c r="Y6" s="7">
        <v>210106</v>
      </c>
      <c r="Z6" s="7">
        <v>225657</v>
      </c>
      <c r="AA6" s="7">
        <v>245400</v>
      </c>
      <c r="AB6" s="7">
        <v>272851</v>
      </c>
      <c r="AC6" s="7">
        <v>291064</v>
      </c>
      <c r="AD6" s="7">
        <v>320870</v>
      </c>
      <c r="AE6" s="7">
        <v>356065</v>
      </c>
      <c r="AF6" s="7">
        <v>374486</v>
      </c>
      <c r="AG6" s="7">
        <v>396189</v>
      </c>
      <c r="AH6" s="7">
        <v>439925</v>
      </c>
      <c r="AI6" s="7">
        <v>495100</v>
      </c>
      <c r="AJ6" s="7">
        <v>542935</v>
      </c>
      <c r="AK6" s="7">
        <v>569020</v>
      </c>
      <c r="AL6" s="7">
        <v>640006</v>
      </c>
      <c r="AM6" s="7">
        <v>723328</v>
      </c>
      <c r="AN6" s="7">
        <v>829500</v>
      </c>
      <c r="AO6" s="7">
        <v>942401</v>
      </c>
      <c r="AP6" s="7">
        <v>1030693</v>
      </c>
      <c r="AQ6" s="7">
        <v>1139852</v>
      </c>
      <c r="AR6" s="7">
        <v>1183262</v>
      </c>
      <c r="AS6" s="7">
        <v>1250111</v>
      </c>
      <c r="AT6" s="7">
        <v>1388208</v>
      </c>
      <c r="AU6" s="7">
        <v>1490089</v>
      </c>
      <c r="AV6" s="7">
        <v>1578177</v>
      </c>
      <c r="AW6" s="7">
        <v>1685458</v>
      </c>
      <c r="AX6" s="7">
        <v>1825310</v>
      </c>
      <c r="AY6" s="7">
        <v>1934824</v>
      </c>
      <c r="AZ6" s="7">
        <v>2037524</v>
      </c>
      <c r="BA6" s="7">
        <v>2071122</v>
      </c>
      <c r="BB6" s="7">
        <v>2188675</v>
      </c>
      <c r="BC6" s="7">
        <v>2271016</v>
      </c>
      <c r="BD6" s="7">
        <v>2398673</v>
      </c>
      <c r="BE6" s="7">
        <v>2524558</v>
      </c>
      <c r="BF6" s="7">
        <v>2667704</v>
      </c>
      <c r="BG6" s="7">
        <v>2862553</v>
      </c>
      <c r="BH6" s="7">
        <v>3093834</v>
      </c>
      <c r="BI6" s="7">
        <v>3309976</v>
      </c>
      <c r="BJ6" s="7">
        <v>3597328</v>
      </c>
      <c r="BK6" s="7">
        <v>3582305</v>
      </c>
      <c r="BL6" s="7">
        <v>3540452</v>
      </c>
      <c r="BM6" s="7">
        <v>3594307</v>
      </c>
      <c r="BN6" s="7">
        <v>3761335</v>
      </c>
      <c r="BO6" s="7">
        <v>3928746</v>
      </c>
      <c r="BP6" s="7">
        <v>4127501</v>
      </c>
      <c r="BQ6" s="7">
        <v>4307102</v>
      </c>
      <c r="BR6" s="7">
        <v>4364267</v>
      </c>
      <c r="BS6" s="7">
        <v>4094886</v>
      </c>
      <c r="BT6" s="7">
        <v>4166599</v>
      </c>
      <c r="BU6" s="7">
        <v>4372726</v>
      </c>
      <c r="BV6" s="7">
        <v>4608339</v>
      </c>
      <c r="BW6" s="7">
        <v>4773790</v>
      </c>
      <c r="BX6" s="7">
        <v>5032918</v>
      </c>
      <c r="BY6" s="7">
        <v>5303854</v>
      </c>
      <c r="BZ6" s="7">
        <v>5448418</v>
      </c>
      <c r="CA6" s="7">
        <v>5727600</v>
      </c>
      <c r="CB6" s="7">
        <v>6047037</v>
      </c>
      <c r="CC6" s="7">
        <v>6344265</v>
      </c>
      <c r="CD6" s="7">
        <v>6350094</v>
      </c>
      <c r="CE6" s="7">
        <v>6998733</v>
      </c>
      <c r="CF6" s="7">
        <v>7593396</v>
      </c>
      <c r="CG6" s="7">
        <v>8015626</v>
      </c>
      <c r="CH6" s="7">
        <v>8451105</v>
      </c>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row>
    <row r="7" spans="1:166">
      <c r="A7" s="7" t="s">
        <v>213</v>
      </c>
      <c r="B7" s="7" t="s">
        <v>88</v>
      </c>
      <c r="C7" s="7">
        <v>1000000</v>
      </c>
      <c r="D7" s="7" t="s">
        <v>89</v>
      </c>
      <c r="E7" s="7" t="s">
        <v>214</v>
      </c>
      <c r="F7" s="8" t="s">
        <v>215</v>
      </c>
      <c r="G7" s="7"/>
      <c r="H7" s="7">
        <v>63608</v>
      </c>
      <c r="I7" s="7">
        <v>74759</v>
      </c>
      <c r="J7" s="7">
        <v>83441</v>
      </c>
      <c r="K7" s="7">
        <v>80689</v>
      </c>
      <c r="L7" s="7">
        <v>88948</v>
      </c>
      <c r="M7" s="7">
        <v>103053</v>
      </c>
      <c r="N7" s="7">
        <v>110547</v>
      </c>
      <c r="O7" s="7">
        <v>120353</v>
      </c>
      <c r="P7" s="7">
        <v>117730</v>
      </c>
      <c r="Q7" s="7">
        <v>128511</v>
      </c>
      <c r="R7" s="7">
        <v>140085</v>
      </c>
      <c r="S7" s="7">
        <v>146487</v>
      </c>
      <c r="T7" s="7">
        <v>143301</v>
      </c>
      <c r="U7" s="7">
        <v>156935</v>
      </c>
      <c r="V7" s="7">
        <v>165053</v>
      </c>
      <c r="W7" s="7">
        <v>168575</v>
      </c>
      <c r="X7" s="7">
        <v>181160</v>
      </c>
      <c r="Y7" s="7">
        <v>190566</v>
      </c>
      <c r="Z7" s="7">
        <v>204546</v>
      </c>
      <c r="AA7" s="7">
        <v>222158</v>
      </c>
      <c r="AB7" s="7">
        <v>245240</v>
      </c>
      <c r="AC7" s="7">
        <v>261618</v>
      </c>
      <c r="AD7" s="7">
        <v>288123</v>
      </c>
      <c r="AE7" s="7">
        <v>318845</v>
      </c>
      <c r="AF7" s="7">
        <v>334938</v>
      </c>
      <c r="AG7" s="7">
        <v>353484</v>
      </c>
      <c r="AH7" s="7">
        <v>389878</v>
      </c>
      <c r="AI7" s="7">
        <v>437318</v>
      </c>
      <c r="AJ7" s="7">
        <v>478534</v>
      </c>
      <c r="AK7" s="7">
        <v>495060</v>
      </c>
      <c r="AL7" s="7">
        <v>554587</v>
      </c>
      <c r="AM7" s="7">
        <v>621570</v>
      </c>
      <c r="AN7" s="7">
        <v>708962</v>
      </c>
      <c r="AO7" s="7">
        <v>802508</v>
      </c>
      <c r="AP7" s="7">
        <v>874675</v>
      </c>
      <c r="AQ7" s="7">
        <v>964258</v>
      </c>
      <c r="AR7" s="7">
        <v>994954</v>
      </c>
      <c r="AS7" s="7">
        <v>1044744</v>
      </c>
      <c r="AT7" s="7">
        <v>1160092</v>
      </c>
      <c r="AU7" s="7">
        <v>1243009</v>
      </c>
      <c r="AV7" s="7">
        <v>1307315</v>
      </c>
      <c r="AW7" s="7">
        <v>1397010</v>
      </c>
      <c r="AX7" s="7">
        <v>1514867</v>
      </c>
      <c r="AY7" s="7">
        <v>1600103</v>
      </c>
      <c r="AZ7" s="7">
        <v>1682877</v>
      </c>
      <c r="BA7" s="7">
        <v>1701727</v>
      </c>
      <c r="BB7" s="7">
        <v>1783873</v>
      </c>
      <c r="BC7" s="7">
        <v>1845450</v>
      </c>
      <c r="BD7" s="7">
        <v>1952818</v>
      </c>
      <c r="BE7" s="7">
        <v>2076882</v>
      </c>
      <c r="BF7" s="7">
        <v>2206890</v>
      </c>
      <c r="BG7" s="7">
        <v>2384240</v>
      </c>
      <c r="BH7" s="7">
        <v>2582624</v>
      </c>
      <c r="BI7" s="7">
        <v>2771099</v>
      </c>
      <c r="BJ7" s="7">
        <v>3008384</v>
      </c>
      <c r="BK7" s="7">
        <v>2991459</v>
      </c>
      <c r="BL7" s="7">
        <v>2937443</v>
      </c>
      <c r="BM7" s="7">
        <v>2960801</v>
      </c>
      <c r="BN7" s="7">
        <v>3098331</v>
      </c>
      <c r="BO7" s="7">
        <v>3236296</v>
      </c>
      <c r="BP7" s="7">
        <v>3418905</v>
      </c>
      <c r="BQ7" s="7">
        <v>3573381</v>
      </c>
      <c r="BR7" s="7">
        <v>3624655</v>
      </c>
      <c r="BS7" s="7">
        <v>3382810</v>
      </c>
      <c r="BT7" s="7">
        <v>3452257</v>
      </c>
      <c r="BU7" s="7">
        <v>3630646</v>
      </c>
      <c r="BV7" s="7">
        <v>3839250</v>
      </c>
      <c r="BW7" s="7">
        <v>3971082</v>
      </c>
      <c r="BX7" s="7">
        <v>4202500</v>
      </c>
      <c r="BY7" s="7">
        <v>4439668</v>
      </c>
      <c r="BZ7" s="7">
        <v>4574390</v>
      </c>
      <c r="CA7" s="7">
        <v>4804918</v>
      </c>
      <c r="CB7" s="7">
        <v>5068452</v>
      </c>
      <c r="CC7" s="7">
        <v>5323470</v>
      </c>
      <c r="CD7" s="7">
        <v>5351749</v>
      </c>
      <c r="CE7" s="7">
        <v>5919115</v>
      </c>
      <c r="CF7" s="7">
        <v>6451907</v>
      </c>
      <c r="CG7" s="7">
        <v>6796352</v>
      </c>
      <c r="CH7" s="7">
        <v>7152832</v>
      </c>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row>
    <row r="8" spans="1:166">
      <c r="A8" s="7" t="s">
        <v>216</v>
      </c>
      <c r="B8" s="7" t="s">
        <v>88</v>
      </c>
      <c r="C8" s="7">
        <v>1000000</v>
      </c>
      <c r="D8" s="7" t="s">
        <v>89</v>
      </c>
      <c r="E8" s="7" t="s">
        <v>217</v>
      </c>
      <c r="F8" s="8" t="s">
        <v>218</v>
      </c>
      <c r="G8" s="7"/>
      <c r="H8" s="7">
        <v>3245</v>
      </c>
      <c r="I8" s="7">
        <v>4004</v>
      </c>
      <c r="J8" s="7">
        <v>4026</v>
      </c>
      <c r="K8" s="7">
        <v>4213</v>
      </c>
      <c r="L8" s="7">
        <v>5439</v>
      </c>
      <c r="M8" s="7">
        <v>6755</v>
      </c>
      <c r="N8" s="7">
        <v>7223</v>
      </c>
      <c r="O8" s="7">
        <v>7845</v>
      </c>
      <c r="P8" s="7">
        <v>8215</v>
      </c>
      <c r="Q8" s="7">
        <v>9375</v>
      </c>
      <c r="R8" s="7">
        <v>10685</v>
      </c>
      <c r="S8" s="7">
        <v>11924</v>
      </c>
      <c r="T8" s="7">
        <v>11908</v>
      </c>
      <c r="U8" s="7">
        <v>13859</v>
      </c>
      <c r="V8" s="7">
        <v>15356</v>
      </c>
      <c r="W8" s="7">
        <v>15941</v>
      </c>
      <c r="X8" s="7">
        <v>18096</v>
      </c>
      <c r="Y8" s="7">
        <v>19540</v>
      </c>
      <c r="Z8" s="7">
        <v>21111</v>
      </c>
      <c r="AA8" s="7">
        <v>23242</v>
      </c>
      <c r="AB8" s="7">
        <v>27611</v>
      </c>
      <c r="AC8" s="7">
        <v>29446</v>
      </c>
      <c r="AD8" s="7">
        <v>32747</v>
      </c>
      <c r="AE8" s="7">
        <v>37220</v>
      </c>
      <c r="AF8" s="7">
        <v>39548</v>
      </c>
      <c r="AG8" s="7">
        <v>42705</v>
      </c>
      <c r="AH8" s="7">
        <v>50047</v>
      </c>
      <c r="AI8" s="7">
        <v>57782</v>
      </c>
      <c r="AJ8" s="7">
        <v>64401</v>
      </c>
      <c r="AK8" s="7">
        <v>73960</v>
      </c>
      <c r="AL8" s="7">
        <v>85419</v>
      </c>
      <c r="AM8" s="7">
        <v>101758</v>
      </c>
      <c r="AN8" s="7">
        <v>120538</v>
      </c>
      <c r="AO8" s="7">
        <v>139893</v>
      </c>
      <c r="AP8" s="7">
        <v>156018</v>
      </c>
      <c r="AQ8" s="7">
        <v>175594</v>
      </c>
      <c r="AR8" s="7">
        <v>188308</v>
      </c>
      <c r="AS8" s="7">
        <v>205367</v>
      </c>
      <c r="AT8" s="7">
        <v>228116</v>
      </c>
      <c r="AU8" s="7">
        <v>247080</v>
      </c>
      <c r="AV8" s="7">
        <v>270862</v>
      </c>
      <c r="AW8" s="7">
        <v>288448</v>
      </c>
      <c r="AX8" s="7">
        <v>310443</v>
      </c>
      <c r="AY8" s="7">
        <v>334721</v>
      </c>
      <c r="AZ8" s="7">
        <v>354647</v>
      </c>
      <c r="BA8" s="7">
        <v>369395</v>
      </c>
      <c r="BB8" s="7">
        <v>404802</v>
      </c>
      <c r="BC8" s="7">
        <v>425566</v>
      </c>
      <c r="BD8" s="7">
        <v>445855</v>
      </c>
      <c r="BE8" s="7">
        <v>447676</v>
      </c>
      <c r="BF8" s="7">
        <v>460814</v>
      </c>
      <c r="BG8" s="7">
        <v>478313</v>
      </c>
      <c r="BH8" s="7">
        <v>511210</v>
      </c>
      <c r="BI8" s="7">
        <v>538877</v>
      </c>
      <c r="BJ8" s="7">
        <v>588944</v>
      </c>
      <c r="BK8" s="7">
        <v>590846</v>
      </c>
      <c r="BL8" s="7">
        <v>603009</v>
      </c>
      <c r="BM8" s="7">
        <v>633506</v>
      </c>
      <c r="BN8" s="7">
        <v>663004</v>
      </c>
      <c r="BO8" s="7">
        <v>692450</v>
      </c>
      <c r="BP8" s="7">
        <v>708596</v>
      </c>
      <c r="BQ8" s="7">
        <v>733721</v>
      </c>
      <c r="BR8" s="7">
        <v>739612</v>
      </c>
      <c r="BS8" s="7">
        <v>712076</v>
      </c>
      <c r="BT8" s="7">
        <v>714342</v>
      </c>
      <c r="BU8" s="7">
        <v>742080</v>
      </c>
      <c r="BV8" s="7">
        <v>769089</v>
      </c>
      <c r="BW8" s="7">
        <v>802708</v>
      </c>
      <c r="BX8" s="7">
        <v>830418</v>
      </c>
      <c r="BY8" s="7">
        <v>864186</v>
      </c>
      <c r="BZ8" s="7">
        <v>874028</v>
      </c>
      <c r="CA8" s="7">
        <v>922682</v>
      </c>
      <c r="CB8" s="7">
        <v>978585</v>
      </c>
      <c r="CC8" s="7">
        <v>1020795</v>
      </c>
      <c r="CD8" s="7">
        <v>998345</v>
      </c>
      <c r="CE8" s="7">
        <v>1079619</v>
      </c>
      <c r="CF8" s="7">
        <v>1141490</v>
      </c>
      <c r="CG8" s="7">
        <v>1219275</v>
      </c>
      <c r="CH8" s="7">
        <v>1298274</v>
      </c>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row>
    <row r="9" spans="1:166">
      <c r="A9" s="7" t="s">
        <v>219</v>
      </c>
      <c r="B9" s="7" t="s">
        <v>88</v>
      </c>
      <c r="C9" s="7">
        <v>1000000</v>
      </c>
      <c r="D9" s="7" t="s">
        <v>89</v>
      </c>
      <c r="E9" s="7" t="s">
        <v>220</v>
      </c>
      <c r="F9" s="8" t="s">
        <v>221</v>
      </c>
      <c r="G9" s="7"/>
      <c r="H9" s="7">
        <v>9525</v>
      </c>
      <c r="I9" s="7">
        <v>11192</v>
      </c>
      <c r="J9" s="7">
        <v>12378</v>
      </c>
      <c r="K9" s="7">
        <v>12955</v>
      </c>
      <c r="L9" s="7">
        <v>14363</v>
      </c>
      <c r="M9" s="7">
        <v>15365</v>
      </c>
      <c r="N9" s="7">
        <v>16797</v>
      </c>
      <c r="O9" s="7">
        <v>17885</v>
      </c>
      <c r="P9" s="7">
        <v>17317</v>
      </c>
      <c r="Q9" s="7">
        <v>19160</v>
      </c>
      <c r="R9" s="7">
        <v>20803</v>
      </c>
      <c r="S9" s="7">
        <v>22049</v>
      </c>
      <c r="T9" s="7">
        <v>22306</v>
      </c>
      <c r="U9" s="7">
        <v>24397</v>
      </c>
      <c r="V9" s="7">
        <v>26600</v>
      </c>
      <c r="W9" s="7">
        <v>27620</v>
      </c>
      <c r="X9" s="7">
        <v>29869</v>
      </c>
      <c r="Y9" s="7">
        <v>31667</v>
      </c>
      <c r="Z9" s="7">
        <v>33878</v>
      </c>
      <c r="AA9" s="7">
        <v>36022</v>
      </c>
      <c r="AB9" s="7">
        <v>36973</v>
      </c>
      <c r="AC9" s="7">
        <v>39311</v>
      </c>
      <c r="AD9" s="7">
        <v>45535</v>
      </c>
      <c r="AE9" s="7">
        <v>50181</v>
      </c>
      <c r="AF9" s="7">
        <v>54249</v>
      </c>
      <c r="AG9" s="7">
        <v>59516</v>
      </c>
      <c r="AH9" s="7">
        <v>63665</v>
      </c>
      <c r="AI9" s="7">
        <v>70075</v>
      </c>
      <c r="AJ9" s="7">
        <v>74430</v>
      </c>
      <c r="AK9" s="7">
        <v>80194</v>
      </c>
      <c r="AL9" s="7">
        <v>86668</v>
      </c>
      <c r="AM9" s="7">
        <v>94631</v>
      </c>
      <c r="AN9" s="7">
        <v>102726</v>
      </c>
      <c r="AO9" s="7">
        <v>108757</v>
      </c>
      <c r="AP9" s="7">
        <v>121536</v>
      </c>
      <c r="AQ9" s="7">
        <v>146651</v>
      </c>
      <c r="AR9" s="7">
        <v>152915</v>
      </c>
      <c r="AS9" s="7">
        <v>168018</v>
      </c>
      <c r="AT9" s="7">
        <v>185003</v>
      </c>
      <c r="AU9" s="7">
        <v>196579</v>
      </c>
      <c r="AV9" s="7">
        <v>204565</v>
      </c>
      <c r="AW9" s="7">
        <v>216840</v>
      </c>
      <c r="AX9" s="7">
        <v>233839</v>
      </c>
      <c r="AY9" s="7">
        <v>248156</v>
      </c>
      <c r="AZ9" s="7">
        <v>263528</v>
      </c>
      <c r="BA9" s="7">
        <v>285729</v>
      </c>
      <c r="BB9" s="7">
        <v>302501</v>
      </c>
      <c r="BC9" s="7">
        <v>319322</v>
      </c>
      <c r="BD9" s="7">
        <v>350748</v>
      </c>
      <c r="BE9" s="7">
        <v>358668</v>
      </c>
      <c r="BF9" s="7">
        <v>371682</v>
      </c>
      <c r="BG9" s="7">
        <v>388899</v>
      </c>
      <c r="BH9" s="7">
        <v>402904</v>
      </c>
      <c r="BI9" s="7">
        <v>424637</v>
      </c>
      <c r="BJ9" s="7">
        <v>449869</v>
      </c>
      <c r="BK9" s="7">
        <v>441508</v>
      </c>
      <c r="BL9" s="7">
        <v>467032</v>
      </c>
      <c r="BM9" s="7">
        <v>491121</v>
      </c>
      <c r="BN9" s="7">
        <v>531742</v>
      </c>
      <c r="BO9" s="7">
        <v>575663</v>
      </c>
      <c r="BP9" s="7">
        <v>611791</v>
      </c>
      <c r="BQ9" s="7">
        <v>631280</v>
      </c>
      <c r="BR9" s="7">
        <v>637442</v>
      </c>
      <c r="BS9" s="7">
        <v>608504</v>
      </c>
      <c r="BT9" s="7">
        <v>638215</v>
      </c>
      <c r="BU9" s="7">
        <v>670849</v>
      </c>
      <c r="BV9" s="7">
        <v>695083</v>
      </c>
      <c r="BW9" s="7">
        <v>726675</v>
      </c>
      <c r="BX9" s="7">
        <v>754669</v>
      </c>
      <c r="BY9" s="7">
        <v>771216</v>
      </c>
      <c r="BZ9" s="7">
        <v>785160</v>
      </c>
      <c r="CA9" s="7">
        <v>825907</v>
      </c>
      <c r="CB9" s="7">
        <v>873480</v>
      </c>
      <c r="CC9" s="7">
        <v>928991</v>
      </c>
      <c r="CD9" s="7">
        <v>507876</v>
      </c>
      <c r="CE9" s="7">
        <v>702594</v>
      </c>
      <c r="CF9" s="7">
        <v>1104840</v>
      </c>
      <c r="CG9" s="7">
        <v>1115707</v>
      </c>
      <c r="CH9" s="7">
        <v>1165975</v>
      </c>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row>
    <row r="10" spans="1:166">
      <c r="A10" s="7" t="s">
        <v>222</v>
      </c>
      <c r="B10" s="7" t="s">
        <v>88</v>
      </c>
      <c r="C10" s="7">
        <v>1000000</v>
      </c>
      <c r="D10" s="7" t="s">
        <v>89</v>
      </c>
      <c r="E10" s="7" t="s">
        <v>223</v>
      </c>
      <c r="F10" s="8" t="s">
        <v>224</v>
      </c>
      <c r="G10" s="7"/>
      <c r="H10" s="7">
        <v>16641</v>
      </c>
      <c r="I10" s="7">
        <v>22780</v>
      </c>
      <c r="J10" s="7">
        <v>29076</v>
      </c>
      <c r="K10" s="7">
        <v>26426</v>
      </c>
      <c r="L10" s="7">
        <v>33268</v>
      </c>
      <c r="M10" s="7">
        <v>37834</v>
      </c>
      <c r="N10" s="7">
        <v>35736</v>
      </c>
      <c r="O10" s="7">
        <v>36232</v>
      </c>
      <c r="P10" s="7">
        <v>35177</v>
      </c>
      <c r="Q10" s="7">
        <v>45419</v>
      </c>
      <c r="R10" s="7">
        <v>44303</v>
      </c>
      <c r="S10" s="7">
        <v>43706</v>
      </c>
      <c r="T10" s="7">
        <v>39238</v>
      </c>
      <c r="U10" s="7">
        <v>49776</v>
      </c>
      <c r="V10" s="7">
        <v>47915</v>
      </c>
      <c r="W10" s="7">
        <v>49723</v>
      </c>
      <c r="X10" s="7">
        <v>57859</v>
      </c>
      <c r="Y10" s="7">
        <v>64717</v>
      </c>
      <c r="Z10" s="7">
        <v>71736</v>
      </c>
      <c r="AA10" s="7">
        <v>83492</v>
      </c>
      <c r="AB10" s="7">
        <v>90865</v>
      </c>
      <c r="AC10" s="7">
        <v>89366</v>
      </c>
      <c r="AD10" s="7">
        <v>96450</v>
      </c>
      <c r="AE10" s="7">
        <v>94896</v>
      </c>
      <c r="AF10" s="7">
        <v>84897</v>
      </c>
      <c r="AG10" s="7">
        <v>97659</v>
      </c>
      <c r="AH10" s="7">
        <v>112172</v>
      </c>
      <c r="AI10" s="7">
        <v>125483</v>
      </c>
      <c r="AJ10" s="7">
        <v>121293</v>
      </c>
      <c r="AK10" s="7">
        <v>141341</v>
      </c>
      <c r="AL10" s="7">
        <v>169722</v>
      </c>
      <c r="AM10" s="7">
        <v>196885</v>
      </c>
      <c r="AN10" s="7">
        <v>221555</v>
      </c>
      <c r="AO10" s="7">
        <v>226726</v>
      </c>
      <c r="AP10" s="7">
        <v>223441</v>
      </c>
      <c r="AQ10" s="7">
        <v>273482</v>
      </c>
      <c r="AR10" s="7">
        <v>264806</v>
      </c>
      <c r="AS10" s="7">
        <v>303156</v>
      </c>
      <c r="AT10" s="7">
        <v>373838</v>
      </c>
      <c r="AU10" s="7">
        <v>383523</v>
      </c>
      <c r="AV10" s="7">
        <v>364295</v>
      </c>
      <c r="AW10" s="7">
        <v>404914</v>
      </c>
      <c r="AX10" s="7">
        <v>456562</v>
      </c>
      <c r="AY10" s="7">
        <v>457077</v>
      </c>
      <c r="AZ10" s="7">
        <v>457023</v>
      </c>
      <c r="BA10" s="7">
        <v>450832</v>
      </c>
      <c r="BB10" s="7">
        <v>449070</v>
      </c>
      <c r="BC10" s="7">
        <v>488756</v>
      </c>
      <c r="BD10" s="7">
        <v>584812</v>
      </c>
      <c r="BE10" s="7">
        <v>637427</v>
      </c>
      <c r="BF10" s="7">
        <v>702809</v>
      </c>
      <c r="BG10" s="7">
        <v>763291</v>
      </c>
      <c r="BH10" s="7">
        <v>744345</v>
      </c>
      <c r="BI10" s="7">
        <v>754597</v>
      </c>
      <c r="BJ10" s="7">
        <v>726139</v>
      </c>
      <c r="BK10" s="7">
        <v>664886</v>
      </c>
      <c r="BL10" s="7">
        <v>731046</v>
      </c>
      <c r="BM10" s="7">
        <v>830127</v>
      </c>
      <c r="BN10" s="7">
        <v>988613</v>
      </c>
      <c r="BO10" s="7">
        <v>1157510</v>
      </c>
      <c r="BP10" s="7">
        <v>1297837</v>
      </c>
      <c r="BQ10" s="7">
        <v>1271769</v>
      </c>
      <c r="BR10" s="7">
        <v>1217246</v>
      </c>
      <c r="BS10" s="7">
        <v>1086020</v>
      </c>
      <c r="BT10" s="7">
        <v>1358883</v>
      </c>
      <c r="BU10" s="7">
        <v>1444028</v>
      </c>
      <c r="BV10" s="7">
        <v>1572717</v>
      </c>
      <c r="BW10" s="7">
        <v>1634506</v>
      </c>
      <c r="BX10" s="7">
        <v>1711434</v>
      </c>
      <c r="BY10" s="7">
        <v>1738998</v>
      </c>
      <c r="BZ10" s="7">
        <v>1671794</v>
      </c>
      <c r="CA10" s="7">
        <v>1708533</v>
      </c>
      <c r="CB10" s="7">
        <v>1835143</v>
      </c>
      <c r="CC10" s="7">
        <v>1861863</v>
      </c>
      <c r="CD10" s="7">
        <v>1912578</v>
      </c>
      <c r="CE10" s="7">
        <v>2555943</v>
      </c>
      <c r="CF10" s="7">
        <v>2736706</v>
      </c>
      <c r="CG10" s="7">
        <v>2877736</v>
      </c>
      <c r="CH10" s="7">
        <v>2957761</v>
      </c>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row>
    <row r="11" spans="1:166">
      <c r="A11" s="7" t="s">
        <v>225</v>
      </c>
      <c r="B11" s="7" t="s">
        <v>88</v>
      </c>
      <c r="C11" s="7">
        <v>1000000</v>
      </c>
      <c r="D11" s="7" t="s">
        <v>89</v>
      </c>
      <c r="E11" s="7" t="s">
        <v>226</v>
      </c>
      <c r="F11" s="8" t="s">
        <v>227</v>
      </c>
      <c r="G11" s="7"/>
      <c r="H11" s="7">
        <v>11691</v>
      </c>
      <c r="I11" s="7">
        <v>17178</v>
      </c>
      <c r="J11" s="7">
        <v>22790</v>
      </c>
      <c r="K11" s="7">
        <v>19666</v>
      </c>
      <c r="L11" s="7">
        <v>25268</v>
      </c>
      <c r="M11" s="7">
        <v>30255</v>
      </c>
      <c r="N11" s="7">
        <v>28124</v>
      </c>
      <c r="O11" s="7">
        <v>28127</v>
      </c>
      <c r="P11" s="7">
        <v>26579</v>
      </c>
      <c r="Q11" s="7">
        <v>36064</v>
      </c>
      <c r="R11" s="7">
        <v>34389</v>
      </c>
      <c r="S11" s="7">
        <v>33101</v>
      </c>
      <c r="T11" s="7">
        <v>28071</v>
      </c>
      <c r="U11" s="7">
        <v>37817</v>
      </c>
      <c r="V11" s="7">
        <v>35323</v>
      </c>
      <c r="W11" s="7">
        <v>36268</v>
      </c>
      <c r="X11" s="7">
        <v>42907</v>
      </c>
      <c r="Y11" s="7">
        <v>48847</v>
      </c>
      <c r="Z11" s="7">
        <v>53720</v>
      </c>
      <c r="AA11" s="7">
        <v>62726</v>
      </c>
      <c r="AB11" s="7">
        <v>68620</v>
      </c>
      <c r="AC11" s="7">
        <v>65110</v>
      </c>
      <c r="AD11" s="7">
        <v>69524</v>
      </c>
      <c r="AE11" s="7">
        <v>65045</v>
      </c>
      <c r="AF11" s="7">
        <v>51846</v>
      </c>
      <c r="AG11" s="7">
        <v>63700</v>
      </c>
      <c r="AH11" s="7">
        <v>77044</v>
      </c>
      <c r="AI11" s="7">
        <v>88821</v>
      </c>
      <c r="AJ11" s="7">
        <v>77041</v>
      </c>
      <c r="AK11" s="7">
        <v>92162</v>
      </c>
      <c r="AL11" s="7">
        <v>119258</v>
      </c>
      <c r="AM11" s="7">
        <v>140639</v>
      </c>
      <c r="AN11" s="7">
        <v>160201</v>
      </c>
      <c r="AO11" s="7">
        <v>163211</v>
      </c>
      <c r="AP11" s="7">
        <v>138611</v>
      </c>
      <c r="AQ11" s="7">
        <v>161725</v>
      </c>
      <c r="AR11" s="7">
        <v>142286</v>
      </c>
      <c r="AS11" s="7">
        <v>178382</v>
      </c>
      <c r="AT11" s="7">
        <v>235069</v>
      </c>
      <c r="AU11" s="7">
        <v>238455</v>
      </c>
      <c r="AV11" s="7">
        <v>203986</v>
      </c>
      <c r="AW11" s="7">
        <v>241352</v>
      </c>
      <c r="AX11" s="7">
        <v>261424</v>
      </c>
      <c r="AY11" s="7">
        <v>224411</v>
      </c>
      <c r="AZ11" s="7">
        <v>215473</v>
      </c>
      <c r="BA11" s="7">
        <v>216450</v>
      </c>
      <c r="BB11" s="7">
        <v>224043</v>
      </c>
      <c r="BC11" s="7">
        <v>271234</v>
      </c>
      <c r="BD11" s="7">
        <v>343279</v>
      </c>
      <c r="BE11" s="7">
        <v>384733</v>
      </c>
      <c r="BF11" s="7">
        <v>438728</v>
      </c>
      <c r="BG11" s="7">
        <v>471190</v>
      </c>
      <c r="BH11" s="7">
        <v>407932</v>
      </c>
      <c r="BI11" s="7">
        <v>442018</v>
      </c>
      <c r="BJ11" s="7">
        <v>381340</v>
      </c>
      <c r="BK11" s="7">
        <v>307053</v>
      </c>
      <c r="BL11" s="7">
        <v>371434</v>
      </c>
      <c r="BM11" s="7">
        <v>471072</v>
      </c>
      <c r="BN11" s="7">
        <v>573456</v>
      </c>
      <c r="BO11" s="7">
        <v>778298</v>
      </c>
      <c r="BP11" s="7">
        <v>780237</v>
      </c>
      <c r="BQ11" s="7">
        <v>692178</v>
      </c>
      <c r="BR11" s="7">
        <v>572400</v>
      </c>
      <c r="BS11" s="7">
        <v>603015</v>
      </c>
      <c r="BT11" s="7">
        <v>882410</v>
      </c>
      <c r="BU11" s="7">
        <v>889300</v>
      </c>
      <c r="BV11" s="7">
        <v>911927</v>
      </c>
      <c r="BW11" s="7">
        <v>1000160</v>
      </c>
      <c r="BX11" s="7">
        <v>981985</v>
      </c>
      <c r="BY11" s="7">
        <v>926527</v>
      </c>
      <c r="BZ11" s="7">
        <v>800094</v>
      </c>
      <c r="CA11" s="7">
        <v>833682</v>
      </c>
      <c r="CB11" s="7">
        <v>871002</v>
      </c>
      <c r="CC11" s="7">
        <v>865254</v>
      </c>
      <c r="CD11" s="7">
        <v>858010</v>
      </c>
      <c r="CE11" s="7">
        <v>1114471</v>
      </c>
      <c r="CF11" s="7">
        <v>1209740</v>
      </c>
      <c r="CG11" s="7">
        <v>1316676</v>
      </c>
      <c r="CH11" s="7">
        <v>1302951</v>
      </c>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row>
    <row r="12" spans="1:166">
      <c r="A12" s="7" t="s">
        <v>222</v>
      </c>
      <c r="B12" s="7" t="s">
        <v>88</v>
      </c>
      <c r="C12" s="7">
        <v>1000000</v>
      </c>
      <c r="D12" s="7" t="s">
        <v>89</v>
      </c>
      <c r="E12" s="7" t="s">
        <v>223</v>
      </c>
      <c r="F12" s="8" t="s">
        <v>224</v>
      </c>
      <c r="G12" s="7"/>
      <c r="H12" s="7">
        <v>16641</v>
      </c>
      <c r="I12" s="7">
        <v>22780</v>
      </c>
      <c r="J12" s="7">
        <v>29076</v>
      </c>
      <c r="K12" s="7">
        <v>26426</v>
      </c>
      <c r="L12" s="7">
        <v>33268</v>
      </c>
      <c r="M12" s="7">
        <v>37834</v>
      </c>
      <c r="N12" s="7">
        <v>35736</v>
      </c>
      <c r="O12" s="7">
        <v>36232</v>
      </c>
      <c r="P12" s="7">
        <v>35177</v>
      </c>
      <c r="Q12" s="7">
        <v>45419</v>
      </c>
      <c r="R12" s="7">
        <v>44303</v>
      </c>
      <c r="S12" s="7">
        <v>43706</v>
      </c>
      <c r="T12" s="7">
        <v>39238</v>
      </c>
      <c r="U12" s="7">
        <v>49776</v>
      </c>
      <c r="V12" s="7">
        <v>47915</v>
      </c>
      <c r="W12" s="7">
        <v>49723</v>
      </c>
      <c r="X12" s="7">
        <v>57859</v>
      </c>
      <c r="Y12" s="7">
        <v>64717</v>
      </c>
      <c r="Z12" s="7">
        <v>71736</v>
      </c>
      <c r="AA12" s="7">
        <v>83492</v>
      </c>
      <c r="AB12" s="7">
        <v>90865</v>
      </c>
      <c r="AC12" s="7">
        <v>89366</v>
      </c>
      <c r="AD12" s="7">
        <v>96450</v>
      </c>
      <c r="AE12" s="7">
        <v>94896</v>
      </c>
      <c r="AF12" s="7">
        <v>84897</v>
      </c>
      <c r="AG12" s="7">
        <v>97659</v>
      </c>
      <c r="AH12" s="7">
        <v>112172</v>
      </c>
      <c r="AI12" s="7">
        <v>125483</v>
      </c>
      <c r="AJ12" s="7">
        <v>121293</v>
      </c>
      <c r="AK12" s="7">
        <v>141341</v>
      </c>
      <c r="AL12" s="7">
        <v>169722</v>
      </c>
      <c r="AM12" s="7">
        <v>196885</v>
      </c>
      <c r="AN12" s="7">
        <v>221555</v>
      </c>
      <c r="AO12" s="7">
        <v>226726</v>
      </c>
      <c r="AP12" s="7">
        <v>223441</v>
      </c>
      <c r="AQ12" s="7">
        <v>273482</v>
      </c>
      <c r="AR12" s="7">
        <v>264806</v>
      </c>
      <c r="AS12" s="7">
        <v>303156</v>
      </c>
      <c r="AT12" s="7">
        <v>373838</v>
      </c>
      <c r="AU12" s="7">
        <v>383523</v>
      </c>
      <c r="AV12" s="7">
        <v>364295</v>
      </c>
      <c r="AW12" s="7">
        <v>404914</v>
      </c>
      <c r="AX12" s="7">
        <v>456562</v>
      </c>
      <c r="AY12" s="7">
        <v>457077</v>
      </c>
      <c r="AZ12" s="7">
        <v>457023</v>
      </c>
      <c r="BA12" s="7">
        <v>450832</v>
      </c>
      <c r="BB12" s="7">
        <v>449070</v>
      </c>
      <c r="BC12" s="7">
        <v>488756</v>
      </c>
      <c r="BD12" s="7">
        <v>584812</v>
      </c>
      <c r="BE12" s="7">
        <v>637427</v>
      </c>
      <c r="BF12" s="7">
        <v>702809</v>
      </c>
      <c r="BG12" s="7">
        <v>763291</v>
      </c>
      <c r="BH12" s="7">
        <v>744345</v>
      </c>
      <c r="BI12" s="7">
        <v>754597</v>
      </c>
      <c r="BJ12" s="7">
        <v>726139</v>
      </c>
      <c r="BK12" s="7">
        <v>664886</v>
      </c>
      <c r="BL12" s="7">
        <v>731046</v>
      </c>
      <c r="BM12" s="7">
        <v>830127</v>
      </c>
      <c r="BN12" s="7">
        <v>988613</v>
      </c>
      <c r="BO12" s="7">
        <v>1157510</v>
      </c>
      <c r="BP12" s="7">
        <v>1297837</v>
      </c>
      <c r="BQ12" s="7">
        <v>1271769</v>
      </c>
      <c r="BR12" s="7">
        <v>1217246</v>
      </c>
      <c r="BS12" s="7">
        <v>1086020</v>
      </c>
      <c r="BT12" s="7">
        <v>1358883</v>
      </c>
      <c r="BU12" s="7">
        <v>1444028</v>
      </c>
      <c r="BV12" s="7">
        <v>1572717</v>
      </c>
      <c r="BW12" s="7">
        <v>1634506</v>
      </c>
      <c r="BX12" s="7">
        <v>1711434</v>
      </c>
      <c r="BY12" s="7">
        <v>1738998</v>
      </c>
      <c r="BZ12" s="7">
        <v>1671794</v>
      </c>
      <c r="CA12" s="7">
        <v>1708533</v>
      </c>
      <c r="CB12" s="7">
        <v>1835143</v>
      </c>
      <c r="CC12" s="7">
        <v>1861863</v>
      </c>
      <c r="CD12" s="7">
        <v>1912578</v>
      </c>
      <c r="CE12" s="7">
        <v>2555943</v>
      </c>
      <c r="CF12" s="7">
        <v>2736706</v>
      </c>
      <c r="CG12" s="7">
        <v>2877736</v>
      </c>
      <c r="CH12" s="7">
        <v>2957761</v>
      </c>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row>
    <row r="13" spans="1:166">
      <c r="A13" s="7" t="s">
        <v>228</v>
      </c>
      <c r="B13" s="7" t="s">
        <v>88</v>
      </c>
      <c r="C13" s="7">
        <v>1000000</v>
      </c>
      <c r="D13" s="7" t="s">
        <v>89</v>
      </c>
      <c r="E13" s="7" t="s">
        <v>229</v>
      </c>
      <c r="F13" s="8" t="s">
        <v>230</v>
      </c>
      <c r="G13" s="7"/>
      <c r="H13" s="7">
        <v>3029</v>
      </c>
      <c r="I13" s="7">
        <v>3302</v>
      </c>
      <c r="J13" s="7">
        <v>3773</v>
      </c>
      <c r="K13" s="7">
        <v>3705</v>
      </c>
      <c r="L13" s="7">
        <v>4240</v>
      </c>
      <c r="M13" s="7">
        <v>4728</v>
      </c>
      <c r="N13" s="7">
        <v>5002</v>
      </c>
      <c r="O13" s="7">
        <v>5062</v>
      </c>
      <c r="P13" s="7">
        <v>5010</v>
      </c>
      <c r="Q13" s="7">
        <v>5890</v>
      </c>
      <c r="R13" s="7">
        <v>6540</v>
      </c>
      <c r="S13" s="7">
        <v>7002</v>
      </c>
      <c r="T13" s="7">
        <v>6608</v>
      </c>
      <c r="U13" s="7">
        <v>7312</v>
      </c>
      <c r="V13" s="7">
        <v>8140</v>
      </c>
      <c r="W13" s="7">
        <v>8557</v>
      </c>
      <c r="X13" s="7">
        <v>9256</v>
      </c>
      <c r="Y13" s="7">
        <v>10170</v>
      </c>
      <c r="Z13" s="7">
        <v>10840</v>
      </c>
      <c r="AA13" s="7">
        <v>11301</v>
      </c>
      <c r="AB13" s="7">
        <v>12026</v>
      </c>
      <c r="AC13" s="7">
        <v>13110</v>
      </c>
      <c r="AD13" s="7">
        <v>15463</v>
      </c>
      <c r="AE13" s="7">
        <v>18898</v>
      </c>
      <c r="AF13" s="7">
        <v>21655</v>
      </c>
      <c r="AG13" s="7">
        <v>23483</v>
      </c>
      <c r="AH13" s="7">
        <v>27344</v>
      </c>
      <c r="AI13" s="7">
        <v>39185</v>
      </c>
      <c r="AJ13" s="7">
        <v>51529</v>
      </c>
      <c r="AK13" s="7">
        <v>47922</v>
      </c>
      <c r="AL13" s="7">
        <v>54265</v>
      </c>
      <c r="AM13" s="7">
        <v>61536</v>
      </c>
      <c r="AN13" s="7">
        <v>72774</v>
      </c>
      <c r="AO13" s="7">
        <v>100173</v>
      </c>
      <c r="AP13" s="7">
        <v>116351</v>
      </c>
      <c r="AQ13" s="7">
        <v>132530</v>
      </c>
      <c r="AR13" s="7">
        <v>141224</v>
      </c>
      <c r="AS13" s="7">
        <v>146984</v>
      </c>
      <c r="AT13" s="7">
        <v>165334</v>
      </c>
      <c r="AU13" s="7">
        <v>174018</v>
      </c>
      <c r="AV13" s="7">
        <v>181637</v>
      </c>
      <c r="AW13" s="7">
        <v>191899</v>
      </c>
      <c r="AX13" s="7">
        <v>220401</v>
      </c>
      <c r="AY13" s="7">
        <v>245480</v>
      </c>
      <c r="AZ13" s="7">
        <v>255378</v>
      </c>
      <c r="BA13" s="7">
        <v>247085</v>
      </c>
      <c r="BB13" s="7">
        <v>234416</v>
      </c>
      <c r="BC13" s="7">
        <v>233650</v>
      </c>
      <c r="BD13" s="7">
        <v>248463</v>
      </c>
      <c r="BE13" s="7">
        <v>298604</v>
      </c>
      <c r="BF13" s="7">
        <v>329942</v>
      </c>
      <c r="BG13" s="7">
        <v>364127</v>
      </c>
      <c r="BH13" s="7">
        <v>340182</v>
      </c>
      <c r="BI13" s="7">
        <v>373621</v>
      </c>
      <c r="BJ13" s="7">
        <v>448050</v>
      </c>
      <c r="BK13" s="7">
        <v>405929</v>
      </c>
      <c r="BL13" s="7">
        <v>392816</v>
      </c>
      <c r="BM13" s="7">
        <v>414664</v>
      </c>
      <c r="BN13" s="7">
        <v>476352</v>
      </c>
      <c r="BO13" s="7">
        <v>609840</v>
      </c>
      <c r="BP13" s="7">
        <v>646915</v>
      </c>
      <c r="BQ13" s="7">
        <v>676494</v>
      </c>
      <c r="BR13" s="7">
        <v>613293</v>
      </c>
      <c r="BS13" s="7">
        <v>556944</v>
      </c>
      <c r="BT13" s="7">
        <v>573129</v>
      </c>
      <c r="BU13" s="7">
        <v>545374</v>
      </c>
      <c r="BV13" s="7">
        <v>528000</v>
      </c>
      <c r="BW13" s="7">
        <v>536967</v>
      </c>
      <c r="BX13" s="7">
        <v>536996</v>
      </c>
      <c r="BY13" s="7">
        <v>543695</v>
      </c>
      <c r="BZ13" s="7">
        <v>520569</v>
      </c>
      <c r="CA13" s="7">
        <v>595782</v>
      </c>
      <c r="CB13" s="7">
        <v>913329</v>
      </c>
      <c r="CC13" s="7">
        <v>767967</v>
      </c>
      <c r="CD13" s="7">
        <v>538199</v>
      </c>
      <c r="CE13" s="7">
        <v>486986</v>
      </c>
      <c r="CF13" s="7">
        <v>551239</v>
      </c>
      <c r="CG13" s="7">
        <v>668119</v>
      </c>
      <c r="CH13" s="7">
        <v>778827</v>
      </c>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row>
    <row r="14" spans="1:166">
      <c r="A14" s="7" t="s">
        <v>231</v>
      </c>
      <c r="B14" s="7" t="s">
        <v>88</v>
      </c>
      <c r="C14" s="7">
        <v>1000000</v>
      </c>
      <c r="D14" s="7" t="s">
        <v>89</v>
      </c>
      <c r="E14" s="7" t="s">
        <v>232</v>
      </c>
      <c r="F14" s="8" t="s">
        <v>233</v>
      </c>
      <c r="G14" s="7"/>
      <c r="H14" s="7">
        <v>1020</v>
      </c>
      <c r="I14" s="7">
        <v>994</v>
      </c>
      <c r="J14" s="7">
        <v>1060</v>
      </c>
      <c r="K14" s="7">
        <v>1122</v>
      </c>
      <c r="L14" s="7">
        <v>1279</v>
      </c>
      <c r="M14" s="7">
        <v>1422</v>
      </c>
      <c r="N14" s="7">
        <v>1580</v>
      </c>
      <c r="O14" s="7">
        <v>1684</v>
      </c>
      <c r="P14" s="7">
        <v>1672</v>
      </c>
      <c r="Q14" s="7">
        <v>1948</v>
      </c>
      <c r="R14" s="7">
        <v>2232</v>
      </c>
      <c r="S14" s="7">
        <v>2488</v>
      </c>
      <c r="T14" s="7">
        <v>2432</v>
      </c>
      <c r="U14" s="7">
        <v>2852</v>
      </c>
      <c r="V14" s="7">
        <v>3264</v>
      </c>
      <c r="W14" s="7">
        <v>3324</v>
      </c>
      <c r="X14" s="7">
        <v>3608</v>
      </c>
      <c r="Y14" s="7">
        <v>4080</v>
      </c>
      <c r="Z14" s="7">
        <v>4436</v>
      </c>
      <c r="AA14" s="7">
        <v>4644</v>
      </c>
      <c r="AB14" s="7">
        <v>5316</v>
      </c>
      <c r="AC14" s="7">
        <v>5996</v>
      </c>
      <c r="AD14" s="7">
        <v>7308</v>
      </c>
      <c r="AE14" s="7">
        <v>9856</v>
      </c>
      <c r="AF14" s="7">
        <v>11872</v>
      </c>
      <c r="AG14" s="7">
        <v>12580</v>
      </c>
      <c r="AH14" s="7">
        <v>13912</v>
      </c>
      <c r="AI14" s="7">
        <v>18112</v>
      </c>
      <c r="AJ14" s="7">
        <v>23792</v>
      </c>
      <c r="AK14" s="7">
        <v>27656</v>
      </c>
      <c r="AL14" s="7">
        <v>28292</v>
      </c>
      <c r="AM14" s="7">
        <v>31872</v>
      </c>
      <c r="AN14" s="7">
        <v>39200</v>
      </c>
      <c r="AO14" s="7">
        <v>51740</v>
      </c>
      <c r="AP14" s="7">
        <v>67212</v>
      </c>
      <c r="AQ14" s="7">
        <v>89624</v>
      </c>
      <c r="AR14" s="7">
        <v>97616</v>
      </c>
      <c r="AS14" s="7">
        <v>98088</v>
      </c>
      <c r="AT14" s="7">
        <v>110776</v>
      </c>
      <c r="AU14" s="7">
        <v>122984</v>
      </c>
      <c r="AV14" s="7">
        <v>131756</v>
      </c>
      <c r="AW14" s="7">
        <v>133772</v>
      </c>
      <c r="AX14" s="7">
        <v>150720</v>
      </c>
      <c r="AY14" s="7">
        <v>178412</v>
      </c>
      <c r="AZ14" s="7">
        <v>182452</v>
      </c>
      <c r="BA14" s="7">
        <v>179912</v>
      </c>
      <c r="BB14" s="7">
        <v>164308</v>
      </c>
      <c r="BC14" s="7">
        <v>155000</v>
      </c>
      <c r="BD14" s="7">
        <v>169404</v>
      </c>
      <c r="BE14" s="7">
        <v>193012</v>
      </c>
      <c r="BF14" s="7">
        <v>215488</v>
      </c>
      <c r="BG14" s="7">
        <v>235788</v>
      </c>
      <c r="BH14" s="7">
        <v>226228</v>
      </c>
      <c r="BI14" s="7">
        <v>240360</v>
      </c>
      <c r="BJ14" s="7">
        <v>284136</v>
      </c>
      <c r="BK14" s="7">
        <v>267764</v>
      </c>
      <c r="BL14" s="7">
        <v>244236</v>
      </c>
      <c r="BM14" s="7">
        <v>231876</v>
      </c>
      <c r="BN14" s="7">
        <v>249964</v>
      </c>
      <c r="BO14" s="7">
        <v>300012</v>
      </c>
      <c r="BP14" s="7">
        <v>368216</v>
      </c>
      <c r="BQ14" s="7">
        <v>373644</v>
      </c>
      <c r="BR14" s="7">
        <v>293484</v>
      </c>
      <c r="BS14" s="7">
        <v>206916</v>
      </c>
      <c r="BT14" s="7">
        <v>172316</v>
      </c>
      <c r="BU14" s="7">
        <v>172844</v>
      </c>
      <c r="BV14" s="7">
        <v>159028</v>
      </c>
      <c r="BW14" s="7">
        <v>147172</v>
      </c>
      <c r="BX14" s="7">
        <v>147532</v>
      </c>
      <c r="BY14" s="7">
        <v>150800</v>
      </c>
      <c r="BZ14" s="7">
        <v>151404</v>
      </c>
      <c r="CA14" s="7">
        <v>166436</v>
      </c>
      <c r="CB14" s="7">
        <v>188788</v>
      </c>
      <c r="CC14" s="7">
        <v>240244</v>
      </c>
      <c r="CD14" s="7">
        <v>172351</v>
      </c>
      <c r="CE14" s="7">
        <v>158354</v>
      </c>
      <c r="CF14" s="7">
        <v>243274</v>
      </c>
      <c r="CG14" s="7">
        <v>426073</v>
      </c>
      <c r="CH14" s="7">
        <v>471894</v>
      </c>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row>
    <row r="15" spans="1:166">
      <c r="A15" s="7" t="s">
        <v>234</v>
      </c>
      <c r="B15" s="7" t="s">
        <v>88</v>
      </c>
      <c r="C15" s="7">
        <v>1000000</v>
      </c>
      <c r="D15" s="7" t="s">
        <v>89</v>
      </c>
      <c r="E15" s="7" t="s">
        <v>235</v>
      </c>
      <c r="F15" s="8" t="s">
        <v>236</v>
      </c>
      <c r="G15" s="7"/>
      <c r="H15" s="7">
        <v>1527</v>
      </c>
      <c r="I15" s="7">
        <v>1825</v>
      </c>
      <c r="J15" s="7">
        <v>2150</v>
      </c>
      <c r="K15" s="7">
        <v>2161</v>
      </c>
      <c r="L15" s="7">
        <v>2501</v>
      </c>
      <c r="M15" s="7">
        <v>2579</v>
      </c>
      <c r="N15" s="7">
        <v>2527</v>
      </c>
      <c r="O15" s="7">
        <v>2578</v>
      </c>
      <c r="P15" s="7">
        <v>2659</v>
      </c>
      <c r="Q15" s="7">
        <v>3013</v>
      </c>
      <c r="R15" s="7">
        <v>3173</v>
      </c>
      <c r="S15" s="7">
        <v>3197</v>
      </c>
      <c r="T15" s="7">
        <v>3264</v>
      </c>
      <c r="U15" s="7">
        <v>3410</v>
      </c>
      <c r="V15" s="7">
        <v>3569</v>
      </c>
      <c r="W15" s="7">
        <v>4116</v>
      </c>
      <c r="X15" s="7">
        <v>4383</v>
      </c>
      <c r="Y15" s="7">
        <v>4511</v>
      </c>
      <c r="Z15" s="7">
        <v>4875</v>
      </c>
      <c r="AA15" s="7">
        <v>4991</v>
      </c>
      <c r="AB15" s="7">
        <v>4756</v>
      </c>
      <c r="AC15" s="7">
        <v>5153</v>
      </c>
      <c r="AD15" s="7">
        <v>5502</v>
      </c>
      <c r="AE15" s="7">
        <v>5971</v>
      </c>
      <c r="AF15" s="7">
        <v>6317</v>
      </c>
      <c r="AG15" s="7">
        <v>7343</v>
      </c>
      <c r="AH15" s="7">
        <v>8442</v>
      </c>
      <c r="AI15" s="7">
        <v>12489</v>
      </c>
      <c r="AJ15" s="7">
        <v>19404</v>
      </c>
      <c r="AK15" s="7">
        <v>11492</v>
      </c>
      <c r="AL15" s="7">
        <v>17233</v>
      </c>
      <c r="AM15" s="7">
        <v>20507</v>
      </c>
      <c r="AN15" s="7">
        <v>20047</v>
      </c>
      <c r="AO15" s="7">
        <v>26965</v>
      </c>
      <c r="AP15" s="7">
        <v>27968</v>
      </c>
      <c r="AQ15" s="7">
        <v>26524</v>
      </c>
      <c r="AR15" s="7">
        <v>31614</v>
      </c>
      <c r="AS15" s="7">
        <v>28925</v>
      </c>
      <c r="AT15" s="7">
        <v>30262</v>
      </c>
      <c r="AU15" s="7">
        <v>27391</v>
      </c>
      <c r="AV15" s="7">
        <v>30830</v>
      </c>
      <c r="AW15" s="7">
        <v>29850</v>
      </c>
      <c r="AX15" s="7">
        <v>45771</v>
      </c>
      <c r="AY15" s="7">
        <v>42516</v>
      </c>
      <c r="AZ15" s="7">
        <v>40248</v>
      </c>
      <c r="BA15" s="7">
        <v>37262</v>
      </c>
      <c r="BB15" s="7">
        <v>40663</v>
      </c>
      <c r="BC15" s="7">
        <v>36117</v>
      </c>
      <c r="BD15" s="7">
        <v>40808</v>
      </c>
      <c r="BE15" s="7">
        <v>45368</v>
      </c>
      <c r="BF15" s="7">
        <v>52696</v>
      </c>
      <c r="BG15" s="7">
        <v>62333</v>
      </c>
      <c r="BH15" s="7">
        <v>58216</v>
      </c>
      <c r="BI15" s="7">
        <v>59710</v>
      </c>
      <c r="BJ15" s="7">
        <v>62031</v>
      </c>
      <c r="BK15" s="7">
        <v>53904</v>
      </c>
      <c r="BL15" s="7">
        <v>50308</v>
      </c>
      <c r="BM15" s="7">
        <v>55828</v>
      </c>
      <c r="BN15" s="7">
        <v>66281</v>
      </c>
      <c r="BO15" s="7">
        <v>300259</v>
      </c>
      <c r="BP15" s="7">
        <v>79678</v>
      </c>
      <c r="BQ15" s="7">
        <v>92336</v>
      </c>
      <c r="BR15" s="7">
        <v>108064</v>
      </c>
      <c r="BS15" s="7">
        <v>139031</v>
      </c>
      <c r="BT15" s="7">
        <v>134462</v>
      </c>
      <c r="BU15" s="7">
        <v>94854</v>
      </c>
      <c r="BV15" s="7">
        <v>106972</v>
      </c>
      <c r="BW15" s="7">
        <v>100632</v>
      </c>
      <c r="BX15" s="7">
        <v>103029</v>
      </c>
      <c r="BY15" s="7">
        <v>125542</v>
      </c>
      <c r="BZ15" s="7">
        <v>102460</v>
      </c>
      <c r="CA15" s="7">
        <v>102041</v>
      </c>
      <c r="CB15" s="7">
        <v>947169</v>
      </c>
      <c r="CC15" s="7">
        <v>379070</v>
      </c>
      <c r="CD15" s="7">
        <v>197100</v>
      </c>
      <c r="CE15" s="7">
        <v>93422</v>
      </c>
      <c r="CF15" s="7">
        <v>83887</v>
      </c>
      <c r="CG15" s="7">
        <v>46743</v>
      </c>
      <c r="CH15" s="7">
        <v>46141</v>
      </c>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row>
    <row r="16" spans="1:166">
      <c r="A16" s="7" t="s">
        <v>237</v>
      </c>
      <c r="B16" s="7" t="s">
        <v>88</v>
      </c>
      <c r="C16" s="7">
        <v>1000000</v>
      </c>
      <c r="D16" s="7" t="s">
        <v>89</v>
      </c>
      <c r="E16" s="7" t="s">
        <v>238</v>
      </c>
      <c r="F16" s="8" t="s">
        <v>239</v>
      </c>
      <c r="G16" s="7"/>
      <c r="H16" s="7">
        <v>482</v>
      </c>
      <c r="I16" s="7">
        <v>483</v>
      </c>
      <c r="J16" s="7">
        <v>563</v>
      </c>
      <c r="K16" s="7">
        <v>422</v>
      </c>
      <c r="L16" s="7">
        <v>460</v>
      </c>
      <c r="M16" s="7">
        <v>727</v>
      </c>
      <c r="N16" s="7">
        <v>895</v>
      </c>
      <c r="O16" s="7">
        <v>800</v>
      </c>
      <c r="P16" s="7">
        <v>679</v>
      </c>
      <c r="Q16" s="7">
        <v>929</v>
      </c>
      <c r="R16" s="7">
        <v>1135</v>
      </c>
      <c r="S16" s="7">
        <v>1317</v>
      </c>
      <c r="T16" s="7">
        <v>912</v>
      </c>
      <c r="U16" s="7">
        <v>1050</v>
      </c>
      <c r="V16" s="7">
        <v>1307</v>
      </c>
      <c r="W16" s="7">
        <v>1117</v>
      </c>
      <c r="X16" s="7">
        <v>1265</v>
      </c>
      <c r="Y16" s="7">
        <v>1579</v>
      </c>
      <c r="Z16" s="7">
        <v>1529</v>
      </c>
      <c r="AA16" s="7">
        <v>1666</v>
      </c>
      <c r="AB16" s="7">
        <v>1954</v>
      </c>
      <c r="AC16" s="7">
        <v>1961</v>
      </c>
      <c r="AD16" s="7">
        <v>2653</v>
      </c>
      <c r="AE16" s="7">
        <v>3071</v>
      </c>
      <c r="AF16" s="7">
        <v>3466</v>
      </c>
      <c r="AG16" s="7">
        <v>3560</v>
      </c>
      <c r="AH16" s="7">
        <v>4990</v>
      </c>
      <c r="AI16" s="7">
        <v>8584</v>
      </c>
      <c r="AJ16" s="7">
        <v>8333</v>
      </c>
      <c r="AK16" s="7">
        <v>8774</v>
      </c>
      <c r="AL16" s="7">
        <v>8740</v>
      </c>
      <c r="AM16" s="7">
        <v>9157</v>
      </c>
      <c r="AN16" s="7">
        <v>13527</v>
      </c>
      <c r="AO16" s="7">
        <v>21468</v>
      </c>
      <c r="AP16" s="7">
        <v>21171</v>
      </c>
      <c r="AQ16" s="7">
        <v>16382</v>
      </c>
      <c r="AR16" s="7">
        <v>11994</v>
      </c>
      <c r="AS16" s="7">
        <v>19971</v>
      </c>
      <c r="AT16" s="7">
        <v>24296</v>
      </c>
      <c r="AU16" s="7">
        <v>23643</v>
      </c>
      <c r="AV16" s="7">
        <v>19051</v>
      </c>
      <c r="AW16" s="7">
        <v>28277</v>
      </c>
      <c r="AX16" s="7">
        <v>23910</v>
      </c>
      <c r="AY16" s="7">
        <v>24552</v>
      </c>
      <c r="AZ16" s="7">
        <v>32678</v>
      </c>
      <c r="BA16" s="7">
        <v>29911</v>
      </c>
      <c r="BB16" s="7">
        <v>29445</v>
      </c>
      <c r="BC16" s="7">
        <v>42533</v>
      </c>
      <c r="BD16" s="7">
        <v>38251</v>
      </c>
      <c r="BE16" s="7">
        <v>60224</v>
      </c>
      <c r="BF16" s="7">
        <v>61758</v>
      </c>
      <c r="BG16" s="7">
        <v>66006</v>
      </c>
      <c r="BH16" s="7">
        <v>55738</v>
      </c>
      <c r="BI16" s="7">
        <v>73551</v>
      </c>
      <c r="BJ16" s="7">
        <v>101883</v>
      </c>
      <c r="BK16" s="7">
        <v>84261</v>
      </c>
      <c r="BL16" s="7">
        <v>98272</v>
      </c>
      <c r="BM16" s="7">
        <v>126960</v>
      </c>
      <c r="BN16" s="7">
        <v>160107</v>
      </c>
      <c r="BO16" s="7">
        <v>9569</v>
      </c>
      <c r="BP16" s="7">
        <v>199021</v>
      </c>
      <c r="BQ16" s="7">
        <v>210514</v>
      </c>
      <c r="BR16" s="7">
        <v>211745</v>
      </c>
      <c r="BS16" s="7">
        <v>210997</v>
      </c>
      <c r="BT16" s="7">
        <v>266351</v>
      </c>
      <c r="BU16" s="7">
        <v>277676</v>
      </c>
      <c r="BV16" s="7">
        <v>262000</v>
      </c>
      <c r="BW16" s="7">
        <v>289163</v>
      </c>
      <c r="BX16" s="7">
        <v>286435</v>
      </c>
      <c r="BY16" s="7">
        <v>267353</v>
      </c>
      <c r="BZ16" s="7">
        <v>266705</v>
      </c>
      <c r="CA16" s="7">
        <v>327305</v>
      </c>
      <c r="CB16" s="7">
        <v>-222628</v>
      </c>
      <c r="CC16" s="7">
        <v>148653</v>
      </c>
      <c r="CD16" s="7">
        <v>168748</v>
      </c>
      <c r="CE16" s="7">
        <v>235210</v>
      </c>
      <c r="CF16" s="7">
        <v>224078</v>
      </c>
      <c r="CG16" s="7">
        <v>195303</v>
      </c>
      <c r="CH16" s="7">
        <v>260792</v>
      </c>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row>
    <row r="17" spans="1:166">
      <c r="A17" s="7" t="s">
        <v>240</v>
      </c>
      <c r="B17" s="7" t="s">
        <v>88</v>
      </c>
      <c r="C17" s="7">
        <v>1000000</v>
      </c>
      <c r="D17" s="7" t="s">
        <v>89</v>
      </c>
      <c r="E17" s="7" t="s">
        <v>241</v>
      </c>
      <c r="F17" s="8" t="s">
        <v>242</v>
      </c>
      <c r="G17" s="7"/>
      <c r="H17" s="7">
        <v>7979</v>
      </c>
      <c r="I17" s="7">
        <v>8904</v>
      </c>
      <c r="J17" s="7">
        <v>10059</v>
      </c>
      <c r="K17" s="7">
        <v>10465</v>
      </c>
      <c r="L17" s="7">
        <v>12240</v>
      </c>
      <c r="M17" s="7">
        <v>12307</v>
      </c>
      <c r="N17" s="7">
        <v>12614</v>
      </c>
      <c r="O17" s="7">
        <v>13167</v>
      </c>
      <c r="P17" s="7">
        <v>13608</v>
      </c>
      <c r="Q17" s="7">
        <v>15245</v>
      </c>
      <c r="R17" s="7">
        <v>16453</v>
      </c>
      <c r="S17" s="7">
        <v>17608</v>
      </c>
      <c r="T17" s="7">
        <v>17775</v>
      </c>
      <c r="U17" s="7">
        <v>19271</v>
      </c>
      <c r="V17" s="7">
        <v>20732</v>
      </c>
      <c r="W17" s="7">
        <v>22012</v>
      </c>
      <c r="X17" s="7">
        <v>24207</v>
      </c>
      <c r="Y17" s="7">
        <v>26040</v>
      </c>
      <c r="Z17" s="7">
        <v>28856</v>
      </c>
      <c r="AA17" s="7">
        <v>32067</v>
      </c>
      <c r="AB17" s="7">
        <v>34271</v>
      </c>
      <c r="AC17" s="7">
        <v>37367</v>
      </c>
      <c r="AD17" s="7">
        <v>42390</v>
      </c>
      <c r="AE17" s="7">
        <v>48750</v>
      </c>
      <c r="AF17" s="7">
        <v>54706</v>
      </c>
      <c r="AG17" s="7">
        <v>57442</v>
      </c>
      <c r="AH17" s="7">
        <v>62473</v>
      </c>
      <c r="AI17" s="7">
        <v>75847</v>
      </c>
      <c r="AJ17" s="7">
        <v>95781</v>
      </c>
      <c r="AK17" s="7">
        <v>97101</v>
      </c>
      <c r="AL17" s="7">
        <v>104729</v>
      </c>
      <c r="AM17" s="7">
        <v>117782</v>
      </c>
      <c r="AN17" s="7">
        <v>134128</v>
      </c>
      <c r="AO17" s="7">
        <v>163688</v>
      </c>
      <c r="AP17" s="7">
        <v>201182</v>
      </c>
      <c r="AQ17" s="7">
        <v>244287</v>
      </c>
      <c r="AR17" s="7">
        <v>263744</v>
      </c>
      <c r="AS17" s="7">
        <v>271758</v>
      </c>
      <c r="AT17" s="7">
        <v>304103</v>
      </c>
      <c r="AU17" s="7">
        <v>319086</v>
      </c>
      <c r="AV17" s="7">
        <v>341946</v>
      </c>
      <c r="AW17" s="7">
        <v>355461</v>
      </c>
      <c r="AX17" s="7">
        <v>415539</v>
      </c>
      <c r="AY17" s="7">
        <v>478146</v>
      </c>
      <c r="AZ17" s="7">
        <v>496929</v>
      </c>
      <c r="BA17" s="7">
        <v>481467</v>
      </c>
      <c r="BB17" s="7">
        <v>459443</v>
      </c>
      <c r="BC17" s="7">
        <v>451172</v>
      </c>
      <c r="BD17" s="7">
        <v>489996</v>
      </c>
      <c r="BE17" s="7">
        <v>551298</v>
      </c>
      <c r="BF17" s="7">
        <v>594023</v>
      </c>
      <c r="BG17" s="7">
        <v>656229</v>
      </c>
      <c r="BH17" s="7">
        <v>676595</v>
      </c>
      <c r="BI17" s="7">
        <v>686201</v>
      </c>
      <c r="BJ17" s="7">
        <v>792849</v>
      </c>
      <c r="BK17" s="7">
        <v>763761</v>
      </c>
      <c r="BL17" s="7">
        <v>752428</v>
      </c>
      <c r="BM17" s="7">
        <v>773719</v>
      </c>
      <c r="BN17" s="7">
        <v>891509</v>
      </c>
      <c r="BO17" s="7">
        <v>989052</v>
      </c>
      <c r="BP17" s="7">
        <v>1164515</v>
      </c>
      <c r="BQ17" s="7">
        <v>1256086</v>
      </c>
      <c r="BR17" s="7">
        <v>1258140</v>
      </c>
      <c r="BS17" s="7">
        <v>1039948</v>
      </c>
      <c r="BT17" s="7">
        <v>1049602</v>
      </c>
      <c r="BU17" s="7">
        <v>1100102</v>
      </c>
      <c r="BV17" s="7">
        <v>1188791</v>
      </c>
      <c r="BW17" s="7">
        <v>1171313</v>
      </c>
      <c r="BX17" s="7">
        <v>1266445</v>
      </c>
      <c r="BY17" s="7">
        <v>1356166</v>
      </c>
      <c r="BZ17" s="7">
        <v>1392269</v>
      </c>
      <c r="CA17" s="7">
        <v>1470633</v>
      </c>
      <c r="CB17" s="7">
        <v>1877470</v>
      </c>
      <c r="CC17" s="7">
        <v>1764576</v>
      </c>
      <c r="CD17" s="7">
        <v>1592768</v>
      </c>
      <c r="CE17" s="7">
        <v>1928458</v>
      </c>
      <c r="CF17" s="7">
        <v>2078205</v>
      </c>
      <c r="CG17" s="7">
        <v>2229179</v>
      </c>
      <c r="CH17" s="7">
        <v>2433637</v>
      </c>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row>
    <row r="18" spans="1:166">
      <c r="A18" s="7" t="s">
        <v>243</v>
      </c>
      <c r="B18" s="7" t="s">
        <v>88</v>
      </c>
      <c r="C18" s="7">
        <v>1000000</v>
      </c>
      <c r="D18" s="7" t="s">
        <v>89</v>
      </c>
      <c r="E18" s="7" t="s">
        <v>244</v>
      </c>
      <c r="F18" s="8" t="s">
        <v>245</v>
      </c>
      <c r="G18" s="7"/>
      <c r="H18" s="7">
        <v>1568</v>
      </c>
      <c r="I18" s="7">
        <v>1639</v>
      </c>
      <c r="J18" s="7">
        <v>1741</v>
      </c>
      <c r="K18" s="7">
        <v>1915</v>
      </c>
      <c r="L18" s="7">
        <v>1973</v>
      </c>
      <c r="M18" s="7">
        <v>2247</v>
      </c>
      <c r="N18" s="7">
        <v>2544</v>
      </c>
      <c r="O18" s="7">
        <v>2700</v>
      </c>
      <c r="P18" s="7">
        <v>2948</v>
      </c>
      <c r="Q18" s="7">
        <v>3272</v>
      </c>
      <c r="R18" s="7">
        <v>3660</v>
      </c>
      <c r="S18" s="7">
        <v>4316</v>
      </c>
      <c r="T18" s="7">
        <v>4804</v>
      </c>
      <c r="U18" s="7">
        <v>5468</v>
      </c>
      <c r="V18" s="7">
        <v>6148</v>
      </c>
      <c r="W18" s="7">
        <v>6608</v>
      </c>
      <c r="X18" s="7">
        <v>7456</v>
      </c>
      <c r="Y18" s="7">
        <v>8304</v>
      </c>
      <c r="Z18" s="7">
        <v>9088</v>
      </c>
      <c r="AA18" s="7">
        <v>9940</v>
      </c>
      <c r="AB18" s="7">
        <v>11728</v>
      </c>
      <c r="AC18" s="7">
        <v>13652</v>
      </c>
      <c r="AD18" s="7">
        <v>16404</v>
      </c>
      <c r="AE18" s="7">
        <v>22308</v>
      </c>
      <c r="AF18" s="7">
        <v>28504</v>
      </c>
      <c r="AG18" s="7">
        <v>30084</v>
      </c>
      <c r="AH18" s="7">
        <v>32388</v>
      </c>
      <c r="AI18" s="7">
        <v>40060</v>
      </c>
      <c r="AJ18" s="7">
        <v>51804</v>
      </c>
      <c r="AK18" s="7">
        <v>57708</v>
      </c>
      <c r="AL18" s="7">
        <v>55856</v>
      </c>
      <c r="AM18" s="7">
        <v>62376</v>
      </c>
      <c r="AN18" s="7">
        <v>72956</v>
      </c>
      <c r="AO18" s="7">
        <v>91416</v>
      </c>
      <c r="AP18" s="7">
        <v>119196</v>
      </c>
      <c r="AQ18" s="7">
        <v>154792</v>
      </c>
      <c r="AR18" s="7">
        <v>172468</v>
      </c>
      <c r="AS18" s="7">
        <v>172136</v>
      </c>
      <c r="AT18" s="7">
        <v>194916</v>
      </c>
      <c r="AU18" s="7">
        <v>210160</v>
      </c>
      <c r="AV18" s="7">
        <v>229416</v>
      </c>
      <c r="AW18" s="7">
        <v>241272</v>
      </c>
      <c r="AX18" s="7">
        <v>279032</v>
      </c>
      <c r="AY18" s="7">
        <v>330880</v>
      </c>
      <c r="AZ18" s="7">
        <v>344484</v>
      </c>
      <c r="BA18" s="7">
        <v>328308</v>
      </c>
      <c r="BB18" s="7">
        <v>287408</v>
      </c>
      <c r="BC18" s="7">
        <v>264244</v>
      </c>
      <c r="BD18" s="7">
        <v>278284</v>
      </c>
      <c r="BE18" s="7">
        <v>311980</v>
      </c>
      <c r="BF18" s="7">
        <v>326708</v>
      </c>
      <c r="BG18" s="7">
        <v>354428</v>
      </c>
      <c r="BH18" s="7">
        <v>365648</v>
      </c>
      <c r="BI18" s="7">
        <v>389484</v>
      </c>
      <c r="BJ18" s="7">
        <v>467812</v>
      </c>
      <c r="BK18" s="7">
        <v>476976</v>
      </c>
      <c r="BL18" s="7">
        <v>431520</v>
      </c>
      <c r="BM18" s="7">
        <v>391424</v>
      </c>
      <c r="BN18" s="7">
        <v>395168</v>
      </c>
      <c r="BO18" s="7">
        <v>455548</v>
      </c>
      <c r="BP18" s="7">
        <v>530840</v>
      </c>
      <c r="BQ18" s="7">
        <v>612724</v>
      </c>
      <c r="BR18" s="7">
        <v>593200</v>
      </c>
      <c r="BS18" s="7">
        <v>490232</v>
      </c>
      <c r="BT18" s="7">
        <v>456864</v>
      </c>
      <c r="BU18" s="7">
        <v>452484</v>
      </c>
      <c r="BV18" s="7">
        <v>444224</v>
      </c>
      <c r="BW18" s="7">
        <v>427048</v>
      </c>
      <c r="BX18" s="7">
        <v>435852</v>
      </c>
      <c r="BY18" s="7">
        <v>457524</v>
      </c>
      <c r="BZ18" s="7">
        <v>479692</v>
      </c>
      <c r="CA18" s="7">
        <v>501608</v>
      </c>
      <c r="CB18" s="7">
        <v>527716</v>
      </c>
      <c r="CC18" s="7">
        <v>593104</v>
      </c>
      <c r="CD18" s="7">
        <v>480378</v>
      </c>
      <c r="CE18" s="7">
        <v>461779</v>
      </c>
      <c r="CF18" s="7">
        <v>516409</v>
      </c>
      <c r="CG18" s="7">
        <v>611407</v>
      </c>
      <c r="CH18" s="7">
        <v>639356</v>
      </c>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row>
    <row r="19" spans="1:166">
      <c r="A19" s="7" t="s">
        <v>246</v>
      </c>
      <c r="B19" s="7" t="s">
        <v>88</v>
      </c>
      <c r="C19" s="7">
        <v>1000000</v>
      </c>
      <c r="D19" s="7" t="s">
        <v>89</v>
      </c>
      <c r="E19" s="7" t="s">
        <v>247</v>
      </c>
      <c r="F19" s="8" t="s">
        <v>248</v>
      </c>
      <c r="G19" s="7"/>
      <c r="H19" s="7">
        <v>6240</v>
      </c>
      <c r="I19" s="7">
        <v>7082</v>
      </c>
      <c r="J19" s="7">
        <v>8044</v>
      </c>
      <c r="K19" s="7">
        <v>8252</v>
      </c>
      <c r="L19" s="7">
        <v>9899</v>
      </c>
      <c r="M19" s="7">
        <v>9670</v>
      </c>
      <c r="N19" s="7">
        <v>9681</v>
      </c>
      <c r="O19" s="7">
        <v>10031</v>
      </c>
      <c r="P19" s="7">
        <v>10167</v>
      </c>
      <c r="Q19" s="7">
        <v>11464</v>
      </c>
      <c r="R19" s="7">
        <v>12268</v>
      </c>
      <c r="S19" s="7">
        <v>12744</v>
      </c>
      <c r="T19" s="7">
        <v>12379</v>
      </c>
      <c r="U19" s="7">
        <v>13226</v>
      </c>
      <c r="V19" s="7">
        <v>14024</v>
      </c>
      <c r="W19" s="7">
        <v>14692</v>
      </c>
      <c r="X19" s="7">
        <v>15973</v>
      </c>
      <c r="Y19" s="7">
        <v>16955</v>
      </c>
      <c r="Z19" s="7">
        <v>18871</v>
      </c>
      <c r="AA19" s="7">
        <v>21186</v>
      </c>
      <c r="AB19" s="7">
        <v>21507</v>
      </c>
      <c r="AC19" s="7">
        <v>22426</v>
      </c>
      <c r="AD19" s="7">
        <v>24540</v>
      </c>
      <c r="AE19" s="7">
        <v>24997</v>
      </c>
      <c r="AF19" s="7">
        <v>24612</v>
      </c>
      <c r="AG19" s="7">
        <v>25488</v>
      </c>
      <c r="AH19" s="7">
        <v>28114</v>
      </c>
      <c r="AI19" s="7">
        <v>33239</v>
      </c>
      <c r="AJ19" s="7">
        <v>40936</v>
      </c>
      <c r="AK19" s="7">
        <v>36063</v>
      </c>
      <c r="AL19" s="7">
        <v>45008</v>
      </c>
      <c r="AM19" s="7">
        <v>51418</v>
      </c>
      <c r="AN19" s="7">
        <v>55973</v>
      </c>
      <c r="AO19" s="7">
        <v>64604</v>
      </c>
      <c r="AP19" s="7">
        <v>72619</v>
      </c>
      <c r="AQ19" s="7">
        <v>79026</v>
      </c>
      <c r="AR19" s="7">
        <v>85672</v>
      </c>
      <c r="AS19" s="7">
        <v>92174</v>
      </c>
      <c r="AT19" s="7">
        <v>97467</v>
      </c>
      <c r="AU19" s="7">
        <v>99398</v>
      </c>
      <c r="AV19" s="7">
        <v>103684</v>
      </c>
      <c r="AW19" s="7">
        <v>106101</v>
      </c>
      <c r="AX19" s="7">
        <v>127937</v>
      </c>
      <c r="AY19" s="7">
        <v>147878</v>
      </c>
      <c r="AZ19" s="7">
        <v>158548</v>
      </c>
      <c r="BA19" s="7">
        <v>162754</v>
      </c>
      <c r="BB19" s="7">
        <v>174928</v>
      </c>
      <c r="BC19" s="7">
        <v>185298</v>
      </c>
      <c r="BD19" s="7">
        <v>198784</v>
      </c>
      <c r="BE19" s="7">
        <v>223393</v>
      </c>
      <c r="BF19" s="7">
        <v>250244</v>
      </c>
      <c r="BG19" s="7">
        <v>278279</v>
      </c>
      <c r="BH19" s="7">
        <v>299249</v>
      </c>
      <c r="BI19" s="7">
        <v>284377</v>
      </c>
      <c r="BJ19" s="7">
        <v>313357</v>
      </c>
      <c r="BK19" s="7">
        <v>299323</v>
      </c>
      <c r="BL19" s="7">
        <v>305028</v>
      </c>
      <c r="BM19" s="7">
        <v>350708</v>
      </c>
      <c r="BN19" s="7">
        <v>433335</v>
      </c>
      <c r="BO19" s="7">
        <v>476254</v>
      </c>
      <c r="BP19" s="7">
        <v>552467</v>
      </c>
      <c r="BQ19" s="7">
        <v>575654</v>
      </c>
      <c r="BR19" s="7">
        <v>599233</v>
      </c>
      <c r="BS19" s="7">
        <v>506824</v>
      </c>
      <c r="BT19" s="7">
        <v>516629</v>
      </c>
      <c r="BU19" s="7">
        <v>555685</v>
      </c>
      <c r="BV19" s="7">
        <v>646862</v>
      </c>
      <c r="BW19" s="7">
        <v>650726</v>
      </c>
      <c r="BX19" s="7">
        <v>729399</v>
      </c>
      <c r="BY19" s="7">
        <v>809199</v>
      </c>
      <c r="BZ19" s="7">
        <v>831987</v>
      </c>
      <c r="CA19" s="7">
        <v>871619</v>
      </c>
      <c r="CB19" s="7">
        <v>1229574</v>
      </c>
      <c r="CC19" s="7">
        <v>1046863</v>
      </c>
      <c r="CD19" s="7">
        <v>1025345</v>
      </c>
      <c r="CE19" s="7">
        <v>1251436</v>
      </c>
      <c r="CF19" s="7">
        <v>1352585</v>
      </c>
      <c r="CG19" s="7">
        <v>1432383</v>
      </c>
      <c r="CH19" s="7">
        <v>1585723</v>
      </c>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row>
    <row r="20" spans="1:166">
      <c r="A20" s="7" t="s">
        <v>249</v>
      </c>
      <c r="B20" s="7" t="s">
        <v>88</v>
      </c>
      <c r="C20" s="7">
        <v>1000000</v>
      </c>
      <c r="D20" s="7" t="s">
        <v>89</v>
      </c>
      <c r="E20" s="7" t="s">
        <v>250</v>
      </c>
      <c r="F20" s="8" t="s">
        <v>251</v>
      </c>
      <c r="G20" s="7"/>
      <c r="H20" s="7">
        <v>59</v>
      </c>
      <c r="I20" s="7">
        <v>60</v>
      </c>
      <c r="J20" s="7">
        <v>98</v>
      </c>
      <c r="K20" s="7">
        <v>92</v>
      </c>
      <c r="L20" s="7">
        <v>130</v>
      </c>
      <c r="M20" s="7">
        <v>119</v>
      </c>
      <c r="N20" s="7">
        <v>96</v>
      </c>
      <c r="O20" s="7">
        <v>117</v>
      </c>
      <c r="P20" s="7">
        <v>117</v>
      </c>
      <c r="Q20" s="7">
        <v>134</v>
      </c>
      <c r="R20" s="7">
        <v>121</v>
      </c>
      <c r="S20" s="7">
        <v>115</v>
      </c>
      <c r="T20" s="7">
        <v>116</v>
      </c>
      <c r="U20" s="7">
        <v>174</v>
      </c>
      <c r="V20" s="7">
        <v>132</v>
      </c>
      <c r="W20" s="7">
        <v>179</v>
      </c>
      <c r="X20" s="7">
        <v>158</v>
      </c>
      <c r="Y20" s="7">
        <v>180</v>
      </c>
      <c r="Z20" s="7">
        <v>247</v>
      </c>
      <c r="AA20" s="7">
        <v>271</v>
      </c>
      <c r="AB20" s="7">
        <v>263</v>
      </c>
      <c r="AC20" s="7">
        <v>351</v>
      </c>
      <c r="AD20" s="7">
        <v>391</v>
      </c>
      <c r="AE20" s="7">
        <v>352</v>
      </c>
      <c r="AF20" s="7">
        <v>371</v>
      </c>
      <c r="AG20" s="7">
        <v>459</v>
      </c>
      <c r="AH20" s="7">
        <v>474</v>
      </c>
      <c r="AI20" s="7">
        <v>760</v>
      </c>
      <c r="AJ20" s="7">
        <v>908</v>
      </c>
      <c r="AK20" s="7">
        <v>1027</v>
      </c>
      <c r="AL20" s="7">
        <v>1451</v>
      </c>
      <c r="AM20" s="7">
        <v>1451</v>
      </c>
      <c r="AN20" s="7">
        <v>2356</v>
      </c>
      <c r="AO20" s="7">
        <v>3679</v>
      </c>
      <c r="AP20" s="7">
        <v>3205</v>
      </c>
      <c r="AQ20" s="7">
        <v>2725</v>
      </c>
      <c r="AR20" s="7">
        <v>-2955</v>
      </c>
      <c r="AS20" s="7">
        <v>-1156</v>
      </c>
      <c r="AT20" s="7">
        <v>1867</v>
      </c>
      <c r="AU20" s="7">
        <v>-387</v>
      </c>
      <c r="AV20" s="7">
        <v>-664</v>
      </c>
      <c r="AW20" s="7">
        <v>-315</v>
      </c>
      <c r="AX20" s="7">
        <v>1316</v>
      </c>
      <c r="AY20" s="7">
        <v>-7706</v>
      </c>
      <c r="AZ20" s="7">
        <v>-13750</v>
      </c>
      <c r="BA20" s="7">
        <v>-17888</v>
      </c>
      <c r="BB20" s="7">
        <v>-11110</v>
      </c>
      <c r="BC20" s="7">
        <v>-6666</v>
      </c>
      <c r="BD20" s="7">
        <v>4840</v>
      </c>
      <c r="BE20" s="7">
        <v>8429</v>
      </c>
      <c r="BF20" s="7">
        <v>8330</v>
      </c>
      <c r="BG20" s="7">
        <v>14217</v>
      </c>
      <c r="BH20" s="7">
        <v>2844</v>
      </c>
      <c r="BI20" s="7">
        <v>3185</v>
      </c>
      <c r="BJ20" s="7">
        <v>-863</v>
      </c>
      <c r="BK20" s="7">
        <v>-27395</v>
      </c>
      <c r="BL20" s="7">
        <v>2820</v>
      </c>
      <c r="BM20" s="7">
        <v>16937</v>
      </c>
      <c r="BN20" s="7">
        <v>45877</v>
      </c>
      <c r="BO20" s="7">
        <v>37810</v>
      </c>
      <c r="BP20" s="7">
        <v>60758</v>
      </c>
      <c r="BQ20" s="7">
        <v>44916</v>
      </c>
      <c r="BR20" s="7">
        <v>39778</v>
      </c>
      <c r="BS20" s="7">
        <v>24684</v>
      </c>
      <c r="BT20" s="7">
        <v>56680</v>
      </c>
      <c r="BU20" s="7">
        <v>69774</v>
      </c>
      <c r="BV20" s="7">
        <v>74985</v>
      </c>
      <c r="BW20" s="7">
        <v>72077</v>
      </c>
      <c r="BX20" s="7">
        <v>78860</v>
      </c>
      <c r="BY20" s="7">
        <v>71629</v>
      </c>
      <c r="BZ20" s="7">
        <v>64993</v>
      </c>
      <c r="CA20" s="7">
        <v>80618</v>
      </c>
      <c r="CB20" s="7">
        <v>100825</v>
      </c>
      <c r="CC20" s="7">
        <v>104656</v>
      </c>
      <c r="CD20" s="7">
        <v>70702</v>
      </c>
      <c r="CE20" s="7">
        <v>192275</v>
      </c>
      <c r="CF20" s="7">
        <v>174537</v>
      </c>
      <c r="CG20" s="7">
        <v>151850</v>
      </c>
      <c r="CH20" s="7">
        <v>176689</v>
      </c>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row>
    <row r="21" spans="1:166">
      <c r="A21" s="7" t="s">
        <v>252</v>
      </c>
      <c r="B21" s="7" t="s">
        <v>88</v>
      </c>
      <c r="C21" s="7">
        <v>1000000</v>
      </c>
      <c r="D21" s="7" t="s">
        <v>89</v>
      </c>
      <c r="E21" s="7" t="s">
        <v>253</v>
      </c>
      <c r="F21" s="8" t="s">
        <v>254</v>
      </c>
      <c r="G21" s="7"/>
      <c r="H21" s="7">
        <v>112</v>
      </c>
      <c r="I21" s="7">
        <v>123</v>
      </c>
      <c r="J21" s="7">
        <v>176</v>
      </c>
      <c r="K21" s="7">
        <v>206</v>
      </c>
      <c r="L21" s="7">
        <v>238</v>
      </c>
      <c r="M21" s="7">
        <v>271</v>
      </c>
      <c r="N21" s="7">
        <v>294</v>
      </c>
      <c r="O21" s="7">
        <v>319</v>
      </c>
      <c r="P21" s="7">
        <v>376</v>
      </c>
      <c r="Q21" s="7">
        <v>375</v>
      </c>
      <c r="R21" s="7">
        <v>405</v>
      </c>
      <c r="S21" s="7">
        <v>433</v>
      </c>
      <c r="T21" s="7">
        <v>476</v>
      </c>
      <c r="U21" s="7">
        <v>403</v>
      </c>
      <c r="V21" s="7">
        <v>428</v>
      </c>
      <c r="W21" s="7">
        <v>534</v>
      </c>
      <c r="X21" s="7">
        <v>620</v>
      </c>
      <c r="Y21" s="7">
        <v>601</v>
      </c>
      <c r="Z21" s="7">
        <v>651</v>
      </c>
      <c r="AA21" s="7">
        <v>670</v>
      </c>
      <c r="AB21" s="7">
        <v>773</v>
      </c>
      <c r="AC21" s="7">
        <v>938</v>
      </c>
      <c r="AD21" s="7">
        <v>1054</v>
      </c>
      <c r="AE21" s="7">
        <v>1093</v>
      </c>
      <c r="AF21" s="7">
        <v>1219</v>
      </c>
      <c r="AG21" s="7">
        <v>1411</v>
      </c>
      <c r="AH21" s="7">
        <v>1497</v>
      </c>
      <c r="AI21" s="7">
        <v>1787</v>
      </c>
      <c r="AJ21" s="7">
        <v>2133</v>
      </c>
      <c r="AK21" s="7">
        <v>2303</v>
      </c>
      <c r="AL21" s="7">
        <v>2414</v>
      </c>
      <c r="AM21" s="7">
        <v>2537</v>
      </c>
      <c r="AN21" s="7">
        <v>2844</v>
      </c>
      <c r="AO21" s="7">
        <v>3990</v>
      </c>
      <c r="AP21" s="7">
        <v>6162</v>
      </c>
      <c r="AQ21" s="7">
        <v>7744</v>
      </c>
      <c r="AR21" s="7">
        <v>8559</v>
      </c>
      <c r="AS21" s="7">
        <v>8605</v>
      </c>
      <c r="AT21" s="7">
        <v>9854</v>
      </c>
      <c r="AU21" s="7">
        <v>9916</v>
      </c>
      <c r="AV21" s="7">
        <v>9510</v>
      </c>
      <c r="AW21" s="7">
        <v>8403</v>
      </c>
      <c r="AX21" s="7">
        <v>7255</v>
      </c>
      <c r="AY21" s="7">
        <v>7095</v>
      </c>
      <c r="AZ21" s="7">
        <v>7647</v>
      </c>
      <c r="BA21" s="7">
        <v>8293</v>
      </c>
      <c r="BB21" s="7">
        <v>8216</v>
      </c>
      <c r="BC21" s="7">
        <v>8295</v>
      </c>
      <c r="BD21" s="7">
        <v>8088</v>
      </c>
      <c r="BE21" s="7">
        <v>7495</v>
      </c>
      <c r="BF21" s="7">
        <v>8741</v>
      </c>
      <c r="BG21" s="7">
        <v>9304</v>
      </c>
      <c r="BH21" s="7">
        <v>8854</v>
      </c>
      <c r="BI21" s="7">
        <v>9154</v>
      </c>
      <c r="BJ21" s="7">
        <v>12543</v>
      </c>
      <c r="BK21" s="7">
        <v>14857</v>
      </c>
      <c r="BL21" s="7">
        <v>13060</v>
      </c>
      <c r="BM21" s="7">
        <v>14650</v>
      </c>
      <c r="BN21" s="7">
        <v>17130</v>
      </c>
      <c r="BO21" s="7">
        <v>19440</v>
      </c>
      <c r="BP21" s="7">
        <v>20450</v>
      </c>
      <c r="BQ21" s="7">
        <v>22792</v>
      </c>
      <c r="BR21" s="7">
        <v>25929</v>
      </c>
      <c r="BS21" s="7">
        <v>18209</v>
      </c>
      <c r="BT21" s="7">
        <v>19429</v>
      </c>
      <c r="BU21" s="7">
        <v>22160</v>
      </c>
      <c r="BV21" s="7">
        <v>22719</v>
      </c>
      <c r="BW21" s="7">
        <v>21462</v>
      </c>
      <c r="BX21" s="7">
        <v>22334</v>
      </c>
      <c r="BY21" s="7">
        <v>17815</v>
      </c>
      <c r="BZ21" s="7">
        <v>15597</v>
      </c>
      <c r="CA21" s="7">
        <v>16788</v>
      </c>
      <c r="CB21" s="7">
        <v>19356</v>
      </c>
      <c r="CC21" s="7">
        <v>19954</v>
      </c>
      <c r="CD21" s="7">
        <v>16342</v>
      </c>
      <c r="CE21" s="7">
        <v>22967</v>
      </c>
      <c r="CF21" s="7">
        <v>34675</v>
      </c>
      <c r="CG21" s="7">
        <v>33539</v>
      </c>
      <c r="CH21" s="7">
        <v>31869</v>
      </c>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row>
    <row r="22" spans="1:166">
      <c r="A22" s="7" t="s">
        <v>225</v>
      </c>
      <c r="B22" s="7" t="s">
        <v>88</v>
      </c>
      <c r="C22" s="7">
        <v>1000000</v>
      </c>
      <c r="D22" s="7" t="s">
        <v>89</v>
      </c>
      <c r="E22" s="7" t="s">
        <v>226</v>
      </c>
      <c r="F22" s="8" t="s">
        <v>227</v>
      </c>
      <c r="G22" s="7"/>
      <c r="H22" s="7">
        <v>11691</v>
      </c>
      <c r="I22" s="7">
        <v>17178</v>
      </c>
      <c r="J22" s="7">
        <v>22790</v>
      </c>
      <c r="K22" s="7">
        <v>19666</v>
      </c>
      <c r="L22" s="7">
        <v>25268</v>
      </c>
      <c r="M22" s="7">
        <v>30255</v>
      </c>
      <c r="N22" s="7">
        <v>28124</v>
      </c>
      <c r="O22" s="7">
        <v>28127</v>
      </c>
      <c r="P22" s="7">
        <v>26579</v>
      </c>
      <c r="Q22" s="7">
        <v>36064</v>
      </c>
      <c r="R22" s="7">
        <v>34389</v>
      </c>
      <c r="S22" s="7">
        <v>33101</v>
      </c>
      <c r="T22" s="7">
        <v>28071</v>
      </c>
      <c r="U22" s="7">
        <v>37817</v>
      </c>
      <c r="V22" s="7">
        <v>35323</v>
      </c>
      <c r="W22" s="7">
        <v>36268</v>
      </c>
      <c r="X22" s="7">
        <v>42907</v>
      </c>
      <c r="Y22" s="7">
        <v>48847</v>
      </c>
      <c r="Z22" s="7">
        <v>53720</v>
      </c>
      <c r="AA22" s="7">
        <v>62726</v>
      </c>
      <c r="AB22" s="7">
        <v>68620</v>
      </c>
      <c r="AC22" s="7">
        <v>65110</v>
      </c>
      <c r="AD22" s="7">
        <v>69524</v>
      </c>
      <c r="AE22" s="7">
        <v>65045</v>
      </c>
      <c r="AF22" s="7">
        <v>51846</v>
      </c>
      <c r="AG22" s="7">
        <v>63700</v>
      </c>
      <c r="AH22" s="7">
        <v>77044</v>
      </c>
      <c r="AI22" s="7">
        <v>88821</v>
      </c>
      <c r="AJ22" s="7">
        <v>77041</v>
      </c>
      <c r="AK22" s="7">
        <v>92162</v>
      </c>
      <c r="AL22" s="7">
        <v>119258</v>
      </c>
      <c r="AM22" s="7">
        <v>140639</v>
      </c>
      <c r="AN22" s="7">
        <v>160201</v>
      </c>
      <c r="AO22" s="7">
        <v>163211</v>
      </c>
      <c r="AP22" s="7">
        <v>138611</v>
      </c>
      <c r="AQ22" s="7">
        <v>161725</v>
      </c>
      <c r="AR22" s="7">
        <v>142286</v>
      </c>
      <c r="AS22" s="7">
        <v>178382</v>
      </c>
      <c r="AT22" s="7">
        <v>235069</v>
      </c>
      <c r="AU22" s="7">
        <v>238455</v>
      </c>
      <c r="AV22" s="7">
        <v>203986</v>
      </c>
      <c r="AW22" s="7">
        <v>241352</v>
      </c>
      <c r="AX22" s="7">
        <v>261424</v>
      </c>
      <c r="AY22" s="7">
        <v>224411</v>
      </c>
      <c r="AZ22" s="7">
        <v>215473</v>
      </c>
      <c r="BA22" s="7">
        <v>216450</v>
      </c>
      <c r="BB22" s="7">
        <v>224043</v>
      </c>
      <c r="BC22" s="7">
        <v>271234</v>
      </c>
      <c r="BD22" s="7">
        <v>343279</v>
      </c>
      <c r="BE22" s="7">
        <v>384733</v>
      </c>
      <c r="BF22" s="7">
        <v>438728</v>
      </c>
      <c r="BG22" s="7">
        <v>471190</v>
      </c>
      <c r="BH22" s="7">
        <v>407932</v>
      </c>
      <c r="BI22" s="7">
        <v>442018</v>
      </c>
      <c r="BJ22" s="7">
        <v>381340</v>
      </c>
      <c r="BK22" s="7">
        <v>307053</v>
      </c>
      <c r="BL22" s="7">
        <v>371434</v>
      </c>
      <c r="BM22" s="7">
        <v>471072</v>
      </c>
      <c r="BN22" s="7">
        <v>573456</v>
      </c>
      <c r="BO22" s="7">
        <v>778298</v>
      </c>
      <c r="BP22" s="7">
        <v>780237</v>
      </c>
      <c r="BQ22" s="7">
        <v>692178</v>
      </c>
      <c r="BR22" s="7">
        <v>572400</v>
      </c>
      <c r="BS22" s="7">
        <v>603015</v>
      </c>
      <c r="BT22" s="7">
        <v>882410</v>
      </c>
      <c r="BU22" s="7">
        <v>889300</v>
      </c>
      <c r="BV22" s="7">
        <v>911927</v>
      </c>
      <c r="BW22" s="7">
        <v>1000160</v>
      </c>
      <c r="BX22" s="7">
        <v>981985</v>
      </c>
      <c r="BY22" s="7">
        <v>926527</v>
      </c>
      <c r="BZ22" s="7">
        <v>800094</v>
      </c>
      <c r="CA22" s="7">
        <v>833682</v>
      </c>
      <c r="CB22" s="7">
        <v>871002</v>
      </c>
      <c r="CC22" s="7">
        <v>865254</v>
      </c>
      <c r="CD22" s="7">
        <v>858010</v>
      </c>
      <c r="CE22" s="7">
        <v>1114471</v>
      </c>
      <c r="CF22" s="7">
        <v>1209740</v>
      </c>
      <c r="CG22" s="7">
        <v>1316676</v>
      </c>
      <c r="CH22" s="7">
        <v>1302951</v>
      </c>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row>
    <row r="23" spans="1:166">
      <c r="A23" s="7" t="s">
        <v>255</v>
      </c>
      <c r="B23" s="7" t="s">
        <v>88</v>
      </c>
      <c r="C23" s="7">
        <v>1000000</v>
      </c>
      <c r="D23" s="7" t="s">
        <v>89</v>
      </c>
      <c r="E23" s="7" t="s">
        <v>256</v>
      </c>
      <c r="F23" s="8" t="s">
        <v>257</v>
      </c>
      <c r="G23" s="7"/>
      <c r="H23" s="7">
        <v>8573</v>
      </c>
      <c r="I23" s="7">
        <v>10777</v>
      </c>
      <c r="J23" s="7">
        <v>11681</v>
      </c>
      <c r="K23" s="7">
        <v>9262</v>
      </c>
      <c r="L23" s="7">
        <v>16764</v>
      </c>
      <c r="M23" s="7">
        <v>21104</v>
      </c>
      <c r="N23" s="7">
        <v>17677</v>
      </c>
      <c r="O23" s="7">
        <v>18369</v>
      </c>
      <c r="P23" s="7">
        <v>15528</v>
      </c>
      <c r="Q23" s="7">
        <v>20115</v>
      </c>
      <c r="R23" s="7">
        <v>19919</v>
      </c>
      <c r="S23" s="7">
        <v>18981</v>
      </c>
      <c r="T23" s="7">
        <v>16064</v>
      </c>
      <c r="U23" s="7">
        <v>20682</v>
      </c>
      <c r="V23" s="7">
        <v>19142</v>
      </c>
      <c r="W23" s="7">
        <v>19419</v>
      </c>
      <c r="X23" s="7">
        <v>20591</v>
      </c>
      <c r="Y23" s="7">
        <v>22754</v>
      </c>
      <c r="Z23" s="7">
        <v>23888</v>
      </c>
      <c r="AA23" s="7">
        <v>27137</v>
      </c>
      <c r="AB23" s="7">
        <v>29492</v>
      </c>
      <c r="AC23" s="7">
        <v>27828</v>
      </c>
      <c r="AD23" s="7">
        <v>33534</v>
      </c>
      <c r="AE23" s="7">
        <v>33344</v>
      </c>
      <c r="AF23" s="7">
        <v>27286</v>
      </c>
      <c r="AG23" s="7">
        <v>29995</v>
      </c>
      <c r="AH23" s="7">
        <v>33795</v>
      </c>
      <c r="AI23" s="7">
        <v>40409</v>
      </c>
      <c r="AJ23" s="7">
        <v>42849</v>
      </c>
      <c r="AK23" s="7">
        <v>41908</v>
      </c>
      <c r="AL23" s="7">
        <v>53495</v>
      </c>
      <c r="AM23" s="7">
        <v>60578</v>
      </c>
      <c r="AN23" s="7">
        <v>67556</v>
      </c>
      <c r="AO23" s="7">
        <v>70619</v>
      </c>
      <c r="AP23" s="7">
        <v>68203</v>
      </c>
      <c r="AQ23" s="7">
        <v>65994</v>
      </c>
      <c r="AR23" s="7">
        <v>48763</v>
      </c>
      <c r="AS23" s="7">
        <v>61721</v>
      </c>
      <c r="AT23" s="7">
        <v>75940</v>
      </c>
      <c r="AU23" s="7">
        <v>71083</v>
      </c>
      <c r="AV23" s="7">
        <v>76238</v>
      </c>
      <c r="AW23" s="7">
        <v>94230</v>
      </c>
      <c r="AX23" s="7">
        <v>103953</v>
      </c>
      <c r="AY23" s="7">
        <v>101208</v>
      </c>
      <c r="AZ23" s="7">
        <v>98454</v>
      </c>
      <c r="BA23" s="7">
        <v>88598</v>
      </c>
      <c r="BB23" s="7">
        <v>94430</v>
      </c>
      <c r="BC23" s="7">
        <v>108041</v>
      </c>
      <c r="BD23" s="7">
        <v>132356</v>
      </c>
      <c r="BE23" s="7">
        <v>140323</v>
      </c>
      <c r="BF23" s="7">
        <v>152929</v>
      </c>
      <c r="BG23" s="7">
        <v>161360</v>
      </c>
      <c r="BH23" s="7">
        <v>158668</v>
      </c>
      <c r="BI23" s="7">
        <v>166464</v>
      </c>
      <c r="BJ23" s="7">
        <v>165086</v>
      </c>
      <c r="BK23" s="7">
        <v>106210</v>
      </c>
      <c r="BL23" s="7">
        <v>91075</v>
      </c>
      <c r="BM23" s="7">
        <v>126492</v>
      </c>
      <c r="BN23" s="7">
        <v>179234</v>
      </c>
      <c r="BO23" s="7">
        <v>262542</v>
      </c>
      <c r="BP23" s="7">
        <v>296081</v>
      </c>
      <c r="BQ23" s="7">
        <v>277620</v>
      </c>
      <c r="BR23" s="7">
        <v>207205</v>
      </c>
      <c r="BS23" s="7">
        <v>161436</v>
      </c>
      <c r="BT23" s="7">
        <v>203784</v>
      </c>
      <c r="BU23" s="7">
        <v>209219</v>
      </c>
      <c r="BV23" s="7">
        <v>245804</v>
      </c>
      <c r="BW23" s="7">
        <v>263956</v>
      </c>
      <c r="BX23" s="7">
        <v>290628</v>
      </c>
      <c r="BY23" s="7">
        <v>283948</v>
      </c>
      <c r="BZ23" s="7">
        <v>262059</v>
      </c>
      <c r="CA23" s="7">
        <v>213815</v>
      </c>
      <c r="CB23" s="7">
        <v>212945</v>
      </c>
      <c r="CC23" s="7">
        <v>196789</v>
      </c>
      <c r="CD23" s="7">
        <v>211999</v>
      </c>
      <c r="CE23" s="7">
        <v>343783</v>
      </c>
      <c r="CF23" s="7">
        <v>471823</v>
      </c>
      <c r="CG23" s="7">
        <v>486860</v>
      </c>
      <c r="CH23" s="7">
        <v>540203</v>
      </c>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row>
    <row r="24" spans="1:166">
      <c r="A24" s="7" t="s">
        <v>258</v>
      </c>
      <c r="B24" s="7" t="s">
        <v>88</v>
      </c>
      <c r="C24" s="7">
        <v>1000000</v>
      </c>
      <c r="D24" s="7" t="s">
        <v>89</v>
      </c>
      <c r="E24" s="7" t="s">
        <v>259</v>
      </c>
      <c r="F24" s="8" t="s">
        <v>260</v>
      </c>
      <c r="G24" s="7"/>
      <c r="H24" s="7">
        <v>475</v>
      </c>
      <c r="I24" s="7">
        <v>572</v>
      </c>
      <c r="J24" s="7">
        <v>605</v>
      </c>
      <c r="K24" s="7">
        <v>588</v>
      </c>
      <c r="L24" s="7">
        <v>601</v>
      </c>
      <c r="M24" s="7">
        <v>727</v>
      </c>
      <c r="N24" s="7">
        <v>824</v>
      </c>
      <c r="O24" s="7">
        <v>959</v>
      </c>
      <c r="P24" s="7">
        <v>852</v>
      </c>
      <c r="Q24" s="7">
        <v>980</v>
      </c>
      <c r="R24" s="7">
        <v>1036</v>
      </c>
      <c r="S24" s="7">
        <v>1098</v>
      </c>
      <c r="T24" s="7">
        <v>1173</v>
      </c>
      <c r="U24" s="7">
        <v>1255</v>
      </c>
      <c r="V24" s="7">
        <v>1267</v>
      </c>
      <c r="W24" s="7">
        <v>1421</v>
      </c>
      <c r="X24" s="7">
        <v>1580</v>
      </c>
      <c r="Y24" s="7">
        <v>1595</v>
      </c>
      <c r="Z24" s="7">
        <v>1871</v>
      </c>
      <c r="AA24" s="7">
        <v>2103</v>
      </c>
      <c r="AB24" s="7">
        <v>2618</v>
      </c>
      <c r="AC24" s="7">
        <v>2703</v>
      </c>
      <c r="AD24" s="7">
        <v>2937</v>
      </c>
      <c r="AE24" s="7">
        <v>3047</v>
      </c>
      <c r="AF24" s="7">
        <v>3183</v>
      </c>
      <c r="AG24" s="7">
        <v>3593</v>
      </c>
      <c r="AH24" s="7">
        <v>3885</v>
      </c>
      <c r="AI24" s="7">
        <v>4504</v>
      </c>
      <c r="AJ24" s="7">
        <v>3739</v>
      </c>
      <c r="AK24" s="7">
        <v>4717</v>
      </c>
      <c r="AL24" s="7">
        <v>6701</v>
      </c>
      <c r="AM24" s="7">
        <v>8707</v>
      </c>
      <c r="AN24" s="7">
        <v>9203</v>
      </c>
      <c r="AO24" s="7">
        <v>9027</v>
      </c>
      <c r="AP24" s="7">
        <v>9636</v>
      </c>
      <c r="AQ24" s="7">
        <v>10659</v>
      </c>
      <c r="AR24" s="7">
        <v>8119</v>
      </c>
      <c r="AS24" s="7">
        <v>9953</v>
      </c>
      <c r="AT24" s="7">
        <v>10934</v>
      </c>
      <c r="AU24" s="7">
        <v>15363</v>
      </c>
      <c r="AV24" s="7">
        <v>26919</v>
      </c>
      <c r="AW24" s="7">
        <v>29656</v>
      </c>
      <c r="AX24" s="7">
        <v>27037</v>
      </c>
      <c r="AY24" s="7">
        <v>23481</v>
      </c>
      <c r="AZ24" s="7">
        <v>24867</v>
      </c>
      <c r="BA24" s="7">
        <v>26093</v>
      </c>
      <c r="BB24" s="7">
        <v>30693</v>
      </c>
      <c r="BC24" s="7">
        <v>29521</v>
      </c>
      <c r="BD24" s="7">
        <v>34651</v>
      </c>
      <c r="BE24" s="7">
        <v>30164</v>
      </c>
      <c r="BF24" s="7">
        <v>37318</v>
      </c>
      <c r="BG24" s="7">
        <v>38488</v>
      </c>
      <c r="BH24" s="7">
        <v>34106</v>
      </c>
      <c r="BI24" s="7">
        <v>45602</v>
      </c>
      <c r="BJ24" s="7">
        <v>45440</v>
      </c>
      <c r="BK24" s="7">
        <v>55201</v>
      </c>
      <c r="BL24" s="7">
        <v>51994</v>
      </c>
      <c r="BM24" s="7">
        <v>61635</v>
      </c>
      <c r="BN24" s="7">
        <v>62539</v>
      </c>
      <c r="BO24" s="7">
        <v>79314</v>
      </c>
      <c r="BP24" s="7">
        <v>68525</v>
      </c>
      <c r="BQ24" s="7">
        <v>59077</v>
      </c>
      <c r="BR24" s="7">
        <v>46320</v>
      </c>
      <c r="BS24" s="7">
        <v>60531</v>
      </c>
      <c r="BT24" s="7">
        <v>71809</v>
      </c>
      <c r="BU24" s="7">
        <v>79885</v>
      </c>
      <c r="BV24" s="7">
        <v>82372</v>
      </c>
      <c r="BW24" s="7">
        <v>84166</v>
      </c>
      <c r="BX24" s="7">
        <v>82241</v>
      </c>
      <c r="BY24" s="7">
        <v>99763</v>
      </c>
      <c r="BZ24" s="7">
        <v>73340</v>
      </c>
      <c r="CA24" s="7">
        <v>92900</v>
      </c>
      <c r="CB24" s="7">
        <v>97765</v>
      </c>
      <c r="CC24" s="7">
        <v>89471</v>
      </c>
      <c r="CD24" s="7">
        <v>90877</v>
      </c>
      <c r="CE24" s="7">
        <v>122876</v>
      </c>
      <c r="CF24" s="7">
        <v>119058</v>
      </c>
      <c r="CG24" s="7">
        <v>97823</v>
      </c>
      <c r="CH24" s="7">
        <v>111445</v>
      </c>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row>
    <row r="25" spans="1:166">
      <c r="A25" s="7" t="s">
        <v>261</v>
      </c>
      <c r="B25" s="7" t="s">
        <v>88</v>
      </c>
      <c r="C25" s="7">
        <v>1000000</v>
      </c>
      <c r="D25" s="7" t="s">
        <v>89</v>
      </c>
      <c r="E25" s="7" t="s">
        <v>262</v>
      </c>
      <c r="F25" s="8" t="s">
        <v>263</v>
      </c>
      <c r="G25" s="7"/>
      <c r="H25" s="7">
        <v>2643</v>
      </c>
      <c r="I25" s="7">
        <v>5829</v>
      </c>
      <c r="J25" s="7">
        <v>10504</v>
      </c>
      <c r="K25" s="7">
        <v>9816</v>
      </c>
      <c r="L25" s="7">
        <v>7903</v>
      </c>
      <c r="M25" s="7">
        <v>8424</v>
      </c>
      <c r="N25" s="7">
        <v>9623</v>
      </c>
      <c r="O25" s="7">
        <v>8799</v>
      </c>
      <c r="P25" s="7">
        <v>10199</v>
      </c>
      <c r="Q25" s="7">
        <v>14969</v>
      </c>
      <c r="R25" s="7">
        <v>13434</v>
      </c>
      <c r="S25" s="7">
        <v>13022</v>
      </c>
      <c r="T25" s="7">
        <v>10834</v>
      </c>
      <c r="U25" s="7">
        <v>15880</v>
      </c>
      <c r="V25" s="7">
        <v>14914</v>
      </c>
      <c r="W25" s="7">
        <v>15428</v>
      </c>
      <c r="X25" s="7">
        <v>20736</v>
      </c>
      <c r="Y25" s="7">
        <v>24498</v>
      </c>
      <c r="Z25" s="7">
        <v>27961</v>
      </c>
      <c r="AA25" s="7">
        <v>33486</v>
      </c>
      <c r="AB25" s="7">
        <v>36510</v>
      </c>
      <c r="AC25" s="7">
        <v>34579</v>
      </c>
      <c r="AD25" s="7">
        <v>33053</v>
      </c>
      <c r="AE25" s="7">
        <v>28654</v>
      </c>
      <c r="AF25" s="7">
        <v>21377</v>
      </c>
      <c r="AG25" s="7">
        <v>30112</v>
      </c>
      <c r="AH25" s="7">
        <v>39364</v>
      </c>
      <c r="AI25" s="7">
        <v>43908</v>
      </c>
      <c r="AJ25" s="7">
        <v>30453</v>
      </c>
      <c r="AK25" s="7">
        <v>45537</v>
      </c>
      <c r="AL25" s="7">
        <v>59062</v>
      </c>
      <c r="AM25" s="7">
        <v>71354</v>
      </c>
      <c r="AN25" s="7">
        <v>83442</v>
      </c>
      <c r="AO25" s="7">
        <v>83565</v>
      </c>
      <c r="AP25" s="7">
        <v>60772</v>
      </c>
      <c r="AQ25" s="7">
        <v>85072</v>
      </c>
      <c r="AR25" s="7">
        <v>85404</v>
      </c>
      <c r="AS25" s="7">
        <v>106708</v>
      </c>
      <c r="AT25" s="7">
        <v>148195</v>
      </c>
      <c r="AU25" s="7">
        <v>152009</v>
      </c>
      <c r="AV25" s="7">
        <v>100829</v>
      </c>
      <c r="AW25" s="7">
        <v>117466</v>
      </c>
      <c r="AX25" s="7">
        <v>130434</v>
      </c>
      <c r="AY25" s="7">
        <v>99722</v>
      </c>
      <c r="AZ25" s="7">
        <v>92152</v>
      </c>
      <c r="BA25" s="7">
        <v>101759</v>
      </c>
      <c r="BB25" s="7">
        <v>98920</v>
      </c>
      <c r="BC25" s="7">
        <v>133672</v>
      </c>
      <c r="BD25" s="7">
        <v>176272</v>
      </c>
      <c r="BE25" s="7">
        <v>214246</v>
      </c>
      <c r="BF25" s="7">
        <v>248481</v>
      </c>
      <c r="BG25" s="7">
        <v>271342</v>
      </c>
      <c r="BH25" s="7">
        <v>215158</v>
      </c>
      <c r="BI25" s="7">
        <v>229952</v>
      </c>
      <c r="BJ25" s="7">
        <v>170814</v>
      </c>
      <c r="BK25" s="7">
        <v>145642</v>
      </c>
      <c r="BL25" s="7">
        <v>228365</v>
      </c>
      <c r="BM25" s="7">
        <v>282945</v>
      </c>
      <c r="BN25" s="7">
        <v>331683</v>
      </c>
      <c r="BO25" s="7">
        <v>436442</v>
      </c>
      <c r="BP25" s="7">
        <v>415631</v>
      </c>
      <c r="BQ25" s="7">
        <v>355481</v>
      </c>
      <c r="BR25" s="7">
        <v>318875</v>
      </c>
      <c r="BS25" s="7">
        <v>381048</v>
      </c>
      <c r="BT25" s="7">
        <v>606817</v>
      </c>
      <c r="BU25" s="7">
        <v>600196</v>
      </c>
      <c r="BV25" s="7">
        <v>583751</v>
      </c>
      <c r="BW25" s="7">
        <v>652038</v>
      </c>
      <c r="BX25" s="7">
        <v>609116</v>
      </c>
      <c r="BY25" s="7">
        <v>542816</v>
      </c>
      <c r="BZ25" s="7">
        <v>464695</v>
      </c>
      <c r="CA25" s="7">
        <v>526967</v>
      </c>
      <c r="CB25" s="7">
        <v>560292</v>
      </c>
      <c r="CC25" s="7">
        <v>578994</v>
      </c>
      <c r="CD25" s="7">
        <v>555134</v>
      </c>
      <c r="CE25" s="7">
        <v>647812</v>
      </c>
      <c r="CF25" s="7">
        <v>618860</v>
      </c>
      <c r="CG25" s="7">
        <v>731994</v>
      </c>
      <c r="CH25" s="7">
        <v>651303</v>
      </c>
      <c r="CI25" s="7"/>
      <c r="CJ25" s="7">
        <v>2643</v>
      </c>
      <c r="CK25" s="7">
        <v>5829</v>
      </c>
      <c r="CL25" s="7">
        <v>10504</v>
      </c>
      <c r="CM25" s="7">
        <v>9816</v>
      </c>
      <c r="CN25" s="7">
        <v>7903</v>
      </c>
      <c r="CO25" s="7">
        <v>8424</v>
      </c>
      <c r="CP25" s="7">
        <v>9623</v>
      </c>
      <c r="CQ25" s="7">
        <v>8799</v>
      </c>
      <c r="CR25" s="7">
        <v>10199</v>
      </c>
      <c r="CS25" s="7">
        <v>14969</v>
      </c>
      <c r="CT25" s="7">
        <v>13434</v>
      </c>
      <c r="CU25" s="7">
        <v>13022</v>
      </c>
      <c r="CV25" s="7">
        <v>10834</v>
      </c>
      <c r="CW25" s="7">
        <v>15880</v>
      </c>
      <c r="CX25" s="7">
        <v>14914</v>
      </c>
      <c r="CY25" s="7">
        <v>15428</v>
      </c>
      <c r="CZ25" s="7">
        <v>20736</v>
      </c>
      <c r="DA25" s="7">
        <v>24498</v>
      </c>
      <c r="DB25" s="7">
        <v>27961</v>
      </c>
      <c r="DC25" s="7">
        <v>33486</v>
      </c>
      <c r="DD25" s="7">
        <v>36510</v>
      </c>
      <c r="DE25" s="7">
        <v>34579</v>
      </c>
      <c r="DF25" s="7">
        <v>33053</v>
      </c>
      <c r="DG25" s="7">
        <v>28654</v>
      </c>
      <c r="DH25" s="7">
        <v>21377</v>
      </c>
      <c r="DI25" s="7">
        <v>30112</v>
      </c>
      <c r="DJ25" s="7">
        <v>39364</v>
      </c>
      <c r="DK25" s="7">
        <v>43908</v>
      </c>
      <c r="DL25" s="7">
        <v>30453</v>
      </c>
      <c r="DM25" s="7">
        <v>45537</v>
      </c>
      <c r="DN25" s="7">
        <v>59062</v>
      </c>
      <c r="DO25" s="7">
        <v>71354</v>
      </c>
      <c r="DP25" s="7">
        <v>83442</v>
      </c>
      <c r="DQ25" s="7">
        <v>83565</v>
      </c>
      <c r="DR25" s="7">
        <v>60772</v>
      </c>
      <c r="DS25" s="7">
        <v>85072</v>
      </c>
      <c r="DT25" s="7">
        <v>85404</v>
      </c>
      <c r="DU25" s="7">
        <v>106708</v>
      </c>
      <c r="DV25" s="7">
        <v>148195</v>
      </c>
      <c r="DW25" s="7">
        <v>152009</v>
      </c>
      <c r="DX25" s="7">
        <v>100829</v>
      </c>
      <c r="DY25" s="7">
        <v>117466</v>
      </c>
      <c r="DZ25" s="7">
        <v>130434</v>
      </c>
      <c r="EA25" s="7">
        <v>99722</v>
      </c>
      <c r="EB25" s="7">
        <v>92152</v>
      </c>
      <c r="EC25" s="7">
        <v>101759</v>
      </c>
      <c r="ED25" s="7">
        <v>98920</v>
      </c>
      <c r="EE25" s="7">
        <v>133672</v>
      </c>
      <c r="EF25" s="7">
        <v>176272</v>
      </c>
      <c r="EG25" s="7">
        <v>214246</v>
      </c>
      <c r="EH25" s="7">
        <v>248481</v>
      </c>
      <c r="EI25" s="7">
        <v>271342</v>
      </c>
      <c r="EJ25" s="7">
        <v>215158</v>
      </c>
      <c r="EK25" s="7">
        <v>229952</v>
      </c>
      <c r="EL25" s="7">
        <v>170814</v>
      </c>
      <c r="EM25" s="7">
        <v>145642</v>
      </c>
      <c r="EN25" s="7">
        <v>228365</v>
      </c>
      <c r="EO25" s="7">
        <v>282945</v>
      </c>
      <c r="EP25" s="7">
        <v>331683</v>
      </c>
      <c r="EQ25" s="7">
        <v>436442</v>
      </c>
      <c r="ER25" s="7">
        <v>415631</v>
      </c>
      <c r="ES25" s="7">
        <v>355481</v>
      </c>
      <c r="ET25" s="7">
        <v>318875</v>
      </c>
      <c r="EU25" s="7">
        <v>381048</v>
      </c>
      <c r="EV25" s="7">
        <v>606817</v>
      </c>
      <c r="EW25" s="7">
        <v>600196</v>
      </c>
      <c r="EX25" s="7">
        <v>583751</v>
      </c>
      <c r="EY25" s="7">
        <v>652038</v>
      </c>
      <c r="EZ25" s="7">
        <v>609116</v>
      </c>
      <c r="FA25" s="7">
        <v>542816</v>
      </c>
      <c r="FB25" s="7">
        <v>464695</v>
      </c>
      <c r="FC25" s="7">
        <v>526967</v>
      </c>
      <c r="FD25" s="7">
        <v>560292</v>
      </c>
      <c r="FE25" s="7">
        <v>578994</v>
      </c>
      <c r="FF25" s="7">
        <v>555134</v>
      </c>
      <c r="FG25" s="7">
        <v>647812</v>
      </c>
      <c r="FH25" s="7">
        <v>618860</v>
      </c>
      <c r="FI25" s="7">
        <v>731994</v>
      </c>
      <c r="FJ25" s="7">
        <v>651303</v>
      </c>
    </row>
    <row r="26" spans="1:166">
      <c r="A26" s="7" t="s">
        <v>264</v>
      </c>
      <c r="B26" s="7" t="s">
        <v>88</v>
      </c>
      <c r="C26" s="7">
        <v>1000000</v>
      </c>
      <c r="D26" s="7" t="s">
        <v>89</v>
      </c>
      <c r="E26" s="7" t="s">
        <v>265</v>
      </c>
      <c r="F26" s="8" t="s">
        <v>266</v>
      </c>
      <c r="G26" s="7"/>
      <c r="H26" s="7">
        <v>2643</v>
      </c>
      <c r="I26" s="7">
        <v>5829</v>
      </c>
      <c r="J26" s="7">
        <v>10504</v>
      </c>
      <c r="K26" s="7">
        <v>9816</v>
      </c>
      <c r="L26" s="7">
        <v>7903</v>
      </c>
      <c r="M26" s="7">
        <v>8424</v>
      </c>
      <c r="N26" s="7">
        <v>9623</v>
      </c>
      <c r="O26" s="7">
        <v>8799</v>
      </c>
      <c r="P26" s="7">
        <v>10199</v>
      </c>
      <c r="Q26" s="7">
        <v>14977</v>
      </c>
      <c r="R26" s="7">
        <v>13454</v>
      </c>
      <c r="S26" s="7">
        <v>13046</v>
      </c>
      <c r="T26" s="7">
        <v>10862</v>
      </c>
      <c r="U26" s="7">
        <v>15929</v>
      </c>
      <c r="V26" s="7">
        <v>15007</v>
      </c>
      <c r="W26" s="7">
        <v>15551</v>
      </c>
      <c r="X26" s="7">
        <v>20862</v>
      </c>
      <c r="Y26" s="7">
        <v>24586</v>
      </c>
      <c r="Z26" s="7">
        <v>28042</v>
      </c>
      <c r="AA26" s="7">
        <v>33567</v>
      </c>
      <c r="AB26" s="7">
        <v>36593</v>
      </c>
      <c r="AC26" s="7">
        <v>34664</v>
      </c>
      <c r="AD26" s="7">
        <v>33165</v>
      </c>
      <c r="AE26" s="7">
        <v>28731</v>
      </c>
      <c r="AF26" s="7">
        <v>21502</v>
      </c>
      <c r="AG26" s="7">
        <v>30251</v>
      </c>
      <c r="AH26" s="7">
        <v>39558</v>
      </c>
      <c r="AI26" s="7">
        <v>44065</v>
      </c>
      <c r="AJ26" s="7">
        <v>30676</v>
      </c>
      <c r="AK26" s="7">
        <v>45778</v>
      </c>
      <c r="AL26" s="7">
        <v>59260</v>
      </c>
      <c r="AM26" s="7">
        <v>71515</v>
      </c>
      <c r="AN26" s="7">
        <v>83606</v>
      </c>
      <c r="AO26" s="7">
        <v>83808</v>
      </c>
      <c r="AP26" s="7">
        <v>61048</v>
      </c>
      <c r="AQ26" s="7">
        <v>85274</v>
      </c>
      <c r="AR26" s="7">
        <v>85603</v>
      </c>
      <c r="AS26" s="7">
        <v>106746</v>
      </c>
      <c r="AT26" s="7">
        <v>148203</v>
      </c>
      <c r="AU26" s="7">
        <v>152013</v>
      </c>
      <c r="AV26" s="7">
        <v>100829</v>
      </c>
      <c r="AW26" s="7">
        <v>117466</v>
      </c>
      <c r="AX26" s="7">
        <v>130434</v>
      </c>
      <c r="AY26" s="7">
        <v>100906</v>
      </c>
      <c r="AZ26" s="7">
        <v>92152</v>
      </c>
      <c r="BA26" s="7">
        <v>101759</v>
      </c>
      <c r="BB26" s="7">
        <v>105875</v>
      </c>
      <c r="BC26" s="7">
        <v>134275</v>
      </c>
      <c r="BD26" s="7">
        <v>179530</v>
      </c>
      <c r="BE26" s="7">
        <v>214690</v>
      </c>
      <c r="BF26" s="7">
        <v>248481</v>
      </c>
      <c r="BG26" s="7">
        <v>271342</v>
      </c>
      <c r="BH26" s="7">
        <v>215158</v>
      </c>
      <c r="BI26" s="7">
        <v>230830</v>
      </c>
      <c r="BJ26" s="7">
        <v>170814</v>
      </c>
      <c r="BK26" s="7">
        <v>158174</v>
      </c>
      <c r="BL26" s="7">
        <v>228365</v>
      </c>
      <c r="BM26" s="7">
        <v>283036</v>
      </c>
      <c r="BN26" s="7">
        <v>338341</v>
      </c>
      <c r="BO26" s="7">
        <v>451959</v>
      </c>
      <c r="BP26" s="7">
        <v>415659</v>
      </c>
      <c r="BQ26" s="7">
        <v>355515</v>
      </c>
      <c r="BR26" s="7">
        <v>322561</v>
      </c>
      <c r="BS26" s="7">
        <v>342750</v>
      </c>
      <c r="BT26" s="7">
        <v>585901</v>
      </c>
      <c r="BU26" s="7">
        <v>606625</v>
      </c>
      <c r="BV26" s="7">
        <v>600749</v>
      </c>
      <c r="BW26" s="7">
        <v>657750</v>
      </c>
      <c r="BX26" s="7">
        <v>615792</v>
      </c>
      <c r="BY26" s="7">
        <v>546058</v>
      </c>
      <c r="BZ26" s="7">
        <v>462062</v>
      </c>
      <c r="CA26" s="7">
        <v>326143</v>
      </c>
      <c r="CB26" s="7">
        <v>566488</v>
      </c>
      <c r="CC26" s="7">
        <v>591425</v>
      </c>
      <c r="CD26" s="7">
        <v>541501</v>
      </c>
      <c r="CE26" s="7">
        <v>663188</v>
      </c>
      <c r="CF26" s="7">
        <v>588607</v>
      </c>
      <c r="CG26" s="7">
        <v>732776</v>
      </c>
      <c r="CH26" s="7">
        <v>668053</v>
      </c>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row>
    <row r="27" spans="1:166">
      <c r="A27" s="7" t="s">
        <v>261</v>
      </c>
      <c r="B27" s="7" t="s">
        <v>88</v>
      </c>
      <c r="C27" s="7">
        <v>1000000</v>
      </c>
      <c r="D27" s="7" t="s">
        <v>89</v>
      </c>
      <c r="E27" s="7" t="s">
        <v>262</v>
      </c>
      <c r="F27" s="8" t="s">
        <v>263</v>
      </c>
      <c r="G27" s="7"/>
      <c r="H27" s="7">
        <v>2643</v>
      </c>
      <c r="I27" s="7">
        <v>5829</v>
      </c>
      <c r="J27" s="7">
        <v>10504</v>
      </c>
      <c r="K27" s="7">
        <v>9816</v>
      </c>
      <c r="L27" s="7">
        <v>7903</v>
      </c>
      <c r="M27" s="7">
        <v>8424</v>
      </c>
      <c r="N27" s="7">
        <v>9623</v>
      </c>
      <c r="O27" s="7">
        <v>8799</v>
      </c>
      <c r="P27" s="7">
        <v>10199</v>
      </c>
      <c r="Q27" s="7">
        <v>14969</v>
      </c>
      <c r="R27" s="7">
        <v>13434</v>
      </c>
      <c r="S27" s="7">
        <v>13022</v>
      </c>
      <c r="T27" s="7">
        <v>10834</v>
      </c>
      <c r="U27" s="7">
        <v>15880</v>
      </c>
      <c r="V27" s="7">
        <v>14914</v>
      </c>
      <c r="W27" s="7">
        <v>15428</v>
      </c>
      <c r="X27" s="7">
        <v>20736</v>
      </c>
      <c r="Y27" s="7">
        <v>24498</v>
      </c>
      <c r="Z27" s="7">
        <v>27961</v>
      </c>
      <c r="AA27" s="7">
        <v>33486</v>
      </c>
      <c r="AB27" s="7">
        <v>36510</v>
      </c>
      <c r="AC27" s="7">
        <v>34579</v>
      </c>
      <c r="AD27" s="7">
        <v>33053</v>
      </c>
      <c r="AE27" s="7">
        <v>28654</v>
      </c>
      <c r="AF27" s="7">
        <v>21377</v>
      </c>
      <c r="AG27" s="7">
        <v>30112</v>
      </c>
      <c r="AH27" s="7">
        <v>39364</v>
      </c>
      <c r="AI27" s="7">
        <v>43908</v>
      </c>
      <c r="AJ27" s="7">
        <v>30453</v>
      </c>
      <c r="AK27" s="7">
        <v>45537</v>
      </c>
      <c r="AL27" s="7">
        <v>59062</v>
      </c>
      <c r="AM27" s="7">
        <v>71354</v>
      </c>
      <c r="AN27" s="7">
        <v>83442</v>
      </c>
      <c r="AO27" s="7">
        <v>83565</v>
      </c>
      <c r="AP27" s="7">
        <v>60772</v>
      </c>
      <c r="AQ27" s="7">
        <v>85072</v>
      </c>
      <c r="AR27" s="7">
        <v>85404</v>
      </c>
      <c r="AS27" s="7">
        <v>106708</v>
      </c>
      <c r="AT27" s="7">
        <v>148195</v>
      </c>
      <c r="AU27" s="7">
        <v>152009</v>
      </c>
      <c r="AV27" s="7">
        <v>100829</v>
      </c>
      <c r="AW27" s="7">
        <v>117466</v>
      </c>
      <c r="AX27" s="7">
        <v>130434</v>
      </c>
      <c r="AY27" s="7">
        <v>99722</v>
      </c>
      <c r="AZ27" s="7">
        <v>92152</v>
      </c>
      <c r="BA27" s="7">
        <v>101759</v>
      </c>
      <c r="BB27" s="7">
        <v>98920</v>
      </c>
      <c r="BC27" s="7">
        <v>133672</v>
      </c>
      <c r="BD27" s="7">
        <v>176272</v>
      </c>
      <c r="BE27" s="7">
        <v>214246</v>
      </c>
      <c r="BF27" s="7">
        <v>248481</v>
      </c>
      <c r="BG27" s="7">
        <v>271342</v>
      </c>
      <c r="BH27" s="7">
        <v>215158</v>
      </c>
      <c r="BI27" s="7">
        <v>229952</v>
      </c>
      <c r="BJ27" s="7">
        <v>170814</v>
      </c>
      <c r="BK27" s="7">
        <v>145642</v>
      </c>
      <c r="BL27" s="7">
        <v>228365</v>
      </c>
      <c r="BM27" s="7">
        <v>282945</v>
      </c>
      <c r="BN27" s="7">
        <v>331683</v>
      </c>
      <c r="BO27" s="7">
        <v>436442</v>
      </c>
      <c r="BP27" s="7">
        <v>415631</v>
      </c>
      <c r="BQ27" s="7">
        <v>355481</v>
      </c>
      <c r="BR27" s="7">
        <v>318875</v>
      </c>
      <c r="BS27" s="7">
        <v>381048</v>
      </c>
      <c r="BT27" s="7">
        <v>606817</v>
      </c>
      <c r="BU27" s="7">
        <v>600196</v>
      </c>
      <c r="BV27" s="7">
        <v>583751</v>
      </c>
      <c r="BW27" s="7">
        <v>652038</v>
      </c>
      <c r="BX27" s="7">
        <v>609116</v>
      </c>
      <c r="BY27" s="7">
        <v>542816</v>
      </c>
      <c r="BZ27" s="7">
        <v>464695</v>
      </c>
      <c r="CA27" s="7">
        <v>526967</v>
      </c>
      <c r="CB27" s="7">
        <v>560292</v>
      </c>
      <c r="CC27" s="7">
        <v>578994</v>
      </c>
      <c r="CD27" s="7">
        <v>555134</v>
      </c>
      <c r="CE27" s="7">
        <v>647812</v>
      </c>
      <c r="CF27" s="7">
        <v>618860</v>
      </c>
      <c r="CG27" s="7">
        <v>731994</v>
      </c>
      <c r="CH27" s="7">
        <v>651303</v>
      </c>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row>
    <row r="28" spans="1:166">
      <c r="A28" s="7" t="s">
        <v>267</v>
      </c>
      <c r="B28" s="7" t="s">
        <v>88</v>
      </c>
      <c r="C28" s="7">
        <v>1000000</v>
      </c>
      <c r="D28" s="7" t="s">
        <v>89</v>
      </c>
      <c r="E28" s="7" t="s">
        <v>268</v>
      </c>
      <c r="F28" s="8" t="s">
        <v>269</v>
      </c>
      <c r="G28" s="7"/>
      <c r="H28" s="7">
        <v>0</v>
      </c>
      <c r="I28" s="7">
        <v>0</v>
      </c>
      <c r="J28" s="7">
        <v>0</v>
      </c>
      <c r="K28" s="7">
        <v>0</v>
      </c>
      <c r="L28" s="7">
        <v>0</v>
      </c>
      <c r="M28" s="7">
        <v>0</v>
      </c>
      <c r="N28" s="7">
        <v>0</v>
      </c>
      <c r="O28" s="7">
        <v>0</v>
      </c>
      <c r="P28" s="7">
        <v>0</v>
      </c>
      <c r="Q28" s="7">
        <v>-8</v>
      </c>
      <c r="R28" s="7">
        <v>-20</v>
      </c>
      <c r="S28" s="7">
        <v>-24</v>
      </c>
      <c r="T28" s="7">
        <v>-28</v>
      </c>
      <c r="U28" s="7">
        <v>-49</v>
      </c>
      <c r="V28" s="7">
        <v>-93</v>
      </c>
      <c r="W28" s="7">
        <v>-123</v>
      </c>
      <c r="X28" s="7">
        <v>-126</v>
      </c>
      <c r="Y28" s="7">
        <v>-88</v>
      </c>
      <c r="Z28" s="7">
        <v>-81</v>
      </c>
      <c r="AA28" s="7">
        <v>-81</v>
      </c>
      <c r="AB28" s="7">
        <v>-83</v>
      </c>
      <c r="AC28" s="7">
        <v>-85</v>
      </c>
      <c r="AD28" s="7">
        <v>-112</v>
      </c>
      <c r="AE28" s="7">
        <v>-77</v>
      </c>
      <c r="AF28" s="7">
        <v>-125</v>
      </c>
      <c r="AG28" s="7">
        <v>-139</v>
      </c>
      <c r="AH28" s="7">
        <v>-194</v>
      </c>
      <c r="AI28" s="7">
        <v>-157</v>
      </c>
      <c r="AJ28" s="7">
        <v>-223</v>
      </c>
      <c r="AK28" s="7">
        <v>-241</v>
      </c>
      <c r="AL28" s="7">
        <v>-198</v>
      </c>
      <c r="AM28" s="7">
        <v>-161</v>
      </c>
      <c r="AN28" s="7">
        <v>-164</v>
      </c>
      <c r="AO28" s="7">
        <v>-243</v>
      </c>
      <c r="AP28" s="7">
        <v>-276</v>
      </c>
      <c r="AQ28" s="7">
        <v>-202</v>
      </c>
      <c r="AR28" s="7">
        <v>-199</v>
      </c>
      <c r="AS28" s="7">
        <v>-38</v>
      </c>
      <c r="AT28" s="7">
        <v>-8</v>
      </c>
      <c r="AU28" s="7">
        <v>-4</v>
      </c>
      <c r="AV28" s="7">
        <v>0</v>
      </c>
      <c r="AW28" s="7">
        <v>0</v>
      </c>
      <c r="AX28" s="7">
        <v>0</v>
      </c>
      <c r="AY28" s="7">
        <v>-1184</v>
      </c>
      <c r="AZ28" s="7">
        <v>0</v>
      </c>
      <c r="BA28" s="7">
        <v>0</v>
      </c>
      <c r="BB28" s="7">
        <v>-6955</v>
      </c>
      <c r="BC28" s="7">
        <v>-603</v>
      </c>
      <c r="BD28" s="7">
        <v>-3258</v>
      </c>
      <c r="BE28" s="7">
        <v>-444</v>
      </c>
      <c r="BF28" s="7">
        <v>0</v>
      </c>
      <c r="BG28" s="7">
        <v>0</v>
      </c>
      <c r="BH28" s="7">
        <v>0</v>
      </c>
      <c r="BI28" s="7">
        <v>-878</v>
      </c>
      <c r="BJ28" s="7">
        <v>0</v>
      </c>
      <c r="BK28" s="7">
        <v>-12532</v>
      </c>
      <c r="BL28" s="7">
        <v>0</v>
      </c>
      <c r="BM28" s="7">
        <v>-91</v>
      </c>
      <c r="BN28" s="7">
        <v>-6658</v>
      </c>
      <c r="BO28" s="7">
        <v>-15517</v>
      </c>
      <c r="BP28" s="7">
        <v>-28</v>
      </c>
      <c r="BQ28" s="7">
        <v>-34</v>
      </c>
      <c r="BR28" s="7">
        <v>-3686</v>
      </c>
      <c r="BS28" s="7">
        <v>38298</v>
      </c>
      <c r="BT28" s="7">
        <v>20916</v>
      </c>
      <c r="BU28" s="7">
        <v>-6429</v>
      </c>
      <c r="BV28" s="7">
        <v>-16998</v>
      </c>
      <c r="BW28" s="7">
        <v>-5712</v>
      </c>
      <c r="BX28" s="7">
        <v>-6676</v>
      </c>
      <c r="BY28" s="7">
        <v>-3242</v>
      </c>
      <c r="BZ28" s="7">
        <v>2633</v>
      </c>
      <c r="CA28" s="7">
        <v>200824</v>
      </c>
      <c r="CB28" s="7">
        <v>-6196</v>
      </c>
      <c r="CC28" s="7">
        <v>-12431</v>
      </c>
      <c r="CD28" s="7">
        <v>13633</v>
      </c>
      <c r="CE28" s="7">
        <v>-15375</v>
      </c>
      <c r="CF28" s="7">
        <v>30253</v>
      </c>
      <c r="CG28" s="7">
        <v>-782</v>
      </c>
      <c r="CH28" s="7">
        <v>-16750</v>
      </c>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row>
    <row r="29" spans="1:166">
      <c r="A29" s="7" t="s">
        <v>103</v>
      </c>
      <c r="B29" s="7" t="s">
        <v>88</v>
      </c>
      <c r="C29" s="7">
        <v>1000000</v>
      </c>
      <c r="D29" s="7" t="s">
        <v>89</v>
      </c>
      <c r="E29" s="7" t="s">
        <v>270</v>
      </c>
      <c r="F29" s="8" t="s">
        <v>271</v>
      </c>
      <c r="G29" s="7"/>
      <c r="H29" s="7">
        <v>11430</v>
      </c>
      <c r="I29" s="7">
        <v>8871</v>
      </c>
      <c r="J29" s="7">
        <v>10765</v>
      </c>
      <c r="K29" s="7">
        <v>3066</v>
      </c>
      <c r="L29" s="7">
        <v>11404</v>
      </c>
      <c r="M29" s="7">
        <v>16357</v>
      </c>
      <c r="N29" s="7">
        <v>10608</v>
      </c>
      <c r="O29" s="7">
        <v>11031</v>
      </c>
      <c r="P29" s="7">
        <v>6545</v>
      </c>
      <c r="Q29" s="7">
        <v>15135</v>
      </c>
      <c r="R29" s="7">
        <v>18291</v>
      </c>
      <c r="S29" s="7">
        <v>14768</v>
      </c>
      <c r="T29" s="7">
        <v>5285</v>
      </c>
      <c r="U29" s="7">
        <v>14656</v>
      </c>
      <c r="V29" s="7">
        <v>14266</v>
      </c>
      <c r="W29" s="7">
        <v>12792</v>
      </c>
      <c r="X29" s="7">
        <v>17213</v>
      </c>
      <c r="Y29" s="7">
        <v>18340</v>
      </c>
      <c r="Z29" s="7">
        <v>22359</v>
      </c>
      <c r="AA29" s="7">
        <v>31812</v>
      </c>
      <c r="AB29" s="7">
        <v>43590</v>
      </c>
      <c r="AC29" s="7">
        <v>38108</v>
      </c>
      <c r="AD29" s="7">
        <v>39541</v>
      </c>
      <c r="AE29" s="7">
        <v>43415</v>
      </c>
      <c r="AF29" s="7">
        <v>35517</v>
      </c>
      <c r="AG29" s="7">
        <v>36514</v>
      </c>
      <c r="AH29" s="7">
        <v>45585</v>
      </c>
      <c r="AI29" s="7">
        <v>62896</v>
      </c>
      <c r="AJ29" s="7">
        <v>70037</v>
      </c>
      <c r="AK29" s="7">
        <v>28093</v>
      </c>
      <c r="AL29" s="7">
        <v>61466</v>
      </c>
      <c r="AM29" s="7">
        <v>77722</v>
      </c>
      <c r="AN29" s="7">
        <v>105439</v>
      </c>
      <c r="AO29" s="7">
        <v>117665</v>
      </c>
      <c r="AP29" s="7">
        <v>104056</v>
      </c>
      <c r="AQ29" s="7">
        <v>138889</v>
      </c>
      <c r="AR29" s="7">
        <v>80079</v>
      </c>
      <c r="AS29" s="7">
        <v>96372</v>
      </c>
      <c r="AT29" s="7">
        <v>187898</v>
      </c>
      <c r="AU29" s="7">
        <v>149005</v>
      </c>
      <c r="AV29" s="7">
        <v>118798</v>
      </c>
      <c r="AW29" s="7">
        <v>118463</v>
      </c>
      <c r="AX29" s="7">
        <v>119533</v>
      </c>
      <c r="AY29" s="7">
        <v>135528</v>
      </c>
      <c r="AZ29" s="7">
        <v>133374</v>
      </c>
      <c r="BA29" s="7">
        <v>98342</v>
      </c>
      <c r="BB29" s="7">
        <v>115591</v>
      </c>
      <c r="BC29" s="7">
        <v>150363</v>
      </c>
      <c r="BD29" s="7">
        <v>202817</v>
      </c>
      <c r="BE29" s="7">
        <v>242656</v>
      </c>
      <c r="BF29" s="7">
        <v>250539</v>
      </c>
      <c r="BG29" s="7">
        <v>333886</v>
      </c>
      <c r="BH29" s="7">
        <v>343001</v>
      </c>
      <c r="BI29" s="7">
        <v>371922</v>
      </c>
      <c r="BJ29" s="7">
        <v>413094</v>
      </c>
      <c r="BK29" s="7">
        <v>248786</v>
      </c>
      <c r="BL29" s="7">
        <v>168669</v>
      </c>
      <c r="BM29" s="7">
        <v>168493</v>
      </c>
      <c r="BN29" s="7">
        <v>226709</v>
      </c>
      <c r="BO29" s="7">
        <v>294555</v>
      </c>
      <c r="BP29" s="7">
        <v>380557</v>
      </c>
      <c r="BQ29" s="7">
        <v>367343</v>
      </c>
      <c r="BR29" s="7">
        <v>305952</v>
      </c>
      <c r="BS29" s="7">
        <v>-36722</v>
      </c>
      <c r="BT29" s="7">
        <v>180914</v>
      </c>
      <c r="BU29" s="7">
        <v>257974</v>
      </c>
      <c r="BV29" s="7">
        <v>382030</v>
      </c>
      <c r="BW29" s="7">
        <v>393380</v>
      </c>
      <c r="BX29" s="7">
        <v>491179</v>
      </c>
      <c r="BY29" s="7">
        <v>542713</v>
      </c>
      <c r="BZ29" s="7">
        <v>429641</v>
      </c>
      <c r="CA29" s="7">
        <v>441899</v>
      </c>
      <c r="CB29" s="7">
        <v>550016</v>
      </c>
      <c r="CC29" s="7">
        <v>533899</v>
      </c>
      <c r="CD29" s="7">
        <v>303455</v>
      </c>
      <c r="CE29" s="7">
        <v>452090</v>
      </c>
      <c r="CF29" s="7">
        <v>804087</v>
      </c>
      <c r="CG29" s="7">
        <v>697075</v>
      </c>
      <c r="CH29" s="7">
        <v>681699</v>
      </c>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row>
    <row r="30" spans="1:166">
      <c r="A30" s="7" t="s">
        <v>100</v>
      </c>
      <c r="B30" s="7" t="s">
        <v>88</v>
      </c>
      <c r="C30" s="7">
        <v>1000000</v>
      </c>
      <c r="D30" s="7" t="s">
        <v>89</v>
      </c>
      <c r="E30" s="7" t="s">
        <v>272</v>
      </c>
      <c r="F30" s="8" t="s">
        <v>273</v>
      </c>
      <c r="G30" s="7"/>
      <c r="H30" s="7">
        <v>13361</v>
      </c>
      <c r="I30" s="7">
        <v>17296</v>
      </c>
      <c r="J30" s="7">
        <v>19102</v>
      </c>
      <c r="K30" s="7">
        <v>17269</v>
      </c>
      <c r="L30" s="7">
        <v>18961</v>
      </c>
      <c r="M30" s="7">
        <v>22779</v>
      </c>
      <c r="N30" s="7">
        <v>24384</v>
      </c>
      <c r="O30" s="7">
        <v>26910</v>
      </c>
      <c r="P30" s="7">
        <v>26662</v>
      </c>
      <c r="Q30" s="7">
        <v>29403</v>
      </c>
      <c r="R30" s="7">
        <v>35688</v>
      </c>
      <c r="S30" s="7">
        <v>38576</v>
      </c>
      <c r="T30" s="7">
        <v>33721</v>
      </c>
      <c r="U30" s="7">
        <v>37278</v>
      </c>
      <c r="V30" s="7">
        <v>40431</v>
      </c>
      <c r="W30" s="7">
        <v>40444</v>
      </c>
      <c r="X30" s="7">
        <v>43578</v>
      </c>
      <c r="Y30" s="7">
        <v>46438</v>
      </c>
      <c r="Z30" s="7">
        <v>51851</v>
      </c>
      <c r="AA30" s="7">
        <v>61704</v>
      </c>
      <c r="AB30" s="7">
        <v>71952</v>
      </c>
      <c r="AC30" s="7">
        <v>73874</v>
      </c>
      <c r="AD30" s="7">
        <v>80346</v>
      </c>
      <c r="AE30" s="7">
        <v>89281</v>
      </c>
      <c r="AF30" s="7">
        <v>92336</v>
      </c>
      <c r="AG30" s="7">
        <v>95421</v>
      </c>
      <c r="AH30" s="7">
        <v>107865</v>
      </c>
      <c r="AI30" s="7">
        <v>125804</v>
      </c>
      <c r="AJ30" s="7">
        <v>141538</v>
      </c>
      <c r="AK30" s="7">
        <v>144183</v>
      </c>
      <c r="AL30" s="7">
        <v>161805</v>
      </c>
      <c r="AM30" s="7">
        <v>193035</v>
      </c>
      <c r="AN30" s="7">
        <v>233472</v>
      </c>
      <c r="AO30" s="7">
        <v>274491</v>
      </c>
      <c r="AP30" s="7">
        <v>299969</v>
      </c>
      <c r="AQ30" s="7">
        <v>343054</v>
      </c>
      <c r="AR30" s="7">
        <v>349908</v>
      </c>
      <c r="AS30" s="7">
        <v>348271</v>
      </c>
      <c r="AT30" s="7">
        <v>405891</v>
      </c>
      <c r="AU30" s="7">
        <v>431584</v>
      </c>
      <c r="AV30" s="7">
        <v>426903</v>
      </c>
      <c r="AW30" s="7">
        <v>422235</v>
      </c>
      <c r="AX30" s="7">
        <v>450558</v>
      </c>
      <c r="AY30" s="7">
        <v>489804</v>
      </c>
      <c r="AZ30" s="7">
        <v>524972</v>
      </c>
      <c r="BA30" s="7">
        <v>522908</v>
      </c>
      <c r="BB30" s="7">
        <v>543625</v>
      </c>
      <c r="BC30" s="7">
        <v>582993</v>
      </c>
      <c r="BD30" s="7">
        <v>636979</v>
      </c>
      <c r="BE30" s="7">
        <v>719057</v>
      </c>
      <c r="BF30" s="7">
        <v>779768</v>
      </c>
      <c r="BG30" s="7">
        <v>858482</v>
      </c>
      <c r="BH30" s="7">
        <v>915633</v>
      </c>
      <c r="BI30" s="7">
        <v>994652</v>
      </c>
      <c r="BJ30" s="7">
        <v>1101403</v>
      </c>
      <c r="BK30" s="7">
        <v>1065402</v>
      </c>
      <c r="BL30" s="7">
        <v>956646</v>
      </c>
      <c r="BM30" s="7">
        <v>976342</v>
      </c>
      <c r="BN30" s="7">
        <v>1029817</v>
      </c>
      <c r="BO30" s="7">
        <v>1156258</v>
      </c>
      <c r="BP30" s="7">
        <v>1287718</v>
      </c>
      <c r="BQ30" s="7">
        <v>1384599</v>
      </c>
      <c r="BR30" s="7">
        <v>1422603</v>
      </c>
      <c r="BS30" s="7">
        <v>1201475</v>
      </c>
      <c r="BT30" s="7">
        <v>1251054</v>
      </c>
      <c r="BU30" s="7">
        <v>1390984</v>
      </c>
      <c r="BV30" s="7">
        <v>1543068</v>
      </c>
      <c r="BW30" s="7">
        <v>1590872</v>
      </c>
      <c r="BX30" s="7">
        <v>1767580</v>
      </c>
      <c r="BY30" s="7">
        <v>1801861</v>
      </c>
      <c r="BZ30" s="7">
        <v>1826792</v>
      </c>
      <c r="CA30" s="7">
        <v>1919803</v>
      </c>
      <c r="CB30" s="7">
        <v>2080197</v>
      </c>
      <c r="CC30" s="7">
        <v>2127035</v>
      </c>
      <c r="CD30" s="7">
        <v>2051296</v>
      </c>
      <c r="CE30" s="7">
        <v>2236870</v>
      </c>
      <c r="CF30" s="7">
        <v>2548806</v>
      </c>
      <c r="CG30" s="7">
        <v>2810202</v>
      </c>
      <c r="CH30" s="7">
        <v>2914282</v>
      </c>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row>
    <row r="31" spans="1:166">
      <c r="A31" s="7" t="s">
        <v>204</v>
      </c>
      <c r="B31" s="7" t="s">
        <v>88</v>
      </c>
      <c r="C31" s="7">
        <v>1000000</v>
      </c>
      <c r="D31" s="7" t="s">
        <v>89</v>
      </c>
      <c r="E31" s="7" t="s">
        <v>205</v>
      </c>
      <c r="F31" s="8" t="s">
        <v>206</v>
      </c>
      <c r="G31" s="7"/>
      <c r="H31" s="7">
        <v>7752</v>
      </c>
      <c r="I31" s="7">
        <v>9476</v>
      </c>
      <c r="J31" s="7">
        <v>11120</v>
      </c>
      <c r="K31" s="7">
        <v>12008</v>
      </c>
      <c r="L31" s="7">
        <v>12848</v>
      </c>
      <c r="M31" s="7">
        <v>14636</v>
      </c>
      <c r="N31" s="7">
        <v>15581</v>
      </c>
      <c r="O31" s="7">
        <v>16729</v>
      </c>
      <c r="P31" s="7">
        <v>17724</v>
      </c>
      <c r="Q31" s="7">
        <v>18913</v>
      </c>
      <c r="R31" s="7">
        <v>21356</v>
      </c>
      <c r="S31" s="7">
        <v>23757</v>
      </c>
      <c r="T31" s="7">
        <v>25496</v>
      </c>
      <c r="U31" s="7">
        <v>26689</v>
      </c>
      <c r="V31" s="7">
        <v>27561</v>
      </c>
      <c r="W31" s="7">
        <v>28564</v>
      </c>
      <c r="X31" s="7">
        <v>29824</v>
      </c>
      <c r="Y31" s="7">
        <v>31340</v>
      </c>
      <c r="Z31" s="7">
        <v>33253</v>
      </c>
      <c r="AA31" s="7">
        <v>35829</v>
      </c>
      <c r="AB31" s="7">
        <v>39392</v>
      </c>
      <c r="AC31" s="7">
        <v>43452</v>
      </c>
      <c r="AD31" s="7">
        <v>48092</v>
      </c>
      <c r="AE31" s="7">
        <v>53485</v>
      </c>
      <c r="AF31" s="7">
        <v>59260</v>
      </c>
      <c r="AG31" s="7">
        <v>64733</v>
      </c>
      <c r="AH31" s="7">
        <v>70189</v>
      </c>
      <c r="AI31" s="7">
        <v>78181</v>
      </c>
      <c r="AJ31" s="7">
        <v>91385</v>
      </c>
      <c r="AK31" s="7">
        <v>107725</v>
      </c>
      <c r="AL31" s="7">
        <v>118273</v>
      </c>
      <c r="AM31" s="7">
        <v>132560</v>
      </c>
      <c r="AN31" s="7">
        <v>150153</v>
      </c>
      <c r="AO31" s="7">
        <v>172444</v>
      </c>
      <c r="AP31" s="7">
        <v>198860</v>
      </c>
      <c r="AQ31" s="7">
        <v>229084</v>
      </c>
      <c r="AR31" s="7">
        <v>253881</v>
      </c>
      <c r="AS31" s="7">
        <v>264616</v>
      </c>
      <c r="AT31" s="7">
        <v>278952</v>
      </c>
      <c r="AU31" s="7">
        <v>298976</v>
      </c>
      <c r="AV31" s="7">
        <v>317873</v>
      </c>
      <c r="AW31" s="7">
        <v>334692</v>
      </c>
      <c r="AX31" s="7">
        <v>358201</v>
      </c>
      <c r="AY31" s="7">
        <v>380160</v>
      </c>
      <c r="AZ31" s="7">
        <v>402625</v>
      </c>
      <c r="BA31" s="7">
        <v>423557</v>
      </c>
      <c r="BB31" s="7">
        <v>436253</v>
      </c>
      <c r="BC31" s="7">
        <v>455845</v>
      </c>
      <c r="BD31" s="7">
        <v>482344</v>
      </c>
      <c r="BE31" s="7">
        <v>520836</v>
      </c>
      <c r="BF31" s="7">
        <v>554165</v>
      </c>
      <c r="BG31" s="7">
        <v>594613</v>
      </c>
      <c r="BH31" s="7">
        <v>634096</v>
      </c>
      <c r="BI31" s="7">
        <v>679077</v>
      </c>
      <c r="BJ31" s="7">
        <v>737452</v>
      </c>
      <c r="BK31" s="7">
        <v>781461</v>
      </c>
      <c r="BL31" s="7">
        <v>805023</v>
      </c>
      <c r="BM31" s="7">
        <v>818192</v>
      </c>
      <c r="BN31" s="7">
        <v>851953</v>
      </c>
      <c r="BO31" s="7">
        <v>913611</v>
      </c>
      <c r="BP31" s="7">
        <v>984446</v>
      </c>
      <c r="BQ31" s="7">
        <v>1047220</v>
      </c>
      <c r="BR31" s="7">
        <v>1108750</v>
      </c>
      <c r="BS31" s="7">
        <v>1114627</v>
      </c>
      <c r="BT31" s="7">
        <v>1123496</v>
      </c>
      <c r="BU31" s="7">
        <v>1173464</v>
      </c>
      <c r="BV31" s="7">
        <v>1234809</v>
      </c>
      <c r="BW31" s="7">
        <v>1282796</v>
      </c>
      <c r="BX31" s="7">
        <v>1352680</v>
      </c>
      <c r="BY31" s="7">
        <v>1408264</v>
      </c>
      <c r="BZ31" s="7">
        <v>1441019</v>
      </c>
      <c r="CA31" s="7">
        <v>1509413</v>
      </c>
      <c r="CB31" s="7">
        <v>1582147</v>
      </c>
      <c r="CC31" s="7">
        <v>1664697</v>
      </c>
      <c r="CD31" s="7">
        <v>1728115</v>
      </c>
      <c r="CE31" s="7">
        <v>1815454</v>
      </c>
      <c r="CF31" s="7">
        <v>2010486</v>
      </c>
      <c r="CG31" s="7">
        <v>2154291</v>
      </c>
      <c r="CH31" s="7">
        <v>2274356</v>
      </c>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row>
    <row r="32" spans="1:166">
      <c r="A32" s="7" t="s">
        <v>274</v>
      </c>
      <c r="B32" s="7" t="s">
        <v>88</v>
      </c>
      <c r="C32" s="7">
        <v>1000000</v>
      </c>
      <c r="D32" s="7" t="s">
        <v>89</v>
      </c>
      <c r="E32" s="7" t="s">
        <v>275</v>
      </c>
      <c r="F32" s="8" t="s">
        <v>276</v>
      </c>
      <c r="G32" s="7"/>
      <c r="H32" s="7">
        <v>-70</v>
      </c>
      <c r="I32" s="7">
        <v>-90</v>
      </c>
      <c r="J32" s="7">
        <v>-116</v>
      </c>
      <c r="K32" s="7">
        <v>-199</v>
      </c>
      <c r="L32" s="7">
        <v>-269</v>
      </c>
      <c r="M32" s="7">
        <v>-272</v>
      </c>
      <c r="N32" s="7">
        <v>-252</v>
      </c>
      <c r="O32" s="7">
        <v>-329</v>
      </c>
      <c r="P32" s="7">
        <v>-366</v>
      </c>
      <c r="Q32" s="7">
        <v>-616</v>
      </c>
      <c r="R32" s="7">
        <v>-683</v>
      </c>
      <c r="S32" s="7">
        <v>-704</v>
      </c>
      <c r="T32" s="7">
        <v>-776</v>
      </c>
      <c r="U32" s="7">
        <v>-1089</v>
      </c>
      <c r="V32" s="7">
        <v>-654</v>
      </c>
      <c r="W32" s="7">
        <v>-727</v>
      </c>
      <c r="X32" s="7">
        <v>-841</v>
      </c>
      <c r="Y32" s="7">
        <v>-795</v>
      </c>
      <c r="Z32" s="7">
        <v>-920</v>
      </c>
      <c r="AA32" s="7">
        <v>-773</v>
      </c>
      <c r="AB32" s="7">
        <v>-962</v>
      </c>
      <c r="AC32" s="7">
        <v>-91</v>
      </c>
      <c r="AD32" s="7">
        <v>587</v>
      </c>
      <c r="AE32" s="7">
        <v>-332</v>
      </c>
      <c r="AF32" s="7">
        <v>16</v>
      </c>
      <c r="AG32" s="7">
        <v>62</v>
      </c>
      <c r="AH32" s="7">
        <v>330</v>
      </c>
      <c r="AI32" s="7">
        <v>2805</v>
      </c>
      <c r="AJ32" s="7">
        <v>5238</v>
      </c>
      <c r="AK32" s="7">
        <v>-17</v>
      </c>
      <c r="AL32" s="7">
        <v>1981</v>
      </c>
      <c r="AM32" s="7">
        <v>1061</v>
      </c>
      <c r="AN32" s="7">
        <v>206</v>
      </c>
      <c r="AO32" s="7">
        <v>2385</v>
      </c>
      <c r="AP32" s="7">
        <v>3578</v>
      </c>
      <c r="AQ32" s="7">
        <v>5042</v>
      </c>
      <c r="AR32" s="7">
        <v>3345</v>
      </c>
      <c r="AS32" s="7">
        <v>4702</v>
      </c>
      <c r="AT32" s="7">
        <v>3573</v>
      </c>
      <c r="AU32" s="7">
        <v>685</v>
      </c>
      <c r="AV32" s="7">
        <v>2242</v>
      </c>
      <c r="AW32" s="7">
        <v>-484</v>
      </c>
      <c r="AX32" s="7">
        <v>-770</v>
      </c>
      <c r="AY32" s="7">
        <v>-343</v>
      </c>
      <c r="AZ32" s="7">
        <v>-653</v>
      </c>
      <c r="BA32" s="7">
        <v>-1736</v>
      </c>
      <c r="BB32" s="7">
        <v>-1745</v>
      </c>
      <c r="BC32" s="7">
        <v>-1700</v>
      </c>
      <c r="BD32" s="7">
        <v>-1711</v>
      </c>
      <c r="BE32" s="7">
        <v>5936</v>
      </c>
      <c r="BF32" s="7">
        <v>3417</v>
      </c>
      <c r="BG32" s="7">
        <v>7861</v>
      </c>
      <c r="BH32" s="7">
        <v>4316</v>
      </c>
      <c r="BI32" s="7">
        <v>-847</v>
      </c>
      <c r="BJ32" s="7">
        <v>-1171</v>
      </c>
      <c r="BK32" s="7">
        <v>-886</v>
      </c>
      <c r="BL32" s="7">
        <v>-2641</v>
      </c>
      <c r="BM32" s="7">
        <v>-2190</v>
      </c>
      <c r="BN32" s="7">
        <v>-2012</v>
      </c>
      <c r="BO32" s="7">
        <v>785</v>
      </c>
      <c r="BP32" s="7">
        <v>13256</v>
      </c>
      <c r="BQ32" s="7">
        <v>163</v>
      </c>
      <c r="BR32" s="7">
        <v>17901</v>
      </c>
      <c r="BS32" s="7">
        <v>6610</v>
      </c>
      <c r="BT32" s="7">
        <v>-1080</v>
      </c>
      <c r="BU32" s="7">
        <v>-1014</v>
      </c>
      <c r="BV32" s="7">
        <v>246</v>
      </c>
      <c r="BW32" s="7">
        <v>1378</v>
      </c>
      <c r="BX32" s="7">
        <v>1586</v>
      </c>
      <c r="BY32" s="7">
        <v>29473</v>
      </c>
      <c r="BZ32" s="7">
        <v>7265</v>
      </c>
      <c r="CA32" s="7">
        <v>166</v>
      </c>
      <c r="CB32" s="7">
        <v>-1022</v>
      </c>
      <c r="CC32" s="7">
        <v>-656</v>
      </c>
      <c r="CD32" s="7">
        <v>59</v>
      </c>
      <c r="CE32" s="7">
        <v>6644</v>
      </c>
      <c r="CF32" s="7">
        <v>105434</v>
      </c>
      <c r="CG32" s="7">
        <v>-2728</v>
      </c>
      <c r="CH32" s="7">
        <v>-3220</v>
      </c>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row>
    <row r="33" spans="1:166">
      <c r="A33" s="7" t="s">
        <v>277</v>
      </c>
      <c r="B33" s="7" t="s">
        <v>88</v>
      </c>
      <c r="C33" s="7">
        <v>1000000</v>
      </c>
      <c r="D33" s="7" t="s">
        <v>89</v>
      </c>
      <c r="E33" s="7" t="s">
        <v>278</v>
      </c>
      <c r="F33" s="8" t="s">
        <v>279</v>
      </c>
      <c r="G33" s="7"/>
      <c r="H33" s="7">
        <v>5891</v>
      </c>
      <c r="I33" s="7">
        <v>1141</v>
      </c>
      <c r="J33" s="7">
        <v>2899</v>
      </c>
      <c r="K33" s="7">
        <v>-1996</v>
      </c>
      <c r="L33" s="7">
        <v>5560</v>
      </c>
      <c r="M33" s="7">
        <v>8486</v>
      </c>
      <c r="N33" s="7">
        <v>2057</v>
      </c>
      <c r="O33" s="7">
        <v>1179</v>
      </c>
      <c r="P33" s="7">
        <v>-2027</v>
      </c>
      <c r="Q33" s="7">
        <v>5261</v>
      </c>
      <c r="R33" s="7">
        <v>4642</v>
      </c>
      <c r="S33" s="7">
        <v>653</v>
      </c>
      <c r="T33" s="7">
        <v>-2164</v>
      </c>
      <c r="U33" s="7">
        <v>5156</v>
      </c>
      <c r="V33" s="7">
        <v>2050</v>
      </c>
      <c r="W33" s="7">
        <v>1639</v>
      </c>
      <c r="X33" s="7">
        <v>4300</v>
      </c>
      <c r="Y33" s="7">
        <v>4037</v>
      </c>
      <c r="Z33" s="7">
        <v>4681</v>
      </c>
      <c r="AA33" s="7">
        <v>6710</v>
      </c>
      <c r="AB33" s="7">
        <v>11992</v>
      </c>
      <c r="AC33" s="7">
        <v>7777</v>
      </c>
      <c r="AD33" s="7">
        <v>6700</v>
      </c>
      <c r="AE33" s="7">
        <v>7951</v>
      </c>
      <c r="AF33" s="7">
        <v>2425</v>
      </c>
      <c r="AG33" s="7">
        <v>5764</v>
      </c>
      <c r="AH33" s="7">
        <v>7579</v>
      </c>
      <c r="AI33" s="7">
        <v>12468</v>
      </c>
      <c r="AJ33" s="7">
        <v>14646</v>
      </c>
      <c r="AK33" s="7">
        <v>-8348</v>
      </c>
      <c r="AL33" s="7">
        <v>15953</v>
      </c>
      <c r="AM33" s="7">
        <v>16186</v>
      </c>
      <c r="AN33" s="7">
        <v>21914</v>
      </c>
      <c r="AO33" s="7">
        <v>13233</v>
      </c>
      <c r="AP33" s="7">
        <v>-631</v>
      </c>
      <c r="AQ33" s="7">
        <v>19877</v>
      </c>
      <c r="AR33" s="7">
        <v>-19293</v>
      </c>
      <c r="AS33" s="7">
        <v>8015</v>
      </c>
      <c r="AT33" s="7">
        <v>57386</v>
      </c>
      <c r="AU33" s="7">
        <v>15712</v>
      </c>
      <c r="AV33" s="7">
        <v>7526</v>
      </c>
      <c r="AW33" s="7">
        <v>31404</v>
      </c>
      <c r="AX33" s="7">
        <v>27946</v>
      </c>
      <c r="AY33" s="7">
        <v>26227</v>
      </c>
      <c r="AZ33" s="7">
        <v>11680</v>
      </c>
      <c r="BA33" s="7">
        <v>727</v>
      </c>
      <c r="BB33" s="7">
        <v>9964</v>
      </c>
      <c r="BC33" s="7">
        <v>24915</v>
      </c>
      <c r="BD33" s="7">
        <v>49893</v>
      </c>
      <c r="BE33" s="7">
        <v>38499</v>
      </c>
      <c r="BF33" s="7">
        <v>21519</v>
      </c>
      <c r="BG33" s="7">
        <v>62156</v>
      </c>
      <c r="BH33" s="7">
        <v>57148</v>
      </c>
      <c r="BI33" s="7">
        <v>57194</v>
      </c>
      <c r="BJ33" s="7">
        <v>50314</v>
      </c>
      <c r="BK33" s="7">
        <v>-34269</v>
      </c>
      <c r="BL33" s="7">
        <v>19687</v>
      </c>
      <c r="BM33" s="7">
        <v>12533</v>
      </c>
      <c r="BN33" s="7">
        <v>50857</v>
      </c>
      <c r="BO33" s="7">
        <v>51123</v>
      </c>
      <c r="BP33" s="7">
        <v>64029</v>
      </c>
      <c r="BQ33" s="7">
        <v>29801</v>
      </c>
      <c r="BR33" s="7">
        <v>-25802</v>
      </c>
      <c r="BS33" s="7">
        <v>-130180</v>
      </c>
      <c r="BT33" s="7">
        <v>54436</v>
      </c>
      <c r="BU33" s="7">
        <v>41468</v>
      </c>
      <c r="BV33" s="7">
        <v>73525</v>
      </c>
      <c r="BW33" s="7">
        <v>83926</v>
      </c>
      <c r="BX33" s="7">
        <v>74693</v>
      </c>
      <c r="BY33" s="7">
        <v>119643</v>
      </c>
      <c r="BZ33" s="7">
        <v>36603</v>
      </c>
      <c r="CA33" s="7">
        <v>31343</v>
      </c>
      <c r="CB33" s="7">
        <v>52988</v>
      </c>
      <c r="CC33" s="7">
        <v>72217</v>
      </c>
      <c r="CD33" s="7">
        <v>-19785</v>
      </c>
      <c r="CE33" s="7">
        <v>24031</v>
      </c>
      <c r="CF33" s="7">
        <v>160332</v>
      </c>
      <c r="CG33" s="7">
        <v>43891</v>
      </c>
      <c r="CH33" s="7">
        <v>44993</v>
      </c>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row>
    <row r="34" spans="1:166">
      <c r="A34" s="7" t="s">
        <v>280</v>
      </c>
      <c r="B34" s="7" t="s">
        <v>88</v>
      </c>
      <c r="C34" s="7">
        <v>1000000</v>
      </c>
      <c r="D34" s="7" t="s">
        <v>89</v>
      </c>
      <c r="E34" s="7" t="s">
        <v>281</v>
      </c>
      <c r="F34" s="8" t="s">
        <v>282</v>
      </c>
      <c r="G34" s="7"/>
      <c r="H34" s="7">
        <v>-8787</v>
      </c>
      <c r="I34" s="7">
        <v>-3042</v>
      </c>
      <c r="J34" s="7">
        <v>-261</v>
      </c>
      <c r="K34" s="7">
        <v>6750</v>
      </c>
      <c r="L34" s="7">
        <v>-3501</v>
      </c>
      <c r="M34" s="7">
        <v>-7933</v>
      </c>
      <c r="N34" s="7">
        <v>-985</v>
      </c>
      <c r="O34" s="7">
        <v>-2232</v>
      </c>
      <c r="P34" s="7">
        <v>3654</v>
      </c>
      <c r="Q34" s="7">
        <v>-158</v>
      </c>
      <c r="R34" s="7">
        <v>-4837</v>
      </c>
      <c r="S34" s="7">
        <v>-1723</v>
      </c>
      <c r="T34" s="7">
        <v>5577</v>
      </c>
      <c r="U34" s="7">
        <v>1273</v>
      </c>
      <c r="V34" s="7">
        <v>741</v>
      </c>
      <c r="W34" s="7">
        <v>2759</v>
      </c>
      <c r="X34" s="7">
        <v>3649</v>
      </c>
      <c r="Y34" s="7">
        <v>6246</v>
      </c>
      <c r="Z34" s="7">
        <v>5683</v>
      </c>
      <c r="AA34" s="7">
        <v>1755</v>
      </c>
      <c r="AB34" s="7">
        <v>-6997</v>
      </c>
      <c r="AC34" s="7">
        <v>-3445</v>
      </c>
      <c r="AD34" s="7">
        <v>-6376</v>
      </c>
      <c r="AE34" s="7">
        <v>-14685</v>
      </c>
      <c r="AF34" s="7">
        <v>-14015</v>
      </c>
      <c r="AG34" s="7">
        <v>-6263</v>
      </c>
      <c r="AH34" s="7">
        <v>-6028</v>
      </c>
      <c r="AI34" s="7">
        <v>-18831</v>
      </c>
      <c r="AJ34" s="7">
        <v>-39361</v>
      </c>
      <c r="AK34" s="7">
        <v>17685</v>
      </c>
      <c r="AL34" s="7">
        <v>-2206</v>
      </c>
      <c r="AM34" s="7">
        <v>-6207</v>
      </c>
      <c r="AN34" s="7">
        <v>-21833</v>
      </c>
      <c r="AO34" s="7">
        <v>-33857</v>
      </c>
      <c r="AP34" s="7">
        <v>-43009</v>
      </c>
      <c r="AQ34" s="7">
        <v>-53615</v>
      </c>
      <c r="AR34" s="7">
        <v>5524</v>
      </c>
      <c r="AS34" s="7">
        <v>10374</v>
      </c>
      <c r="AT34" s="7">
        <v>-39695</v>
      </c>
      <c r="AU34" s="7">
        <v>3008</v>
      </c>
      <c r="AV34" s="7">
        <v>-17969</v>
      </c>
      <c r="AW34" s="7">
        <v>-997</v>
      </c>
      <c r="AX34" s="7">
        <v>10901</v>
      </c>
      <c r="AY34" s="7">
        <v>-34622</v>
      </c>
      <c r="AZ34" s="7">
        <v>-41222</v>
      </c>
      <c r="BA34" s="7">
        <v>3417</v>
      </c>
      <c r="BB34" s="7">
        <v>-9716</v>
      </c>
      <c r="BC34" s="7">
        <v>-16088</v>
      </c>
      <c r="BD34" s="7">
        <v>-23287</v>
      </c>
      <c r="BE34" s="7">
        <v>-27966</v>
      </c>
      <c r="BF34" s="7">
        <v>-2058</v>
      </c>
      <c r="BG34" s="7">
        <v>-62544</v>
      </c>
      <c r="BH34" s="7">
        <v>-127843</v>
      </c>
      <c r="BI34" s="7">
        <v>-141093</v>
      </c>
      <c r="BJ34" s="7">
        <v>-242280</v>
      </c>
      <c r="BK34" s="7">
        <v>-90612</v>
      </c>
      <c r="BL34" s="7">
        <v>59696</v>
      </c>
      <c r="BM34" s="7">
        <v>114543</v>
      </c>
      <c r="BN34" s="7">
        <v>111632</v>
      </c>
      <c r="BO34" s="7">
        <v>157404</v>
      </c>
      <c r="BP34" s="7">
        <v>35102</v>
      </c>
      <c r="BQ34" s="7">
        <v>-11829</v>
      </c>
      <c r="BR34" s="7">
        <v>16609</v>
      </c>
      <c r="BS34" s="7">
        <v>379472</v>
      </c>
      <c r="BT34" s="7">
        <v>404987</v>
      </c>
      <c r="BU34" s="7">
        <v>348651</v>
      </c>
      <c r="BV34" s="7">
        <v>218719</v>
      </c>
      <c r="BW34" s="7">
        <v>264370</v>
      </c>
      <c r="BX34" s="7">
        <v>124613</v>
      </c>
      <c r="BY34" s="7">
        <v>3345</v>
      </c>
      <c r="BZ34" s="7">
        <v>32421</v>
      </c>
      <c r="CA34" s="7">
        <v>-115756</v>
      </c>
      <c r="CB34" s="7">
        <v>16472</v>
      </c>
      <c r="CC34" s="7">
        <v>57527</v>
      </c>
      <c r="CD34" s="7">
        <v>238046</v>
      </c>
      <c r="CE34" s="7">
        <v>211097</v>
      </c>
      <c r="CF34" s="7">
        <v>-215480</v>
      </c>
      <c r="CG34" s="7">
        <v>35701</v>
      </c>
      <c r="CH34" s="7">
        <v>-13646</v>
      </c>
      <c r="CI34" s="7"/>
      <c r="CJ34" s="7">
        <v>-8787</v>
      </c>
      <c r="CK34" s="7">
        <v>-3042</v>
      </c>
      <c r="CL34" s="7">
        <v>-261</v>
      </c>
      <c r="CM34" s="7">
        <v>6750</v>
      </c>
      <c r="CN34" s="7">
        <v>-3501</v>
      </c>
      <c r="CO34" s="7">
        <v>-7933</v>
      </c>
      <c r="CP34" s="7">
        <v>-985</v>
      </c>
      <c r="CQ34" s="7">
        <v>-2232</v>
      </c>
      <c r="CR34" s="7">
        <v>3654</v>
      </c>
      <c r="CS34" s="7">
        <v>-158</v>
      </c>
      <c r="CT34" s="7">
        <v>-4837</v>
      </c>
      <c r="CU34" s="7">
        <v>-1723</v>
      </c>
      <c r="CV34" s="7">
        <v>5577</v>
      </c>
      <c r="CW34" s="7">
        <v>1273</v>
      </c>
      <c r="CX34" s="7">
        <v>741</v>
      </c>
      <c r="CY34" s="7">
        <v>2759</v>
      </c>
      <c r="CZ34" s="7">
        <v>3649</v>
      </c>
      <c r="DA34" s="7">
        <v>6246</v>
      </c>
      <c r="DB34" s="7">
        <v>5683</v>
      </c>
      <c r="DC34" s="7">
        <v>1755</v>
      </c>
      <c r="DD34" s="7">
        <v>-6997</v>
      </c>
      <c r="DE34" s="7">
        <v>-3445</v>
      </c>
      <c r="DF34" s="7">
        <v>-6376</v>
      </c>
      <c r="DG34" s="7">
        <v>-14685</v>
      </c>
      <c r="DH34" s="7">
        <v>-14015</v>
      </c>
      <c r="DI34" s="7">
        <v>-6263</v>
      </c>
      <c r="DJ34" s="7">
        <v>-6028</v>
      </c>
      <c r="DK34" s="7">
        <v>-18831</v>
      </c>
      <c r="DL34" s="7">
        <v>-39361</v>
      </c>
      <c r="DM34" s="7">
        <v>17685</v>
      </c>
      <c r="DN34" s="7">
        <v>-2206</v>
      </c>
      <c r="DO34" s="7">
        <v>-6207</v>
      </c>
      <c r="DP34" s="7">
        <v>-21833</v>
      </c>
      <c r="DQ34" s="7">
        <v>-33857</v>
      </c>
      <c r="DR34" s="7">
        <v>-43009</v>
      </c>
      <c r="DS34" s="7">
        <v>-53615</v>
      </c>
      <c r="DT34" s="7">
        <v>5524</v>
      </c>
      <c r="DU34" s="7">
        <v>10374</v>
      </c>
      <c r="DV34" s="7">
        <v>-39695</v>
      </c>
      <c r="DW34" s="7">
        <v>3008</v>
      </c>
      <c r="DX34" s="7">
        <v>-17969</v>
      </c>
      <c r="DY34" s="7">
        <v>-997</v>
      </c>
      <c r="DZ34" s="7">
        <v>10901</v>
      </c>
      <c r="EA34" s="7">
        <v>-34622</v>
      </c>
      <c r="EB34" s="7">
        <v>-41222</v>
      </c>
      <c r="EC34" s="7">
        <v>3417</v>
      </c>
      <c r="ED34" s="7">
        <v>-9716</v>
      </c>
      <c r="EE34" s="7">
        <v>-16088</v>
      </c>
      <c r="EF34" s="7">
        <v>-23287</v>
      </c>
      <c r="EG34" s="7">
        <v>-27966</v>
      </c>
      <c r="EH34" s="7">
        <v>-2058</v>
      </c>
      <c r="EI34" s="7">
        <v>-62544</v>
      </c>
      <c r="EJ34" s="7">
        <v>-127843</v>
      </c>
      <c r="EK34" s="7">
        <v>-141093</v>
      </c>
      <c r="EL34" s="7">
        <v>-242280</v>
      </c>
      <c r="EM34" s="7">
        <v>-90612</v>
      </c>
      <c r="EN34" s="7">
        <v>59696</v>
      </c>
      <c r="EO34" s="7">
        <v>114543</v>
      </c>
      <c r="EP34" s="7">
        <v>111632</v>
      </c>
      <c r="EQ34" s="7">
        <v>157404</v>
      </c>
      <c r="ER34" s="7">
        <v>35102</v>
      </c>
      <c r="ES34" s="7">
        <v>-11829</v>
      </c>
      <c r="ET34" s="7">
        <v>16609</v>
      </c>
      <c r="EU34" s="7">
        <v>379472</v>
      </c>
      <c r="EV34" s="7">
        <v>404987</v>
      </c>
      <c r="EW34" s="7">
        <v>348651</v>
      </c>
      <c r="EX34" s="7">
        <v>218719</v>
      </c>
      <c r="EY34" s="7">
        <v>264370</v>
      </c>
      <c r="EZ34" s="7">
        <v>124613</v>
      </c>
      <c r="FA34" s="7">
        <v>3345</v>
      </c>
      <c r="FB34" s="7">
        <v>32421</v>
      </c>
      <c r="FC34" s="7">
        <v>-115756</v>
      </c>
      <c r="FD34" s="7">
        <v>16472</v>
      </c>
      <c r="FE34" s="7">
        <v>57527</v>
      </c>
      <c r="FF34" s="7">
        <v>238046</v>
      </c>
      <c r="FG34" s="7">
        <v>211097</v>
      </c>
      <c r="FH34" s="7">
        <v>-215480</v>
      </c>
      <c r="FI34" s="7">
        <v>35701</v>
      </c>
      <c r="FJ34" s="7">
        <v>-13646</v>
      </c>
    </row>
    <row r="35" spans="1:166">
      <c r="A35" s="7" t="s">
        <v>283</v>
      </c>
      <c r="B35" s="7" t="s">
        <v>88</v>
      </c>
      <c r="C35" s="7">
        <v>1000000</v>
      </c>
      <c r="D35" s="7" t="s">
        <v>89</v>
      </c>
      <c r="E35" s="7" t="s">
        <v>284</v>
      </c>
      <c r="F35" s="8" t="s">
        <v>285</v>
      </c>
      <c r="G35" s="7"/>
      <c r="H35" s="7">
        <v>-1605</v>
      </c>
      <c r="I35" s="7">
        <v>8725</v>
      </c>
      <c r="J35" s="7">
        <v>5477</v>
      </c>
      <c r="K35" s="7">
        <v>3902</v>
      </c>
      <c r="L35" s="7">
        <v>16784</v>
      </c>
      <c r="M35" s="7">
        <v>8027</v>
      </c>
      <c r="N35" s="7">
        <v>5418</v>
      </c>
      <c r="O35" s="7">
        <v>3037</v>
      </c>
      <c r="P35" s="7">
        <v>5498</v>
      </c>
      <c r="Q35" s="7">
        <v>17382</v>
      </c>
      <c r="R35" s="7">
        <v>5031</v>
      </c>
      <c r="S35" s="7">
        <v>4561</v>
      </c>
      <c r="T35" s="7">
        <v>11530</v>
      </c>
      <c r="U35" s="7">
        <v>15097</v>
      </c>
      <c r="V35" s="7">
        <v>2841</v>
      </c>
      <c r="W35" s="7">
        <v>13351</v>
      </c>
      <c r="X35" s="7">
        <v>11969</v>
      </c>
      <c r="Y35" s="7">
        <v>12015</v>
      </c>
      <c r="Z35" s="7">
        <v>12874</v>
      </c>
      <c r="AA35" s="7">
        <v>26110</v>
      </c>
      <c r="AB35" s="7">
        <v>16496</v>
      </c>
      <c r="AC35" s="7">
        <v>14314</v>
      </c>
      <c r="AD35" s="7">
        <v>32126</v>
      </c>
      <c r="AE35" s="7">
        <v>38478</v>
      </c>
      <c r="AF35" s="7">
        <v>22925</v>
      </c>
      <c r="AG35" s="7">
        <v>40171</v>
      </c>
      <c r="AH35" s="7">
        <v>67549</v>
      </c>
      <c r="AI35" s="7">
        <v>90570</v>
      </c>
      <c r="AJ35" s="7">
        <v>66905</v>
      </c>
      <c r="AK35" s="7">
        <v>20395</v>
      </c>
      <c r="AL35" s="7">
        <v>75626</v>
      </c>
      <c r="AM35" s="7">
        <v>108248</v>
      </c>
      <c r="AN35" s="7">
        <v>133781</v>
      </c>
      <c r="AO35" s="7">
        <v>169745</v>
      </c>
      <c r="AP35" s="7">
        <v>144214</v>
      </c>
      <c r="AQ35" s="7">
        <v>204946</v>
      </c>
      <c r="AR35" s="7">
        <v>93855</v>
      </c>
      <c r="AS35" s="7">
        <v>155170</v>
      </c>
      <c r="AT35" s="7">
        <v>275376</v>
      </c>
      <c r="AU35" s="7">
        <v>227567</v>
      </c>
      <c r="AV35" s="7">
        <v>140261</v>
      </c>
      <c r="AW35" s="7">
        <v>233904</v>
      </c>
      <c r="AX35" s="7">
        <v>351330</v>
      </c>
      <c r="AY35" s="7">
        <v>165957</v>
      </c>
      <c r="AZ35" s="7">
        <v>126405</v>
      </c>
      <c r="BA35" s="7">
        <v>51885</v>
      </c>
      <c r="BB35" s="7">
        <v>147943</v>
      </c>
      <c r="BC35" s="7">
        <v>324708</v>
      </c>
      <c r="BD35" s="7">
        <v>277954</v>
      </c>
      <c r="BE35" s="7">
        <v>347402</v>
      </c>
      <c r="BF35" s="7">
        <v>392895</v>
      </c>
      <c r="BG35" s="7">
        <v>157919</v>
      </c>
      <c r="BH35" s="7">
        <v>743475</v>
      </c>
      <c r="BI35" s="7">
        <v>958452</v>
      </c>
      <c r="BJ35" s="7">
        <v>1484056</v>
      </c>
      <c r="BK35" s="7">
        <v>368570</v>
      </c>
      <c r="BL35" s="7">
        <v>377680</v>
      </c>
      <c r="BM35" s="7">
        <v>-73678</v>
      </c>
      <c r="BN35" s="7">
        <v>721478</v>
      </c>
      <c r="BO35" s="7">
        <v>934913</v>
      </c>
      <c r="BP35" s="7">
        <v>623577</v>
      </c>
      <c r="BQ35" s="7">
        <v>1050993</v>
      </c>
      <c r="BR35" s="7">
        <v>-331186</v>
      </c>
      <c r="BS35" s="7">
        <v>237406</v>
      </c>
      <c r="BT35" s="7">
        <v>554561</v>
      </c>
      <c r="BU35" s="7">
        <v>376701</v>
      </c>
      <c r="BV35" s="7">
        <v>321406</v>
      </c>
      <c r="BW35" s="7">
        <v>727804</v>
      </c>
      <c r="BX35" s="7">
        <v>686147</v>
      </c>
      <c r="BY35" s="7">
        <v>1143273</v>
      </c>
      <c r="BZ35" s="7">
        <v>960331</v>
      </c>
      <c r="CA35" s="7">
        <v>578845</v>
      </c>
      <c r="CB35" s="7">
        <v>855074</v>
      </c>
      <c r="CC35" s="7">
        <v>2406351</v>
      </c>
      <c r="CD35" s="7">
        <v>436586</v>
      </c>
      <c r="CE35" s="7">
        <v>1343073</v>
      </c>
      <c r="CF35" s="7">
        <v>2683038</v>
      </c>
      <c r="CG35" s="7">
        <v>1457871</v>
      </c>
      <c r="CH35" s="7">
        <v>329417</v>
      </c>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row>
    <row r="36" spans="1:166">
      <c r="A36" s="7" t="s">
        <v>286</v>
      </c>
      <c r="B36" s="7" t="s">
        <v>88</v>
      </c>
      <c r="C36" s="7">
        <v>1000000</v>
      </c>
      <c r="D36" s="7" t="s">
        <v>89</v>
      </c>
      <c r="E36" s="7" t="s">
        <v>287</v>
      </c>
      <c r="F36" s="8" t="s">
        <v>288</v>
      </c>
      <c r="G36" s="7"/>
      <c r="H36" s="7">
        <v>578</v>
      </c>
      <c r="I36" s="7">
        <v>1915</v>
      </c>
      <c r="J36" s="7">
        <v>386</v>
      </c>
      <c r="K36" s="7">
        <v>1042</v>
      </c>
      <c r="L36" s="7">
        <v>1366</v>
      </c>
      <c r="M36" s="7">
        <v>1671</v>
      </c>
      <c r="N36" s="7">
        <v>766</v>
      </c>
      <c r="O36" s="7">
        <v>-52</v>
      </c>
      <c r="P36" s="7">
        <v>2023</v>
      </c>
      <c r="Q36" s="7">
        <v>824</v>
      </c>
      <c r="R36" s="7">
        <v>-283</v>
      </c>
      <c r="S36" s="7">
        <v>27</v>
      </c>
      <c r="T36" s="7">
        <v>1977</v>
      </c>
      <c r="U36" s="7">
        <v>-1304</v>
      </c>
      <c r="V36" s="7">
        <v>563</v>
      </c>
      <c r="W36" s="7">
        <v>4271</v>
      </c>
      <c r="X36" s="7">
        <v>4345</v>
      </c>
      <c r="Y36" s="7">
        <v>-509</v>
      </c>
      <c r="Z36" s="7">
        <v>661</v>
      </c>
      <c r="AA36" s="7">
        <v>2321</v>
      </c>
      <c r="AB36" s="7">
        <v>-968</v>
      </c>
      <c r="AC36" s="7">
        <v>3695</v>
      </c>
      <c r="AD36" s="7">
        <v>2620</v>
      </c>
      <c r="AE36" s="7">
        <v>-227</v>
      </c>
      <c r="AF36" s="7">
        <v>2257</v>
      </c>
      <c r="AG36" s="7">
        <v>3120</v>
      </c>
      <c r="AH36" s="7">
        <v>5676</v>
      </c>
      <c r="AI36" s="7">
        <v>7267</v>
      </c>
      <c r="AJ36" s="7">
        <v>4792</v>
      </c>
      <c r="AK36" s="7">
        <v>14637</v>
      </c>
      <c r="AL36" s="7">
        <v>10165</v>
      </c>
      <c r="AM36" s="7">
        <v>12670</v>
      </c>
      <c r="AN36" s="7">
        <v>11655</v>
      </c>
      <c r="AO36" s="7">
        <v>10053</v>
      </c>
      <c r="AP36" s="7">
        <v>3811</v>
      </c>
      <c r="AQ36" s="7">
        <v>-8347</v>
      </c>
      <c r="AR36" s="7">
        <v>16624</v>
      </c>
      <c r="AS36" s="7">
        <v>32285</v>
      </c>
      <c r="AT36" s="7">
        <v>11166</v>
      </c>
      <c r="AU36" s="7">
        <v>25932</v>
      </c>
      <c r="AV36" s="7">
        <v>17691</v>
      </c>
      <c r="AW36" s="7">
        <v>7127</v>
      </c>
      <c r="AX36" s="7">
        <v>13376</v>
      </c>
      <c r="AY36" s="7">
        <v>8</v>
      </c>
      <c r="AZ36" s="7">
        <v>-792</v>
      </c>
      <c r="BA36" s="7">
        <v>10063</v>
      </c>
      <c r="BB36" s="7">
        <v>-8058</v>
      </c>
      <c r="BC36" s="7">
        <v>34049</v>
      </c>
      <c r="BD36" s="7">
        <v>13046</v>
      </c>
      <c r="BE36" s="7">
        <v>7622</v>
      </c>
      <c r="BF36" s="7">
        <v>42009</v>
      </c>
      <c r="BG36" s="7">
        <v>19112</v>
      </c>
      <c r="BH36" s="7">
        <v>20035</v>
      </c>
      <c r="BI36" s="7">
        <v>74805</v>
      </c>
      <c r="BJ36" s="7">
        <v>62941</v>
      </c>
      <c r="BK36" s="7">
        <v>-52873</v>
      </c>
      <c r="BL36" s="7">
        <v>2284</v>
      </c>
      <c r="BM36" s="7">
        <v>131895</v>
      </c>
      <c r="BN36" s="7">
        <v>54306</v>
      </c>
      <c r="BO36" s="7">
        <v>120420</v>
      </c>
      <c r="BP36" s="7">
        <v>-81173</v>
      </c>
      <c r="BQ36" s="7">
        <v>-75742</v>
      </c>
      <c r="BR36" s="7">
        <v>-267239</v>
      </c>
      <c r="BS36" s="7">
        <v>268383</v>
      </c>
      <c r="BT36" s="7">
        <v>145313</v>
      </c>
      <c r="BU36" s="7">
        <v>41780</v>
      </c>
      <c r="BV36" s="7">
        <v>58708</v>
      </c>
      <c r="BW36" s="7">
        <v>152072</v>
      </c>
      <c r="BX36" s="7">
        <v>22850</v>
      </c>
      <c r="BY36" s="7">
        <v>38992</v>
      </c>
      <c r="BZ36" s="7">
        <v>178164</v>
      </c>
      <c r="CA36" s="7">
        <v>66840</v>
      </c>
      <c r="CB36" s="7">
        <v>146548</v>
      </c>
      <c r="CC36" s="7">
        <v>179582</v>
      </c>
      <c r="CD36" s="7">
        <v>525126</v>
      </c>
      <c r="CE36" s="7">
        <v>302308</v>
      </c>
      <c r="CF36" s="7">
        <v>-2575</v>
      </c>
      <c r="CG36" s="7">
        <v>98151</v>
      </c>
      <c r="CH36" s="7">
        <v>231895</v>
      </c>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row>
    <row r="37" spans="1:166">
      <c r="A37" s="7" t="s">
        <v>289</v>
      </c>
      <c r="B37" s="7" t="s">
        <v>88</v>
      </c>
      <c r="C37" s="7">
        <v>1000000</v>
      </c>
      <c r="D37" s="7" t="s">
        <v>89</v>
      </c>
      <c r="E37" s="7" t="s">
        <v>290</v>
      </c>
      <c r="F37" s="8" t="s">
        <v>291</v>
      </c>
      <c r="G37" s="7"/>
      <c r="H37" s="7">
        <v>543</v>
      </c>
      <c r="I37" s="7">
        <v>1932</v>
      </c>
      <c r="J37" s="7">
        <v>427</v>
      </c>
      <c r="K37" s="7">
        <v>1042</v>
      </c>
      <c r="L37" s="7">
        <v>1319</v>
      </c>
      <c r="M37" s="7">
        <v>1637</v>
      </c>
      <c r="N37" s="7">
        <v>782</v>
      </c>
      <c r="O37" s="7">
        <v>-91</v>
      </c>
      <c r="P37" s="7">
        <v>1779</v>
      </c>
      <c r="Q37" s="7">
        <v>953</v>
      </c>
      <c r="R37" s="7">
        <v>-292</v>
      </c>
      <c r="S37" s="7">
        <v>34</v>
      </c>
      <c r="T37" s="7">
        <v>1059</v>
      </c>
      <c r="U37" s="7">
        <v>-887</v>
      </c>
      <c r="V37" s="7">
        <v>-940</v>
      </c>
      <c r="W37" s="7">
        <v>3083</v>
      </c>
      <c r="X37" s="7">
        <v>3570</v>
      </c>
      <c r="Y37" s="7">
        <v>-987</v>
      </c>
      <c r="Z37" s="7">
        <v>-426</v>
      </c>
      <c r="AA37" s="7">
        <v>311</v>
      </c>
      <c r="AB37" s="7">
        <v>-682</v>
      </c>
      <c r="AC37" s="7">
        <v>2532</v>
      </c>
      <c r="AD37" s="7">
        <v>2714</v>
      </c>
      <c r="AE37" s="7">
        <v>5591</v>
      </c>
      <c r="AF37" s="7">
        <v>937</v>
      </c>
      <c r="AG37" s="7">
        <v>-1478</v>
      </c>
      <c r="AH37" s="7">
        <v>2357</v>
      </c>
      <c r="AI37" s="7">
        <v>1377</v>
      </c>
      <c r="AJ37" s="7">
        <v>1151</v>
      </c>
      <c r="AK37" s="7">
        <v>10500</v>
      </c>
      <c r="AL37" s="7">
        <v>4695</v>
      </c>
      <c r="AM37" s="7">
        <v>3750</v>
      </c>
      <c r="AN37" s="7">
        <v>6298</v>
      </c>
      <c r="AO37" s="7">
        <v>6058</v>
      </c>
      <c r="AP37" s="7">
        <v>-413</v>
      </c>
      <c r="AQ37" s="7">
        <v>-20986</v>
      </c>
      <c r="AR37" s="7">
        <v>10345</v>
      </c>
      <c r="AS37" s="7">
        <v>21554</v>
      </c>
      <c r="AT37" s="7">
        <v>13125</v>
      </c>
      <c r="AU37" s="7">
        <v>23016</v>
      </c>
      <c r="AV37" s="7">
        <v>-1716</v>
      </c>
      <c r="AW37" s="7">
        <v>9653</v>
      </c>
      <c r="AX37" s="7">
        <v>11754</v>
      </c>
      <c r="AY37" s="7">
        <v>8520</v>
      </c>
      <c r="AZ37" s="7">
        <v>5242</v>
      </c>
      <c r="BA37" s="7">
        <v>5328</v>
      </c>
      <c r="BB37" s="7">
        <v>-5824</v>
      </c>
      <c r="BC37" s="7">
        <v>19347</v>
      </c>
      <c r="BD37" s="7">
        <v>7497</v>
      </c>
      <c r="BE37" s="7">
        <v>2564</v>
      </c>
      <c r="BF37" s="7">
        <v>1222</v>
      </c>
      <c r="BG37" s="7">
        <v>-10523</v>
      </c>
      <c r="BH37" s="7">
        <v>-15558</v>
      </c>
      <c r="BI37" s="7">
        <v>29574</v>
      </c>
      <c r="BJ37" s="7">
        <v>34906</v>
      </c>
      <c r="BK37" s="7">
        <v>-53138</v>
      </c>
      <c r="BL37" s="7">
        <v>-12967</v>
      </c>
      <c r="BM37" s="7">
        <v>42860</v>
      </c>
      <c r="BN37" s="7">
        <v>31068</v>
      </c>
      <c r="BO37" s="7">
        <v>100650</v>
      </c>
      <c r="BP37" s="7">
        <v>-73570</v>
      </c>
      <c r="BQ37" s="7">
        <v>49001</v>
      </c>
      <c r="BR37" s="7">
        <v>-132246</v>
      </c>
      <c r="BS37" s="7">
        <v>184646</v>
      </c>
      <c r="BT37" s="7">
        <v>125671</v>
      </c>
      <c r="BU37" s="7">
        <v>93132</v>
      </c>
      <c r="BV37" s="7">
        <v>43884</v>
      </c>
      <c r="BW37" s="7">
        <v>44367</v>
      </c>
      <c r="BX37" s="7">
        <v>119720</v>
      </c>
      <c r="BY37" s="7">
        <v>47098</v>
      </c>
      <c r="BZ37" s="7">
        <v>156970</v>
      </c>
      <c r="CA37" s="7">
        <v>-44397</v>
      </c>
      <c r="CB37" s="7">
        <v>250966</v>
      </c>
      <c r="CC37" s="7">
        <v>140590</v>
      </c>
      <c r="CD37" s="7">
        <v>444416</v>
      </c>
      <c r="CE37" s="7">
        <v>265443</v>
      </c>
      <c r="CF37" s="7">
        <v>-54575</v>
      </c>
      <c r="CG37" s="7">
        <v>-79611</v>
      </c>
      <c r="CH37" s="7">
        <v>280166</v>
      </c>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row>
    <row r="38" spans="1:166">
      <c r="A38" s="7" t="s">
        <v>292</v>
      </c>
      <c r="B38" s="7" t="s">
        <v>88</v>
      </c>
      <c r="C38" s="7">
        <v>1000000</v>
      </c>
      <c r="D38" s="7" t="s">
        <v>89</v>
      </c>
      <c r="E38" s="7" t="s">
        <v>293</v>
      </c>
      <c r="F38" s="8" t="s">
        <v>294</v>
      </c>
      <c r="G38" s="7"/>
      <c r="H38" s="7">
        <v>0</v>
      </c>
      <c r="I38" s="7">
        <v>0</v>
      </c>
      <c r="J38" s="7">
        <v>0</v>
      </c>
      <c r="K38" s="7">
        <v>0</v>
      </c>
      <c r="L38" s="7">
        <v>0</v>
      </c>
      <c r="M38" s="7">
        <v>0</v>
      </c>
      <c r="N38" s="7">
        <v>0</v>
      </c>
      <c r="O38" s="7">
        <v>0</v>
      </c>
      <c r="P38" s="7">
        <v>200</v>
      </c>
      <c r="Q38" s="7">
        <v>-100</v>
      </c>
      <c r="R38" s="7">
        <v>0</v>
      </c>
      <c r="S38" s="7">
        <v>0</v>
      </c>
      <c r="T38" s="7">
        <v>900</v>
      </c>
      <c r="U38" s="7">
        <v>-400</v>
      </c>
      <c r="V38" s="7">
        <v>1500</v>
      </c>
      <c r="W38" s="7">
        <v>1100</v>
      </c>
      <c r="X38" s="7">
        <v>900</v>
      </c>
      <c r="Y38" s="7">
        <v>687</v>
      </c>
      <c r="Z38" s="7">
        <v>984</v>
      </c>
      <c r="AA38" s="7">
        <v>2322</v>
      </c>
      <c r="AB38" s="7">
        <v>-390</v>
      </c>
      <c r="AC38" s="7">
        <v>1079</v>
      </c>
      <c r="AD38" s="7">
        <v>-626</v>
      </c>
      <c r="AE38" s="7">
        <v>-5404</v>
      </c>
      <c r="AF38" s="7">
        <v>1695</v>
      </c>
      <c r="AG38" s="7">
        <v>4162</v>
      </c>
      <c r="AH38" s="7">
        <v>2381</v>
      </c>
      <c r="AI38" s="7">
        <v>4733</v>
      </c>
      <c r="AJ38" s="7">
        <v>3841</v>
      </c>
      <c r="AK38" s="7">
        <v>3666</v>
      </c>
      <c r="AL38" s="7">
        <v>4653</v>
      </c>
      <c r="AM38" s="7">
        <v>6673</v>
      </c>
      <c r="AN38" s="7">
        <v>2726</v>
      </c>
      <c r="AO38" s="7">
        <v>2232</v>
      </c>
      <c r="AP38" s="7">
        <v>4608</v>
      </c>
      <c r="AQ38" s="7">
        <v>9949</v>
      </c>
      <c r="AR38" s="7">
        <v>8602</v>
      </c>
      <c r="AS38" s="7">
        <v>6401</v>
      </c>
      <c r="AT38" s="7">
        <v>-850</v>
      </c>
      <c r="AU38" s="7">
        <v>177</v>
      </c>
      <c r="AV38" s="7">
        <v>16229</v>
      </c>
      <c r="AW38" s="7">
        <v>413</v>
      </c>
      <c r="AX38" s="7">
        <v>-3670</v>
      </c>
      <c r="AY38" s="7">
        <v>-1663</v>
      </c>
      <c r="AZ38" s="7">
        <v>-6046</v>
      </c>
      <c r="BA38" s="7">
        <v>3017</v>
      </c>
      <c r="BB38" s="7">
        <v>-1590</v>
      </c>
      <c r="BC38" s="7">
        <v>15991</v>
      </c>
      <c r="BD38" s="7">
        <v>4387</v>
      </c>
      <c r="BE38" s="7">
        <v>3319</v>
      </c>
      <c r="BF38" s="7">
        <v>29982</v>
      </c>
      <c r="BG38" s="7">
        <v>34704</v>
      </c>
      <c r="BH38" s="7">
        <v>28214</v>
      </c>
      <c r="BI38" s="7">
        <v>44289</v>
      </c>
      <c r="BJ38" s="7">
        <v>35466</v>
      </c>
      <c r="BK38" s="7">
        <v>8777</v>
      </c>
      <c r="BL38" s="7">
        <v>10181</v>
      </c>
      <c r="BM38" s="7">
        <v>71477</v>
      </c>
      <c r="BN38" s="7">
        <v>7678</v>
      </c>
      <c r="BO38" s="7">
        <v>9904</v>
      </c>
      <c r="BP38" s="7">
        <v>6632</v>
      </c>
      <c r="BQ38" s="7">
        <v>-125657</v>
      </c>
      <c r="BR38" s="7">
        <v>-109447</v>
      </c>
      <c r="BS38" s="7">
        <v>76913</v>
      </c>
      <c r="BT38" s="7">
        <v>6439</v>
      </c>
      <c r="BU38" s="7">
        <v>-39889</v>
      </c>
      <c r="BV38" s="7">
        <v>13731</v>
      </c>
      <c r="BW38" s="7">
        <v>39155</v>
      </c>
      <c r="BX38" s="7">
        <v>-87561</v>
      </c>
      <c r="BY38" s="7">
        <v>10899</v>
      </c>
      <c r="BZ38" s="7">
        <v>17464</v>
      </c>
      <c r="CA38" s="7">
        <v>-7726</v>
      </c>
      <c r="CB38" s="7">
        <v>5842</v>
      </c>
      <c r="CC38" s="7">
        <v>14299</v>
      </c>
      <c r="CD38" s="7">
        <v>76681</v>
      </c>
      <c r="CE38" s="7">
        <v>5582</v>
      </c>
      <c r="CF38" s="7">
        <v>17289</v>
      </c>
      <c r="CG38" s="7">
        <v>132992</v>
      </c>
      <c r="CH38" s="7">
        <v>-15523</v>
      </c>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row>
    <row r="39" spans="1:166">
      <c r="A39" s="7" t="s">
        <v>295</v>
      </c>
      <c r="B39" s="7" t="s">
        <v>88</v>
      </c>
      <c r="C39" s="7">
        <v>1000000</v>
      </c>
      <c r="D39" s="7" t="s">
        <v>89</v>
      </c>
      <c r="E39" s="7" t="s">
        <v>296</v>
      </c>
      <c r="F39" s="8" t="s">
        <v>297</v>
      </c>
      <c r="G39" s="7"/>
      <c r="H39" s="7">
        <v>35</v>
      </c>
      <c r="I39" s="7">
        <v>-17</v>
      </c>
      <c r="J39" s="7">
        <v>-41</v>
      </c>
      <c r="K39" s="7">
        <v>0</v>
      </c>
      <c r="L39" s="7">
        <v>47</v>
      </c>
      <c r="M39" s="7">
        <v>34</v>
      </c>
      <c r="N39" s="7">
        <v>-16</v>
      </c>
      <c r="O39" s="7">
        <v>39</v>
      </c>
      <c r="P39" s="7">
        <v>44</v>
      </c>
      <c r="Q39" s="7">
        <v>-29</v>
      </c>
      <c r="R39" s="7">
        <v>9</v>
      </c>
      <c r="S39" s="7">
        <v>-7</v>
      </c>
      <c r="T39" s="7">
        <v>18</v>
      </c>
      <c r="U39" s="7">
        <v>-17</v>
      </c>
      <c r="V39" s="7">
        <v>3</v>
      </c>
      <c r="W39" s="7">
        <v>88</v>
      </c>
      <c r="X39" s="7">
        <v>-125</v>
      </c>
      <c r="Y39" s="7">
        <v>-209</v>
      </c>
      <c r="Z39" s="7">
        <v>103</v>
      </c>
      <c r="AA39" s="7">
        <v>-312</v>
      </c>
      <c r="AB39" s="7">
        <v>104</v>
      </c>
      <c r="AC39" s="7">
        <v>84</v>
      </c>
      <c r="AD39" s="7">
        <v>532</v>
      </c>
      <c r="AE39" s="7">
        <v>-414</v>
      </c>
      <c r="AF39" s="7">
        <v>-375</v>
      </c>
      <c r="AG39" s="7">
        <v>436</v>
      </c>
      <c r="AH39" s="7">
        <v>938</v>
      </c>
      <c r="AI39" s="7">
        <v>1157</v>
      </c>
      <c r="AJ39" s="7">
        <v>-200</v>
      </c>
      <c r="AK39" s="7">
        <v>471</v>
      </c>
      <c r="AL39" s="7">
        <v>817</v>
      </c>
      <c r="AM39" s="7">
        <v>2247</v>
      </c>
      <c r="AN39" s="7">
        <v>2631</v>
      </c>
      <c r="AO39" s="7">
        <v>1763</v>
      </c>
      <c r="AP39" s="7">
        <v>-384</v>
      </c>
      <c r="AQ39" s="7">
        <v>2690</v>
      </c>
      <c r="AR39" s="7">
        <v>-2323</v>
      </c>
      <c r="AS39" s="7">
        <v>4330</v>
      </c>
      <c r="AT39" s="7">
        <v>-1109</v>
      </c>
      <c r="AU39" s="7">
        <v>2739</v>
      </c>
      <c r="AV39" s="7">
        <v>3178</v>
      </c>
      <c r="AW39" s="7">
        <v>-2939</v>
      </c>
      <c r="AX39" s="7">
        <v>5292</v>
      </c>
      <c r="AY39" s="7">
        <v>-6849</v>
      </c>
      <c r="AZ39" s="7">
        <v>12</v>
      </c>
      <c r="BA39" s="7">
        <v>1718</v>
      </c>
      <c r="BB39" s="7">
        <v>-644</v>
      </c>
      <c r="BC39" s="7">
        <v>-1289</v>
      </c>
      <c r="BD39" s="7">
        <v>1162</v>
      </c>
      <c r="BE39" s="7">
        <v>1739</v>
      </c>
      <c r="BF39" s="7">
        <v>10805</v>
      </c>
      <c r="BG39" s="7">
        <v>-5069</v>
      </c>
      <c r="BH39" s="7">
        <v>7379</v>
      </c>
      <c r="BI39" s="7">
        <v>942</v>
      </c>
      <c r="BJ39" s="7">
        <v>-7431</v>
      </c>
      <c r="BK39" s="7">
        <v>-8512</v>
      </c>
      <c r="BL39" s="7">
        <v>5070</v>
      </c>
      <c r="BM39" s="7">
        <v>17558</v>
      </c>
      <c r="BN39" s="7">
        <v>15560</v>
      </c>
      <c r="BO39" s="7">
        <v>9866</v>
      </c>
      <c r="BP39" s="7">
        <v>-14235</v>
      </c>
      <c r="BQ39" s="7">
        <v>914</v>
      </c>
      <c r="BR39" s="7">
        <v>-25546</v>
      </c>
      <c r="BS39" s="7">
        <v>6824</v>
      </c>
      <c r="BT39" s="7">
        <v>13203</v>
      </c>
      <c r="BU39" s="7">
        <v>-11463</v>
      </c>
      <c r="BV39" s="7">
        <v>1093</v>
      </c>
      <c r="BW39" s="7">
        <v>68550</v>
      </c>
      <c r="BX39" s="7">
        <v>-9309</v>
      </c>
      <c r="BY39" s="7">
        <v>-19005</v>
      </c>
      <c r="BZ39" s="7">
        <v>3730</v>
      </c>
      <c r="CA39" s="7">
        <v>118963</v>
      </c>
      <c r="CB39" s="7">
        <v>-110260</v>
      </c>
      <c r="CC39" s="7">
        <v>24693</v>
      </c>
      <c r="CD39" s="7">
        <v>4029</v>
      </c>
      <c r="CE39" s="7">
        <v>31283</v>
      </c>
      <c r="CF39" s="7">
        <v>34711</v>
      </c>
      <c r="CG39" s="7">
        <v>44770</v>
      </c>
      <c r="CH39" s="7">
        <v>-32748</v>
      </c>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row>
    <row r="40" spans="1:166">
      <c r="A40" s="7" t="s">
        <v>298</v>
      </c>
      <c r="B40" s="7" t="s">
        <v>88</v>
      </c>
      <c r="C40" s="7">
        <v>1000000</v>
      </c>
      <c r="D40" s="7" t="s">
        <v>89</v>
      </c>
      <c r="E40" s="7" t="s">
        <v>299</v>
      </c>
      <c r="F40" s="8" t="s">
        <v>300</v>
      </c>
      <c r="G40" s="7"/>
      <c r="H40" s="7">
        <v>-5636</v>
      </c>
      <c r="I40" s="7">
        <v>-354</v>
      </c>
      <c r="J40" s="7">
        <v>715</v>
      </c>
      <c r="K40" s="7">
        <v>1962</v>
      </c>
      <c r="L40" s="7">
        <v>3218</v>
      </c>
      <c r="M40" s="7">
        <v>922</v>
      </c>
      <c r="N40" s="7">
        <v>-932</v>
      </c>
      <c r="O40" s="7">
        <v>1794</v>
      </c>
      <c r="P40" s="7">
        <v>-1663</v>
      </c>
      <c r="Q40" s="7">
        <v>4231</v>
      </c>
      <c r="R40" s="7">
        <v>-4252</v>
      </c>
      <c r="S40" s="7">
        <v>-462</v>
      </c>
      <c r="T40" s="7">
        <v>557</v>
      </c>
      <c r="U40" s="7">
        <v>6497</v>
      </c>
      <c r="V40" s="7">
        <v>-5319</v>
      </c>
      <c r="W40" s="7">
        <v>-1210</v>
      </c>
      <c r="X40" s="7">
        <v>-1245</v>
      </c>
      <c r="Y40" s="7">
        <v>3909</v>
      </c>
      <c r="Z40" s="7">
        <v>-637</v>
      </c>
      <c r="AA40" s="7">
        <v>-1099</v>
      </c>
      <c r="AB40" s="7">
        <v>-1184</v>
      </c>
      <c r="AC40" s="7">
        <v>-1701</v>
      </c>
      <c r="AD40" s="7">
        <v>2403</v>
      </c>
      <c r="AE40" s="7">
        <v>-1524</v>
      </c>
      <c r="AF40" s="7">
        <v>1306</v>
      </c>
      <c r="AG40" s="7">
        <v>5362</v>
      </c>
      <c r="AH40" s="7">
        <v>1909</v>
      </c>
      <c r="AI40" s="7">
        <v>-2896</v>
      </c>
      <c r="AJ40" s="7">
        <v>7011</v>
      </c>
      <c r="AK40" s="7">
        <v>9666</v>
      </c>
      <c r="AL40" s="7">
        <v>8409</v>
      </c>
      <c r="AM40" s="7">
        <v>-6166</v>
      </c>
      <c r="AN40" s="7">
        <v>-1022</v>
      </c>
      <c r="AO40" s="7">
        <v>-2650</v>
      </c>
      <c r="AP40" s="7">
        <v>5080</v>
      </c>
      <c r="AQ40" s="7">
        <v>8840</v>
      </c>
      <c r="AR40" s="7">
        <v>1223</v>
      </c>
      <c r="AS40" s="7">
        <v>20328</v>
      </c>
      <c r="AT40" s="7">
        <v>9224</v>
      </c>
      <c r="AU40" s="7">
        <v>7158</v>
      </c>
      <c r="AV40" s="7">
        <v>-3256</v>
      </c>
      <c r="AW40" s="7">
        <v>-9145</v>
      </c>
      <c r="AX40" s="7">
        <v>-4371</v>
      </c>
      <c r="AY40" s="7">
        <v>42847</v>
      </c>
      <c r="AZ40" s="7">
        <v>-27803</v>
      </c>
      <c r="BA40" s="7">
        <v>28610</v>
      </c>
      <c r="BB40" s="7">
        <v>24123</v>
      </c>
      <c r="BC40" s="7">
        <v>10003</v>
      </c>
      <c r="BD40" s="7">
        <v>4366</v>
      </c>
      <c r="BE40" s="7">
        <v>-8710</v>
      </c>
      <c r="BF40" s="7">
        <v>896</v>
      </c>
      <c r="BG40" s="7">
        <v>-39513</v>
      </c>
      <c r="BH40" s="7">
        <v>992</v>
      </c>
      <c r="BI40" s="7">
        <v>5287</v>
      </c>
      <c r="BJ40" s="7">
        <v>19180</v>
      </c>
      <c r="BK40" s="7">
        <v>157</v>
      </c>
      <c r="BL40" s="7">
        <v>21003</v>
      </c>
      <c r="BM40" s="7">
        <v>11119</v>
      </c>
      <c r="BN40" s="7">
        <v>16549</v>
      </c>
      <c r="BO40" s="7">
        <v>41557</v>
      </c>
      <c r="BP40" s="7">
        <v>-1153</v>
      </c>
      <c r="BQ40" s="7">
        <v>-61393</v>
      </c>
      <c r="BR40" s="7">
        <v>-25205</v>
      </c>
      <c r="BS40" s="7">
        <v>17690</v>
      </c>
      <c r="BT40" s="7">
        <v>-5264</v>
      </c>
      <c r="BU40" s="7">
        <v>-13931</v>
      </c>
      <c r="BV40" s="7">
        <v>-16164</v>
      </c>
      <c r="BW40" s="7">
        <v>-3485</v>
      </c>
      <c r="BX40" s="7">
        <v>26055</v>
      </c>
      <c r="BY40" s="7">
        <v>3617</v>
      </c>
      <c r="BZ40" s="7">
        <v>-3759</v>
      </c>
      <c r="CA40" s="7">
        <v>30815</v>
      </c>
      <c r="CB40" s="7">
        <v>22283</v>
      </c>
      <c r="CC40" s="7">
        <v>69353</v>
      </c>
      <c r="CD40" s="7">
        <v>37120</v>
      </c>
      <c r="CE40" s="7">
        <v>38008</v>
      </c>
      <c r="CF40" s="7">
        <v>-5424</v>
      </c>
      <c r="CG40" s="7">
        <v>12745</v>
      </c>
      <c r="CH40" s="7">
        <v>11085</v>
      </c>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row>
    <row r="41" spans="1:166">
      <c r="A41" s="7" t="s">
        <v>301</v>
      </c>
      <c r="B41" s="7" t="s">
        <v>88</v>
      </c>
      <c r="C41" s="7">
        <v>1000000</v>
      </c>
      <c r="D41" s="7" t="s">
        <v>89</v>
      </c>
      <c r="E41" s="7" t="s">
        <v>302</v>
      </c>
      <c r="F41" s="8" t="s">
        <v>303</v>
      </c>
      <c r="G41" s="7"/>
      <c r="H41" s="7">
        <v>32</v>
      </c>
      <c r="I41" s="7">
        <v>97</v>
      </c>
      <c r="J41" s="7">
        <v>51</v>
      </c>
      <c r="K41" s="7">
        <v>85</v>
      </c>
      <c r="L41" s="7">
        <v>-122</v>
      </c>
      <c r="M41" s="7">
        <v>-53</v>
      </c>
      <c r="N41" s="7">
        <v>105</v>
      </c>
      <c r="O41" s="7">
        <v>9</v>
      </c>
      <c r="P41" s="7">
        <v>87</v>
      </c>
      <c r="Q41" s="7">
        <v>-74</v>
      </c>
      <c r="R41" s="7">
        <v>88</v>
      </c>
      <c r="S41" s="7">
        <v>130</v>
      </c>
      <c r="T41" s="7">
        <v>-225</v>
      </c>
      <c r="U41" s="7">
        <v>532</v>
      </c>
      <c r="V41" s="7">
        <v>46</v>
      </c>
      <c r="W41" s="7">
        <v>301</v>
      </c>
      <c r="X41" s="7">
        <v>215</v>
      </c>
      <c r="Y41" s="7">
        <v>-335</v>
      </c>
      <c r="Z41" s="7">
        <v>725</v>
      </c>
      <c r="AA41" s="7">
        <v>-324</v>
      </c>
      <c r="AB41" s="7">
        <v>1482</v>
      </c>
      <c r="AC41" s="7">
        <v>1100</v>
      </c>
      <c r="AD41" s="7">
        <v>1147</v>
      </c>
      <c r="AE41" s="7">
        <v>2529</v>
      </c>
      <c r="AF41" s="7">
        <v>1761</v>
      </c>
      <c r="AG41" s="7">
        <v>1886</v>
      </c>
      <c r="AH41" s="7">
        <v>2960</v>
      </c>
      <c r="AI41" s="7">
        <v>641</v>
      </c>
      <c r="AJ41" s="7">
        <v>4126</v>
      </c>
      <c r="AK41" s="7">
        <v>3784</v>
      </c>
      <c r="AL41" s="7">
        <v>2140</v>
      </c>
      <c r="AM41" s="7">
        <v>-1121</v>
      </c>
      <c r="AN41" s="7">
        <v>122</v>
      </c>
      <c r="AO41" s="7">
        <v>74</v>
      </c>
      <c r="AP41" s="7">
        <v>-454</v>
      </c>
      <c r="AQ41" s="7">
        <v>-933</v>
      </c>
      <c r="AR41" s="7">
        <v>-251</v>
      </c>
      <c r="AS41" s="7">
        <v>4240</v>
      </c>
      <c r="AT41" s="7">
        <v>-2446</v>
      </c>
      <c r="AU41" s="7">
        <v>736</v>
      </c>
      <c r="AV41" s="7">
        <v>-305</v>
      </c>
      <c r="AW41" s="7">
        <v>4793</v>
      </c>
      <c r="AX41" s="7">
        <v>-1318</v>
      </c>
      <c r="AY41" s="7">
        <v>643</v>
      </c>
      <c r="AZ41" s="7">
        <v>-455</v>
      </c>
      <c r="BA41" s="7">
        <v>859</v>
      </c>
      <c r="BB41" s="7">
        <v>2349</v>
      </c>
      <c r="BC41" s="7">
        <v>2367</v>
      </c>
      <c r="BD41" s="7">
        <v>-585</v>
      </c>
      <c r="BE41" s="7">
        <v>1316</v>
      </c>
      <c r="BF41" s="7">
        <v>11392</v>
      </c>
      <c r="BG41" s="7">
        <v>4611</v>
      </c>
      <c r="BH41" s="7">
        <v>3288</v>
      </c>
      <c r="BI41" s="7">
        <v>8171</v>
      </c>
      <c r="BJ41" s="7">
        <v>10161</v>
      </c>
      <c r="BK41" s="7">
        <v>2404</v>
      </c>
      <c r="BL41" s="7">
        <v>4620</v>
      </c>
      <c r="BM41" s="7">
        <v>10890</v>
      </c>
      <c r="BN41" s="7">
        <v>19344</v>
      </c>
      <c r="BO41" s="7">
        <v>15951</v>
      </c>
      <c r="BP41" s="7">
        <v>11695</v>
      </c>
      <c r="BQ41" s="7">
        <v>-53207</v>
      </c>
      <c r="BR41" s="7">
        <v>-12176</v>
      </c>
      <c r="BS41" s="7">
        <v>-1299</v>
      </c>
      <c r="BT41" s="7">
        <v>-12476</v>
      </c>
      <c r="BU41" s="7">
        <v>93</v>
      </c>
      <c r="BV41" s="7">
        <v>-11472</v>
      </c>
      <c r="BW41" s="7">
        <v>-5628</v>
      </c>
      <c r="BX41" s="7">
        <v>25085</v>
      </c>
      <c r="BY41" s="7">
        <v>7807</v>
      </c>
      <c r="BZ41" s="7">
        <v>-6866</v>
      </c>
      <c r="CA41" s="7">
        <v>-8803</v>
      </c>
      <c r="CB41" s="7">
        <v>38399</v>
      </c>
      <c r="CC41" s="7">
        <v>55442</v>
      </c>
      <c r="CD41" s="7">
        <v>33285</v>
      </c>
      <c r="CE41" s="7">
        <v>5399</v>
      </c>
      <c r="CF41" s="7">
        <v>-39380</v>
      </c>
      <c r="CG41" s="7">
        <v>-7038</v>
      </c>
      <c r="CH41" s="7">
        <v>-3276</v>
      </c>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row>
    <row r="42" spans="1:166">
      <c r="A42" s="7" t="s">
        <v>304</v>
      </c>
      <c r="B42" s="7" t="s">
        <v>88</v>
      </c>
      <c r="C42" s="7">
        <v>1000000</v>
      </c>
      <c r="D42" s="7" t="s">
        <v>89</v>
      </c>
      <c r="E42" s="7" t="s">
        <v>305</v>
      </c>
      <c r="F42" s="8" t="s">
        <v>306</v>
      </c>
      <c r="G42" s="7"/>
      <c r="H42" s="7">
        <v>-5729</v>
      </c>
      <c r="I42" s="7">
        <v>-488</v>
      </c>
      <c r="J42" s="7">
        <v>562</v>
      </c>
      <c r="K42" s="7">
        <v>1844</v>
      </c>
      <c r="L42" s="7">
        <v>3173</v>
      </c>
      <c r="M42" s="7">
        <v>783</v>
      </c>
      <c r="N42" s="7">
        <v>-1006</v>
      </c>
      <c r="O42" s="7">
        <v>1593</v>
      </c>
      <c r="P42" s="7">
        <v>-1717</v>
      </c>
      <c r="Q42" s="7">
        <v>3758</v>
      </c>
      <c r="R42" s="7">
        <v>-4563</v>
      </c>
      <c r="S42" s="7">
        <v>-1129</v>
      </c>
      <c r="T42" s="7">
        <v>503</v>
      </c>
      <c r="U42" s="7">
        <v>5529</v>
      </c>
      <c r="V42" s="7">
        <v>-5869</v>
      </c>
      <c r="W42" s="7">
        <v>-1656</v>
      </c>
      <c r="X42" s="7">
        <v>-1789</v>
      </c>
      <c r="Y42" s="7">
        <v>2821</v>
      </c>
      <c r="Z42" s="7">
        <v>-647</v>
      </c>
      <c r="AA42" s="7">
        <v>-1933</v>
      </c>
      <c r="AB42" s="7">
        <v>-1494</v>
      </c>
      <c r="AC42" s="7">
        <v>-2440</v>
      </c>
      <c r="AD42" s="7">
        <v>345</v>
      </c>
      <c r="AE42" s="7">
        <v>-3313</v>
      </c>
      <c r="AF42" s="7">
        <v>637</v>
      </c>
      <c r="AG42" s="7">
        <v>2774</v>
      </c>
      <c r="AH42" s="7">
        <v>-2176</v>
      </c>
      <c r="AI42" s="7">
        <v>-4399</v>
      </c>
      <c r="AJ42" s="7">
        <v>1351</v>
      </c>
      <c r="AK42" s="7">
        <v>7413</v>
      </c>
      <c r="AL42" s="7">
        <v>7283</v>
      </c>
      <c r="AM42" s="7">
        <v>-4991</v>
      </c>
      <c r="AN42" s="7">
        <v>-1486</v>
      </c>
      <c r="AO42" s="7">
        <v>-1598</v>
      </c>
      <c r="AP42" s="7">
        <v>225</v>
      </c>
      <c r="AQ42" s="7">
        <v>4955</v>
      </c>
      <c r="AR42" s="7">
        <v>2359</v>
      </c>
      <c r="AS42" s="7">
        <v>9133</v>
      </c>
      <c r="AT42" s="7">
        <v>6323</v>
      </c>
      <c r="AU42" s="7">
        <v>4635</v>
      </c>
      <c r="AV42" s="7">
        <v>-777</v>
      </c>
      <c r="AW42" s="7">
        <v>-8535</v>
      </c>
      <c r="AX42" s="7">
        <v>-3857</v>
      </c>
      <c r="AY42" s="7">
        <v>23499</v>
      </c>
      <c r="AZ42" s="7">
        <v>-13783</v>
      </c>
      <c r="BA42" s="7">
        <v>5777</v>
      </c>
      <c r="BB42" s="7">
        <v>17163</v>
      </c>
      <c r="BC42" s="7">
        <v>-11750</v>
      </c>
      <c r="BD42" s="7">
        <v>1981</v>
      </c>
      <c r="BE42" s="7">
        <v>6278</v>
      </c>
      <c r="BF42" s="7">
        <v>-10003</v>
      </c>
      <c r="BG42" s="7">
        <v>-20249</v>
      </c>
      <c r="BH42" s="7">
        <v>-3231</v>
      </c>
      <c r="BI42" s="7">
        <v>-4195</v>
      </c>
      <c r="BJ42" s="7">
        <v>-1315</v>
      </c>
      <c r="BK42" s="7">
        <v>-1253</v>
      </c>
      <c r="BL42" s="7">
        <v>14502</v>
      </c>
      <c r="BM42" s="7">
        <v>2336</v>
      </c>
      <c r="BN42" s="7">
        <v>324</v>
      </c>
      <c r="BO42" s="7">
        <v>18103</v>
      </c>
      <c r="BP42" s="7">
        <v>-6654</v>
      </c>
      <c r="BQ42" s="7">
        <v>-7144</v>
      </c>
      <c r="BR42" s="7">
        <v>-7864</v>
      </c>
      <c r="BS42" s="7">
        <v>12509</v>
      </c>
      <c r="BT42" s="7">
        <v>6867</v>
      </c>
      <c r="BU42" s="7">
        <v>-7801</v>
      </c>
      <c r="BV42" s="7">
        <v>-2799</v>
      </c>
      <c r="BW42" s="7">
        <v>1674</v>
      </c>
      <c r="BX42" s="7">
        <v>1579</v>
      </c>
      <c r="BY42" s="7">
        <v>-3770</v>
      </c>
      <c r="BZ42" s="7">
        <v>4155</v>
      </c>
      <c r="CA42" s="7">
        <v>30135</v>
      </c>
      <c r="CB42" s="7">
        <v>-15591</v>
      </c>
      <c r="CC42" s="7">
        <v>6709</v>
      </c>
      <c r="CD42" s="7">
        <v>7423</v>
      </c>
      <c r="CE42" s="7">
        <v>10660</v>
      </c>
      <c r="CF42" s="7">
        <v>21203</v>
      </c>
      <c r="CG42" s="7">
        <v>19883</v>
      </c>
      <c r="CH42" s="7">
        <v>12917</v>
      </c>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row>
    <row r="43" spans="1:166">
      <c r="A43" s="7" t="s">
        <v>307</v>
      </c>
      <c r="B43" s="7" t="s">
        <v>88</v>
      </c>
      <c r="C43" s="7">
        <v>1000000</v>
      </c>
      <c r="D43" s="7" t="s">
        <v>89</v>
      </c>
      <c r="E43" s="7" t="s">
        <v>308</v>
      </c>
      <c r="F43" s="8" t="s">
        <v>309</v>
      </c>
      <c r="G43" s="7"/>
      <c r="H43" s="7">
        <v>0</v>
      </c>
      <c r="I43" s="7">
        <v>0</v>
      </c>
      <c r="J43" s="7">
        <v>0</v>
      </c>
      <c r="K43" s="7">
        <v>0</v>
      </c>
      <c r="L43" s="7">
        <v>0</v>
      </c>
      <c r="M43" s="7">
        <v>0</v>
      </c>
      <c r="N43" s="7">
        <v>0</v>
      </c>
      <c r="O43" s="7">
        <v>0</v>
      </c>
      <c r="P43" s="7">
        <v>0</v>
      </c>
      <c r="Q43" s="7">
        <v>300</v>
      </c>
      <c r="R43" s="7">
        <v>100</v>
      </c>
      <c r="S43" s="7">
        <v>400</v>
      </c>
      <c r="T43" s="7">
        <v>-200</v>
      </c>
      <c r="U43" s="7">
        <v>600</v>
      </c>
      <c r="V43" s="7">
        <v>-84</v>
      </c>
      <c r="W43" s="7">
        <v>132</v>
      </c>
      <c r="X43" s="7">
        <v>27</v>
      </c>
      <c r="Y43" s="7">
        <v>333</v>
      </c>
      <c r="Z43" s="7">
        <v>-608</v>
      </c>
      <c r="AA43" s="7">
        <v>238</v>
      </c>
      <c r="AB43" s="7">
        <v>-211</v>
      </c>
      <c r="AC43" s="7">
        <v>-22</v>
      </c>
      <c r="AD43" s="7">
        <v>429</v>
      </c>
      <c r="AE43" s="7">
        <v>242</v>
      </c>
      <c r="AF43" s="7">
        <v>-467</v>
      </c>
      <c r="AG43" s="7">
        <v>-298</v>
      </c>
      <c r="AH43" s="7">
        <v>125</v>
      </c>
      <c r="AI43" s="7">
        <v>999</v>
      </c>
      <c r="AJ43" s="7">
        <v>918</v>
      </c>
      <c r="AK43" s="7">
        <v>-538</v>
      </c>
      <c r="AL43" s="7">
        <v>-396</v>
      </c>
      <c r="AM43" s="7">
        <v>-196</v>
      </c>
      <c r="AN43" s="7">
        <v>101</v>
      </c>
      <c r="AO43" s="7">
        <v>-973</v>
      </c>
      <c r="AP43" s="7">
        <v>405</v>
      </c>
      <c r="AQ43" s="7">
        <v>3574</v>
      </c>
      <c r="AR43" s="7">
        <v>-2457</v>
      </c>
      <c r="AS43" s="7">
        <v>865</v>
      </c>
      <c r="AT43" s="7">
        <v>1132</v>
      </c>
      <c r="AU43" s="7">
        <v>-1302</v>
      </c>
      <c r="AV43" s="7">
        <v>-1657</v>
      </c>
      <c r="AW43" s="7">
        <v>288</v>
      </c>
      <c r="AX43" s="7">
        <v>3374</v>
      </c>
      <c r="AY43" s="7">
        <v>3148</v>
      </c>
      <c r="AZ43" s="7">
        <v>-5885</v>
      </c>
      <c r="BA43" s="7">
        <v>1827</v>
      </c>
      <c r="BB43" s="7">
        <v>3473</v>
      </c>
      <c r="BC43" s="7">
        <v>10474</v>
      </c>
      <c r="BD43" s="7">
        <v>816</v>
      </c>
      <c r="BE43" s="7">
        <v>3546</v>
      </c>
      <c r="BF43" s="7">
        <v>5059</v>
      </c>
      <c r="BG43" s="7">
        <v>-20509</v>
      </c>
      <c r="BH43" s="7">
        <v>2638</v>
      </c>
      <c r="BI43" s="7">
        <v>1807</v>
      </c>
      <c r="BJ43" s="7">
        <v>3007</v>
      </c>
      <c r="BK43" s="7">
        <v>2116</v>
      </c>
      <c r="BL43" s="7">
        <v>-656</v>
      </c>
      <c r="BM43" s="7">
        <v>-5653</v>
      </c>
      <c r="BN43" s="7">
        <v>108</v>
      </c>
      <c r="BO43" s="7">
        <v>6034</v>
      </c>
      <c r="BP43" s="7">
        <v>-2218</v>
      </c>
      <c r="BQ43" s="7">
        <v>-2381</v>
      </c>
      <c r="BR43" s="7">
        <v>-2621</v>
      </c>
      <c r="BS43" s="7">
        <v>4169</v>
      </c>
      <c r="BT43" s="7">
        <v>1974</v>
      </c>
      <c r="BU43" s="7">
        <v>-2161</v>
      </c>
      <c r="BV43" s="7">
        <v>-1334</v>
      </c>
      <c r="BW43" s="7">
        <v>277</v>
      </c>
      <c r="BX43" s="7">
        <v>638</v>
      </c>
      <c r="BY43" s="7">
        <v>-1303</v>
      </c>
      <c r="BZ43" s="7">
        <v>1295</v>
      </c>
      <c r="CA43" s="7">
        <v>9987</v>
      </c>
      <c r="CB43" s="7">
        <v>-5455</v>
      </c>
      <c r="CC43" s="7">
        <v>2380</v>
      </c>
      <c r="CD43" s="7">
        <v>3637</v>
      </c>
      <c r="CE43" s="7">
        <v>2886</v>
      </c>
      <c r="CF43" s="7">
        <v>5750</v>
      </c>
      <c r="CG43" s="7">
        <v>6633</v>
      </c>
      <c r="CH43" s="7">
        <v>3497</v>
      </c>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row>
    <row r="44" spans="1:166">
      <c r="A44" s="7" t="s">
        <v>310</v>
      </c>
      <c r="B44" s="7" t="s">
        <v>88</v>
      </c>
      <c r="C44" s="7">
        <v>1000000</v>
      </c>
      <c r="D44" s="7" t="s">
        <v>89</v>
      </c>
      <c r="E44" s="7" t="s">
        <v>311</v>
      </c>
      <c r="F44" s="8" t="s">
        <v>312</v>
      </c>
      <c r="G44" s="7"/>
      <c r="H44" s="7">
        <v>61</v>
      </c>
      <c r="I44" s="7">
        <v>37</v>
      </c>
      <c r="J44" s="7">
        <v>102</v>
      </c>
      <c r="K44" s="7">
        <v>33</v>
      </c>
      <c r="L44" s="7">
        <v>167</v>
      </c>
      <c r="M44" s="7">
        <v>192</v>
      </c>
      <c r="N44" s="7">
        <v>-31</v>
      </c>
      <c r="O44" s="7">
        <v>192</v>
      </c>
      <c r="P44" s="7">
        <v>-33</v>
      </c>
      <c r="Q44" s="7">
        <v>247</v>
      </c>
      <c r="R44" s="7">
        <v>123</v>
      </c>
      <c r="S44" s="7">
        <v>137</v>
      </c>
      <c r="T44" s="7">
        <v>479</v>
      </c>
      <c r="U44" s="7">
        <v>-164</v>
      </c>
      <c r="V44" s="7">
        <v>588</v>
      </c>
      <c r="W44" s="7">
        <v>13</v>
      </c>
      <c r="X44" s="7">
        <v>302</v>
      </c>
      <c r="Y44" s="7">
        <v>1090</v>
      </c>
      <c r="Z44" s="7">
        <v>-107</v>
      </c>
      <c r="AA44" s="7">
        <v>920</v>
      </c>
      <c r="AB44" s="7">
        <v>-961</v>
      </c>
      <c r="AC44" s="7">
        <v>-339</v>
      </c>
      <c r="AD44" s="7">
        <v>482</v>
      </c>
      <c r="AE44" s="7">
        <v>-982</v>
      </c>
      <c r="AF44" s="7">
        <v>-625</v>
      </c>
      <c r="AG44" s="7">
        <v>1000</v>
      </c>
      <c r="AH44" s="7">
        <v>1000</v>
      </c>
      <c r="AI44" s="7">
        <v>-137</v>
      </c>
      <c r="AJ44" s="7">
        <v>616</v>
      </c>
      <c r="AK44" s="7">
        <v>-993</v>
      </c>
      <c r="AL44" s="7">
        <v>-618</v>
      </c>
      <c r="AM44" s="7">
        <v>142</v>
      </c>
      <c r="AN44" s="7">
        <v>241</v>
      </c>
      <c r="AO44" s="7">
        <v>-153</v>
      </c>
      <c r="AP44" s="7">
        <v>4904</v>
      </c>
      <c r="AQ44" s="7">
        <v>1244</v>
      </c>
      <c r="AR44" s="7">
        <v>1572</v>
      </c>
      <c r="AS44" s="7">
        <v>6090</v>
      </c>
      <c r="AT44" s="7">
        <v>4215</v>
      </c>
      <c r="AU44" s="7">
        <v>3089</v>
      </c>
      <c r="AV44" s="7">
        <v>-517</v>
      </c>
      <c r="AW44" s="7">
        <v>-5691</v>
      </c>
      <c r="AX44" s="7">
        <v>-2570</v>
      </c>
      <c r="AY44" s="7">
        <v>15557</v>
      </c>
      <c r="AZ44" s="7">
        <v>-7680</v>
      </c>
      <c r="BA44" s="7">
        <v>20147</v>
      </c>
      <c r="BB44" s="7">
        <v>995</v>
      </c>
      <c r="BC44" s="7">
        <v>8895</v>
      </c>
      <c r="BD44" s="7">
        <v>1998</v>
      </c>
      <c r="BE44" s="7">
        <v>-19919</v>
      </c>
      <c r="BF44" s="7">
        <v>-5770</v>
      </c>
      <c r="BG44" s="7">
        <v>-3637</v>
      </c>
      <c r="BH44" s="7">
        <v>-1632</v>
      </c>
      <c r="BI44" s="7">
        <v>-746</v>
      </c>
      <c r="BJ44" s="7">
        <v>6936</v>
      </c>
      <c r="BK44" s="7">
        <v>-2607</v>
      </c>
      <c r="BL44" s="7">
        <v>2800</v>
      </c>
      <c r="BM44" s="7">
        <v>3273</v>
      </c>
      <c r="BN44" s="7">
        <v>-3591</v>
      </c>
      <c r="BO44" s="7">
        <v>300</v>
      </c>
      <c r="BP44" s="7">
        <v>-3982</v>
      </c>
      <c r="BQ44" s="7">
        <v>1057</v>
      </c>
      <c r="BR44" s="7">
        <v>-3024</v>
      </c>
      <c r="BS44" s="7">
        <v>937</v>
      </c>
      <c r="BT44" s="7">
        <v>-1866</v>
      </c>
      <c r="BU44" s="7">
        <v>-3410</v>
      </c>
      <c r="BV44" s="7">
        <v>-175</v>
      </c>
      <c r="BW44" s="7">
        <v>-222</v>
      </c>
      <c r="BX44" s="7">
        <v>-1629</v>
      </c>
      <c r="BY44" s="7">
        <v>1003</v>
      </c>
      <c r="BZ44" s="7">
        <v>-2696</v>
      </c>
      <c r="CA44" s="7">
        <v>-2480</v>
      </c>
      <c r="CB44" s="7">
        <v>1734</v>
      </c>
      <c r="CC44" s="7">
        <v>4790</v>
      </c>
      <c r="CD44" s="7">
        <v>-8444</v>
      </c>
      <c r="CE44" s="7">
        <v>11372</v>
      </c>
      <c r="CF44" s="7">
        <v>4255</v>
      </c>
      <c r="CG44" s="7">
        <v>-4096</v>
      </c>
      <c r="CH44" s="7">
        <v>1143</v>
      </c>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row>
    <row r="45" spans="1:166">
      <c r="A45" s="7" t="s">
        <v>313</v>
      </c>
      <c r="B45" s="7" t="s">
        <v>88</v>
      </c>
      <c r="C45" s="7">
        <v>1000000</v>
      </c>
      <c r="D45" s="7" t="s">
        <v>89</v>
      </c>
      <c r="E45" s="7" t="s">
        <v>314</v>
      </c>
      <c r="F45" s="8" t="s">
        <v>315</v>
      </c>
      <c r="G45" s="7"/>
      <c r="H45" s="7">
        <v>0</v>
      </c>
      <c r="I45" s="7">
        <v>0</v>
      </c>
      <c r="J45" s="7">
        <v>0</v>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c r="AD45" s="7">
        <v>0</v>
      </c>
      <c r="AE45" s="7">
        <v>0</v>
      </c>
      <c r="AF45" s="7">
        <v>0</v>
      </c>
      <c r="AG45" s="7">
        <v>0</v>
      </c>
      <c r="AH45" s="7">
        <v>0</v>
      </c>
      <c r="AI45" s="7">
        <v>0</v>
      </c>
      <c r="AJ45" s="7">
        <v>0</v>
      </c>
      <c r="AK45" s="7">
        <v>0</v>
      </c>
      <c r="AL45" s="7">
        <v>0</v>
      </c>
      <c r="AM45" s="7">
        <v>0</v>
      </c>
      <c r="AN45" s="7">
        <v>0</v>
      </c>
      <c r="AO45" s="7">
        <v>0</v>
      </c>
      <c r="AP45" s="7">
        <v>0</v>
      </c>
      <c r="AQ45" s="7">
        <v>0</v>
      </c>
      <c r="AR45" s="7">
        <v>0</v>
      </c>
      <c r="AS45" s="7">
        <v>0</v>
      </c>
      <c r="AT45" s="7">
        <v>0</v>
      </c>
      <c r="AU45" s="7">
        <v>0</v>
      </c>
      <c r="AV45" s="7">
        <v>0</v>
      </c>
      <c r="AW45" s="7">
        <v>0</v>
      </c>
      <c r="AX45" s="7">
        <v>0</v>
      </c>
      <c r="AY45" s="7">
        <v>0</v>
      </c>
      <c r="AZ45" s="7">
        <v>0</v>
      </c>
      <c r="BA45" s="7">
        <v>0</v>
      </c>
      <c r="BB45" s="7">
        <v>143</v>
      </c>
      <c r="BC45" s="7">
        <v>17</v>
      </c>
      <c r="BD45" s="7">
        <v>156</v>
      </c>
      <c r="BE45" s="7">
        <v>69</v>
      </c>
      <c r="BF45" s="7">
        <v>218</v>
      </c>
      <c r="BG45" s="7">
        <v>271</v>
      </c>
      <c r="BH45" s="7">
        <v>-71</v>
      </c>
      <c r="BI45" s="7">
        <v>250</v>
      </c>
      <c r="BJ45" s="7">
        <v>391</v>
      </c>
      <c r="BK45" s="7">
        <v>-503</v>
      </c>
      <c r="BL45" s="7">
        <v>-263</v>
      </c>
      <c r="BM45" s="7">
        <v>273</v>
      </c>
      <c r="BN45" s="7">
        <v>364</v>
      </c>
      <c r="BO45" s="7">
        <v>1169</v>
      </c>
      <c r="BP45" s="7">
        <v>6</v>
      </c>
      <c r="BQ45" s="7">
        <v>282</v>
      </c>
      <c r="BR45" s="7">
        <v>480</v>
      </c>
      <c r="BS45" s="7">
        <v>1374</v>
      </c>
      <c r="BT45" s="7">
        <v>237</v>
      </c>
      <c r="BU45" s="7">
        <v>-652</v>
      </c>
      <c r="BV45" s="7">
        <v>-384</v>
      </c>
      <c r="BW45" s="7">
        <v>414</v>
      </c>
      <c r="BX45" s="7">
        <v>382</v>
      </c>
      <c r="BY45" s="7">
        <v>-120</v>
      </c>
      <c r="BZ45" s="7">
        <v>353</v>
      </c>
      <c r="CA45" s="7">
        <v>1976</v>
      </c>
      <c r="CB45" s="7">
        <v>3196</v>
      </c>
      <c r="CC45" s="7">
        <v>32</v>
      </c>
      <c r="CD45" s="7">
        <v>1219</v>
      </c>
      <c r="CE45" s="7">
        <v>7691</v>
      </c>
      <c r="CF45" s="7">
        <v>2748</v>
      </c>
      <c r="CG45" s="7">
        <v>-2637</v>
      </c>
      <c r="CH45" s="7">
        <v>-3196</v>
      </c>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row>
    <row r="46" spans="1:166">
      <c r="A46" s="7" t="s">
        <v>316</v>
      </c>
      <c r="B46" s="7" t="s">
        <v>88</v>
      </c>
      <c r="C46" s="7">
        <v>1000000</v>
      </c>
      <c r="D46" s="7" t="s">
        <v>89</v>
      </c>
      <c r="E46" s="7" t="s">
        <v>317</v>
      </c>
      <c r="F46" s="8" t="s">
        <v>318</v>
      </c>
      <c r="G46" s="7"/>
      <c r="H46" s="7">
        <v>548</v>
      </c>
      <c r="I46" s="7">
        <v>820</v>
      </c>
      <c r="J46" s="7">
        <v>810</v>
      </c>
      <c r="K46" s="7">
        <v>580</v>
      </c>
      <c r="L46" s="7">
        <v>1119</v>
      </c>
      <c r="M46" s="7">
        <v>625</v>
      </c>
      <c r="N46" s="7">
        <v>-129</v>
      </c>
      <c r="O46" s="7">
        <v>286</v>
      </c>
      <c r="P46" s="7">
        <v>370</v>
      </c>
      <c r="Q46" s="7">
        <v>727</v>
      </c>
      <c r="R46" s="7">
        <v>506</v>
      </c>
      <c r="S46" s="7">
        <v>132</v>
      </c>
      <c r="T46" s="7">
        <v>205</v>
      </c>
      <c r="U46" s="7">
        <v>1281</v>
      </c>
      <c r="V46" s="7">
        <v>-383</v>
      </c>
      <c r="W46" s="7">
        <v>102</v>
      </c>
      <c r="X46" s="7">
        <v>899</v>
      </c>
      <c r="Y46" s="7">
        <v>1089</v>
      </c>
      <c r="Z46" s="7">
        <v>1408</v>
      </c>
      <c r="AA46" s="7">
        <v>1429</v>
      </c>
      <c r="AB46" s="7">
        <v>700</v>
      </c>
      <c r="AC46" s="7">
        <v>235</v>
      </c>
      <c r="AD46" s="7">
        <v>1233</v>
      </c>
      <c r="AE46" s="7">
        <v>3298</v>
      </c>
      <c r="AF46" s="7">
        <v>-1436</v>
      </c>
      <c r="AG46" s="7">
        <v>4754</v>
      </c>
      <c r="AH46" s="7">
        <v>4203</v>
      </c>
      <c r="AI46" s="7">
        <v>10185</v>
      </c>
      <c r="AJ46" s="7">
        <v>-3749</v>
      </c>
      <c r="AK46" s="7">
        <v>-2437</v>
      </c>
      <c r="AL46" s="7">
        <v>2586</v>
      </c>
      <c r="AM46" s="7">
        <v>4490</v>
      </c>
      <c r="AN46" s="7">
        <v>4590</v>
      </c>
      <c r="AO46" s="7">
        <v>8172</v>
      </c>
      <c r="AP46" s="7">
        <v>14790</v>
      </c>
      <c r="AQ46" s="7">
        <v>13382</v>
      </c>
      <c r="AR46" s="7">
        <v>4458</v>
      </c>
      <c r="AS46" s="7">
        <v>2096</v>
      </c>
      <c r="AT46" s="7">
        <v>13085</v>
      </c>
      <c r="AU46" s="7">
        <v>7125</v>
      </c>
      <c r="AV46" s="7">
        <v>2588</v>
      </c>
      <c r="AW46" s="7">
        <v>9685</v>
      </c>
      <c r="AX46" s="7">
        <v>29556</v>
      </c>
      <c r="AY46" s="7">
        <v>-1862</v>
      </c>
      <c r="AZ46" s="7">
        <v>-2719</v>
      </c>
      <c r="BA46" s="7">
        <v>-562</v>
      </c>
      <c r="BB46" s="7">
        <v>13493</v>
      </c>
      <c r="BC46" s="7">
        <v>14340</v>
      </c>
      <c r="BD46" s="7">
        <v>29371</v>
      </c>
      <c r="BE46" s="7">
        <v>4058</v>
      </c>
      <c r="BF46" s="7">
        <v>-1935</v>
      </c>
      <c r="BG46" s="7">
        <v>40173</v>
      </c>
      <c r="BH46" s="7">
        <v>5649</v>
      </c>
      <c r="BI46" s="7">
        <v>28844</v>
      </c>
      <c r="BJ46" s="7">
        <v>-6532</v>
      </c>
      <c r="BK46" s="7">
        <v>3886</v>
      </c>
      <c r="BL46" s="7">
        <v>26835</v>
      </c>
      <c r="BM46" s="7">
        <v>-21377</v>
      </c>
      <c r="BN46" s="7">
        <v>31526</v>
      </c>
      <c r="BO46" s="7">
        <v>-2765</v>
      </c>
      <c r="BP46" s="7">
        <v>-31155</v>
      </c>
      <c r="BQ46" s="7">
        <v>-39875</v>
      </c>
      <c r="BR46" s="7">
        <v>-36178</v>
      </c>
      <c r="BS46" s="7">
        <v>33634</v>
      </c>
      <c r="BT46" s="7">
        <v>-37525</v>
      </c>
      <c r="BU46" s="7">
        <v>21925</v>
      </c>
      <c r="BV46" s="7">
        <v>9659</v>
      </c>
      <c r="BW46" s="7">
        <v>-727</v>
      </c>
      <c r="BX46" s="7">
        <v>24590</v>
      </c>
      <c r="BY46" s="7">
        <v>26523</v>
      </c>
      <c r="BZ46" s="7">
        <v>-14094</v>
      </c>
      <c r="CA46" s="7">
        <v>-70644</v>
      </c>
      <c r="CB46" s="7">
        <v>53241</v>
      </c>
      <c r="CC46" s="7">
        <v>-93437</v>
      </c>
      <c r="CD46" s="7">
        <v>5385</v>
      </c>
      <c r="CE46" s="7">
        <v>-34296</v>
      </c>
      <c r="CF46" s="7">
        <v>-43621</v>
      </c>
      <c r="CG46" s="7">
        <v>55259</v>
      </c>
      <c r="CH46" s="7">
        <v>10976</v>
      </c>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row>
    <row r="47" spans="1:166">
      <c r="A47" s="7" t="s">
        <v>319</v>
      </c>
      <c r="B47" s="7" t="s">
        <v>88</v>
      </c>
      <c r="C47" s="7">
        <v>1000000</v>
      </c>
      <c r="D47" s="7" t="s">
        <v>89</v>
      </c>
      <c r="E47" s="7" t="s">
        <v>320</v>
      </c>
      <c r="F47" s="8" t="s">
        <v>321</v>
      </c>
      <c r="G47" s="7"/>
      <c r="H47" s="7">
        <v>527</v>
      </c>
      <c r="I47" s="7">
        <v>798</v>
      </c>
      <c r="J47" s="7">
        <v>786</v>
      </c>
      <c r="K47" s="7">
        <v>572</v>
      </c>
      <c r="L47" s="7">
        <v>1114</v>
      </c>
      <c r="M47" s="7">
        <v>624</v>
      </c>
      <c r="N47" s="7">
        <v>-164</v>
      </c>
      <c r="O47" s="7">
        <v>258</v>
      </c>
      <c r="P47" s="7">
        <v>345</v>
      </c>
      <c r="Q47" s="7">
        <v>684</v>
      </c>
      <c r="R47" s="7">
        <v>427</v>
      </c>
      <c r="S47" s="7">
        <v>23</v>
      </c>
      <c r="T47" s="7">
        <v>150</v>
      </c>
      <c r="U47" s="7">
        <v>1298</v>
      </c>
      <c r="V47" s="7">
        <v>-495</v>
      </c>
      <c r="W47" s="7">
        <v>-6</v>
      </c>
      <c r="X47" s="7">
        <v>773</v>
      </c>
      <c r="Y47" s="7">
        <v>955</v>
      </c>
      <c r="Z47" s="7">
        <v>1245</v>
      </c>
      <c r="AA47" s="7">
        <v>1229</v>
      </c>
      <c r="AB47" s="7">
        <v>473</v>
      </c>
      <c r="AC47" s="7">
        <v>59</v>
      </c>
      <c r="AD47" s="7">
        <v>566</v>
      </c>
      <c r="AE47" s="7">
        <v>2421</v>
      </c>
      <c r="AF47" s="7">
        <v>-2442</v>
      </c>
      <c r="AG47" s="7">
        <v>3495</v>
      </c>
      <c r="AH47" s="7">
        <v>2295</v>
      </c>
      <c r="AI47" s="7">
        <v>7968</v>
      </c>
      <c r="AJ47" s="7">
        <v>-4657</v>
      </c>
      <c r="AK47" s="7">
        <v>1167</v>
      </c>
      <c r="AL47" s="7">
        <v>2558</v>
      </c>
      <c r="AM47" s="7">
        <v>1517</v>
      </c>
      <c r="AN47" s="7">
        <v>2531</v>
      </c>
      <c r="AO47" s="7">
        <v>2407</v>
      </c>
      <c r="AP47" s="7">
        <v>1874</v>
      </c>
      <c r="AQ47" s="7">
        <v>-1182</v>
      </c>
      <c r="AR47" s="7">
        <v>1116</v>
      </c>
      <c r="AS47" s="7">
        <v>5391</v>
      </c>
      <c r="AT47" s="7">
        <v>3684</v>
      </c>
      <c r="AU47" s="7">
        <v>3582</v>
      </c>
      <c r="AV47" s="7">
        <v>6211</v>
      </c>
      <c r="AW47" s="7">
        <v>5300</v>
      </c>
      <c r="AX47" s="7">
        <v>8348</v>
      </c>
      <c r="AY47" s="7">
        <v>874</v>
      </c>
      <c r="AZ47" s="7">
        <v>2666</v>
      </c>
      <c r="BA47" s="7">
        <v>-4670</v>
      </c>
      <c r="BB47" s="7">
        <v>6190</v>
      </c>
      <c r="BC47" s="7">
        <v>4363</v>
      </c>
      <c r="BD47" s="7">
        <v>9064</v>
      </c>
      <c r="BE47" s="7">
        <v>-1298</v>
      </c>
      <c r="BF47" s="7">
        <v>-5852</v>
      </c>
      <c r="BG47" s="7">
        <v>7322</v>
      </c>
      <c r="BH47" s="7">
        <v>-5414</v>
      </c>
      <c r="BI47" s="7">
        <v>-1644</v>
      </c>
      <c r="BJ47" s="7">
        <v>3781</v>
      </c>
      <c r="BK47" s="7">
        <v>-8661</v>
      </c>
      <c r="BL47" s="7">
        <v>3936</v>
      </c>
      <c r="BM47" s="7">
        <v>-15918</v>
      </c>
      <c r="BN47" s="7">
        <v>582</v>
      </c>
      <c r="BO47" s="7">
        <v>8510</v>
      </c>
      <c r="BP47" s="7">
        <v>-4555</v>
      </c>
      <c r="BQ47" s="7">
        <v>-6352</v>
      </c>
      <c r="BR47" s="7">
        <v>-3354</v>
      </c>
      <c r="BS47" s="7">
        <v>-3048</v>
      </c>
      <c r="BT47" s="7">
        <v>-2649</v>
      </c>
      <c r="BU47" s="7">
        <v>1497</v>
      </c>
      <c r="BV47" s="7">
        <v>-5424</v>
      </c>
      <c r="BW47" s="7">
        <v>-1741</v>
      </c>
      <c r="BX47" s="7">
        <v>27359</v>
      </c>
      <c r="BY47" s="7">
        <v>13566</v>
      </c>
      <c r="BZ47" s="7">
        <v>26797</v>
      </c>
      <c r="CA47" s="7">
        <v>-52686</v>
      </c>
      <c r="CB47" s="7">
        <v>-24729</v>
      </c>
      <c r="CC47" s="7">
        <v>-1855</v>
      </c>
      <c r="CD47" s="7">
        <v>23607</v>
      </c>
      <c r="CE47" s="7">
        <v>-10258</v>
      </c>
      <c r="CF47" s="7">
        <v>3360</v>
      </c>
      <c r="CG47" s="7">
        <v>-3075</v>
      </c>
      <c r="CH47" s="7">
        <v>18853</v>
      </c>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row>
    <row r="48" spans="1:166">
      <c r="A48" s="7" t="s">
        <v>322</v>
      </c>
      <c r="B48" s="7" t="s">
        <v>88</v>
      </c>
      <c r="C48" s="7">
        <v>1000000</v>
      </c>
      <c r="D48" s="7" t="s">
        <v>89</v>
      </c>
      <c r="E48" s="7" t="s">
        <v>323</v>
      </c>
      <c r="F48" s="8" t="s">
        <v>324</v>
      </c>
      <c r="G48" s="7"/>
      <c r="H48" s="7">
        <v>21</v>
      </c>
      <c r="I48" s="7">
        <v>22</v>
      </c>
      <c r="J48" s="7">
        <v>24</v>
      </c>
      <c r="K48" s="7">
        <v>8</v>
      </c>
      <c r="L48" s="7">
        <v>5</v>
      </c>
      <c r="M48" s="7">
        <v>1</v>
      </c>
      <c r="N48" s="7">
        <v>35</v>
      </c>
      <c r="O48" s="7">
        <v>28</v>
      </c>
      <c r="P48" s="7">
        <v>25</v>
      </c>
      <c r="Q48" s="7">
        <v>43</v>
      </c>
      <c r="R48" s="7">
        <v>79</v>
      </c>
      <c r="S48" s="7">
        <v>109</v>
      </c>
      <c r="T48" s="7">
        <v>55</v>
      </c>
      <c r="U48" s="7">
        <v>-17</v>
      </c>
      <c r="V48" s="7">
        <v>112</v>
      </c>
      <c r="W48" s="7">
        <v>108</v>
      </c>
      <c r="X48" s="7">
        <v>126</v>
      </c>
      <c r="Y48" s="7">
        <v>134</v>
      </c>
      <c r="Z48" s="7">
        <v>163</v>
      </c>
      <c r="AA48" s="7">
        <v>200</v>
      </c>
      <c r="AB48" s="7">
        <v>227</v>
      </c>
      <c r="AC48" s="7">
        <v>176</v>
      </c>
      <c r="AD48" s="7">
        <v>667</v>
      </c>
      <c r="AE48" s="7">
        <v>877</v>
      </c>
      <c r="AF48" s="7">
        <v>1006</v>
      </c>
      <c r="AG48" s="7">
        <v>1259</v>
      </c>
      <c r="AH48" s="7">
        <v>1908</v>
      </c>
      <c r="AI48" s="7">
        <v>2217</v>
      </c>
      <c r="AJ48" s="7">
        <v>908</v>
      </c>
      <c r="AK48" s="7">
        <v>-3604</v>
      </c>
      <c r="AL48" s="7">
        <v>28</v>
      </c>
      <c r="AM48" s="7">
        <v>2973</v>
      </c>
      <c r="AN48" s="7">
        <v>2059</v>
      </c>
      <c r="AO48" s="7">
        <v>5765</v>
      </c>
      <c r="AP48" s="7">
        <v>12916</v>
      </c>
      <c r="AQ48" s="7">
        <v>14564</v>
      </c>
      <c r="AR48" s="7">
        <v>3342</v>
      </c>
      <c r="AS48" s="7">
        <v>-3295</v>
      </c>
      <c r="AT48" s="7">
        <v>9401</v>
      </c>
      <c r="AU48" s="7">
        <v>3543</v>
      </c>
      <c r="AV48" s="7">
        <v>-3623</v>
      </c>
      <c r="AW48" s="7">
        <v>4385</v>
      </c>
      <c r="AX48" s="7">
        <v>21208</v>
      </c>
      <c r="AY48" s="7">
        <v>-2736</v>
      </c>
      <c r="AZ48" s="7">
        <v>-5385</v>
      </c>
      <c r="BA48" s="7">
        <v>4108</v>
      </c>
      <c r="BB48" s="7">
        <v>7303</v>
      </c>
      <c r="BC48" s="7">
        <v>9977</v>
      </c>
      <c r="BD48" s="7">
        <v>20307</v>
      </c>
      <c r="BE48" s="7">
        <v>5356</v>
      </c>
      <c r="BF48" s="7">
        <v>3917</v>
      </c>
      <c r="BG48" s="7">
        <v>32851</v>
      </c>
      <c r="BH48" s="7">
        <v>11063</v>
      </c>
      <c r="BI48" s="7">
        <v>30488</v>
      </c>
      <c r="BJ48" s="7">
        <v>-10313</v>
      </c>
      <c r="BK48" s="7">
        <v>12547</v>
      </c>
      <c r="BL48" s="7">
        <v>22899</v>
      </c>
      <c r="BM48" s="7">
        <v>-5459</v>
      </c>
      <c r="BN48" s="7">
        <v>30944</v>
      </c>
      <c r="BO48" s="7">
        <v>-11275</v>
      </c>
      <c r="BP48" s="7">
        <v>-26600</v>
      </c>
      <c r="BQ48" s="7">
        <v>-33523</v>
      </c>
      <c r="BR48" s="7">
        <v>-32824</v>
      </c>
      <c r="BS48" s="7">
        <v>36682</v>
      </c>
      <c r="BT48" s="7">
        <v>-34876</v>
      </c>
      <c r="BU48" s="7">
        <v>20428</v>
      </c>
      <c r="BV48" s="7">
        <v>15083</v>
      </c>
      <c r="BW48" s="7">
        <v>1014</v>
      </c>
      <c r="BX48" s="7">
        <v>-2769</v>
      </c>
      <c r="BY48" s="7">
        <v>12957</v>
      </c>
      <c r="BZ48" s="7">
        <v>-40891</v>
      </c>
      <c r="CA48" s="7">
        <v>-17958</v>
      </c>
      <c r="CB48" s="7">
        <v>77970</v>
      </c>
      <c r="CC48" s="7">
        <v>-91582</v>
      </c>
      <c r="CD48" s="7">
        <v>-18222</v>
      </c>
      <c r="CE48" s="7">
        <v>-24038</v>
      </c>
      <c r="CF48" s="7">
        <v>-46981</v>
      </c>
      <c r="CG48" s="7">
        <v>58334</v>
      </c>
      <c r="CH48" s="7">
        <v>-7877</v>
      </c>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row>
    <row r="49" spans="1:166">
      <c r="A49" s="7" t="s">
        <v>325</v>
      </c>
      <c r="B49" s="7" t="s">
        <v>88</v>
      </c>
      <c r="C49" s="7">
        <v>1000000</v>
      </c>
      <c r="D49" s="7" t="s">
        <v>89</v>
      </c>
      <c r="E49" s="7" t="s">
        <v>326</v>
      </c>
      <c r="F49" s="8" t="s">
        <v>327</v>
      </c>
      <c r="G49" s="7"/>
      <c r="H49" s="7">
        <v>194</v>
      </c>
      <c r="I49" s="7">
        <v>711</v>
      </c>
      <c r="J49" s="7">
        <v>685</v>
      </c>
      <c r="K49" s="7">
        <v>617</v>
      </c>
      <c r="L49" s="7">
        <v>579</v>
      </c>
      <c r="M49" s="7">
        <v>467</v>
      </c>
      <c r="N49" s="7">
        <v>779</v>
      </c>
      <c r="O49" s="7">
        <v>652</v>
      </c>
      <c r="P49" s="7">
        <v>575</v>
      </c>
      <c r="Q49" s="7">
        <v>716</v>
      </c>
      <c r="R49" s="7">
        <v>1799</v>
      </c>
      <c r="S49" s="7">
        <v>2265</v>
      </c>
      <c r="T49" s="7">
        <v>1051</v>
      </c>
      <c r="U49" s="7">
        <v>1227</v>
      </c>
      <c r="V49" s="7">
        <v>2732</v>
      </c>
      <c r="W49" s="7">
        <v>2428</v>
      </c>
      <c r="X49" s="7">
        <v>2777</v>
      </c>
      <c r="Y49" s="7">
        <v>2559</v>
      </c>
      <c r="Z49" s="7">
        <v>3012</v>
      </c>
      <c r="AA49" s="7">
        <v>4702</v>
      </c>
      <c r="AB49" s="7">
        <v>8932</v>
      </c>
      <c r="AC49" s="7">
        <v>3227</v>
      </c>
      <c r="AD49" s="7">
        <v>8570</v>
      </c>
      <c r="AE49" s="7">
        <v>13001</v>
      </c>
      <c r="AF49" s="7">
        <v>10333</v>
      </c>
      <c r="AG49" s="7">
        <v>3402</v>
      </c>
      <c r="AH49" s="7">
        <v>-945</v>
      </c>
      <c r="AI49" s="7">
        <v>6727</v>
      </c>
      <c r="AJ49" s="7">
        <v>31320</v>
      </c>
      <c r="AK49" s="7">
        <v>2963</v>
      </c>
      <c r="AL49" s="7">
        <v>4463</v>
      </c>
      <c r="AM49" s="7">
        <v>22190</v>
      </c>
      <c r="AN49" s="7">
        <v>13259</v>
      </c>
      <c r="AO49" s="7">
        <v>26638</v>
      </c>
      <c r="AP49" s="7">
        <v>27893</v>
      </c>
      <c r="AQ49" s="7">
        <v>23945</v>
      </c>
      <c r="AR49" s="7">
        <v>19863</v>
      </c>
      <c r="AS49" s="7">
        <v>21675</v>
      </c>
      <c r="AT49" s="7">
        <v>40926</v>
      </c>
      <c r="AU49" s="7">
        <v>13502</v>
      </c>
      <c r="AV49" s="7">
        <v>43203</v>
      </c>
      <c r="AW49" s="7">
        <v>31074</v>
      </c>
      <c r="AX49" s="7">
        <v>-75485</v>
      </c>
      <c r="AY49" s="7">
        <v>8902</v>
      </c>
      <c r="AZ49" s="7">
        <v>54089</v>
      </c>
      <c r="BA49" s="7">
        <v>54689</v>
      </c>
      <c r="BB49" s="7">
        <v>21350</v>
      </c>
      <c r="BC49" s="7">
        <v>90968</v>
      </c>
      <c r="BD49" s="7">
        <v>41744</v>
      </c>
      <c r="BE49" s="7">
        <v>112515</v>
      </c>
      <c r="BF49" s="7">
        <v>123561</v>
      </c>
      <c r="BG49" s="7">
        <v>198306</v>
      </c>
      <c r="BH49" s="7">
        <v>294038</v>
      </c>
      <c r="BI49" s="7">
        <v>665095</v>
      </c>
      <c r="BJ49" s="7">
        <v>6002</v>
      </c>
      <c r="BK49" s="7">
        <v>11559</v>
      </c>
      <c r="BL49" s="7">
        <v>113463</v>
      </c>
      <c r="BM49" s="7">
        <v>-10285</v>
      </c>
      <c r="BN49" s="7">
        <v>271340</v>
      </c>
      <c r="BO49" s="7">
        <v>-103035</v>
      </c>
      <c r="BP49" s="7">
        <v>94264</v>
      </c>
      <c r="BQ49" s="7">
        <v>483541</v>
      </c>
      <c r="BR49" s="7">
        <v>700329</v>
      </c>
      <c r="BS49" s="7">
        <v>93711</v>
      </c>
      <c r="BT49" s="7">
        <v>118297</v>
      </c>
      <c r="BU49" s="7">
        <v>352012</v>
      </c>
      <c r="BV49" s="7">
        <v>259220</v>
      </c>
      <c r="BW49" s="7">
        <v>343337</v>
      </c>
      <c r="BX49" s="7">
        <v>407758</v>
      </c>
      <c r="BY49" s="7">
        <v>258790</v>
      </c>
      <c r="BZ49" s="7">
        <v>222125</v>
      </c>
      <c r="CA49" s="7">
        <v>330033</v>
      </c>
      <c r="CB49" s="7">
        <v>-317154</v>
      </c>
      <c r="CC49" s="7">
        <v>213936</v>
      </c>
      <c r="CD49" s="7">
        <v>239162</v>
      </c>
      <c r="CE49" s="7">
        <v>268385</v>
      </c>
      <c r="CF49" s="7">
        <v>60296</v>
      </c>
      <c r="CG49" s="7">
        <v>172597</v>
      </c>
      <c r="CH49" s="7">
        <v>58805</v>
      </c>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row>
    <row r="50" spans="1:166">
      <c r="A50" s="7" t="s">
        <v>328</v>
      </c>
      <c r="B50" s="7" t="s">
        <v>88</v>
      </c>
      <c r="C50" s="7">
        <v>1000000</v>
      </c>
      <c r="D50" s="7" t="s">
        <v>89</v>
      </c>
      <c r="E50" s="7" t="s">
        <v>329</v>
      </c>
      <c r="F50" s="8" t="s">
        <v>330</v>
      </c>
      <c r="G50" s="7"/>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c r="AF50" s="7">
        <v>0</v>
      </c>
      <c r="AG50" s="7">
        <v>0</v>
      </c>
      <c r="AH50" s="7">
        <v>0</v>
      </c>
      <c r="AI50" s="7">
        <v>0</v>
      </c>
      <c r="AJ50" s="7">
        <v>0</v>
      </c>
      <c r="AK50" s="7">
        <v>0</v>
      </c>
      <c r="AL50" s="7">
        <v>0</v>
      </c>
      <c r="AM50" s="7">
        <v>200</v>
      </c>
      <c r="AN50" s="7">
        <v>410</v>
      </c>
      <c r="AO50" s="7">
        <v>2390</v>
      </c>
      <c r="AP50" s="7">
        <v>3993</v>
      </c>
      <c r="AQ50" s="7">
        <v>11423</v>
      </c>
      <c r="AR50" s="7">
        <v>615</v>
      </c>
      <c r="AS50" s="7">
        <v>-7878</v>
      </c>
      <c r="AT50" s="7">
        <v>4909</v>
      </c>
      <c r="AU50" s="7">
        <v>-1546</v>
      </c>
      <c r="AV50" s="7">
        <v>3601</v>
      </c>
      <c r="AW50" s="7">
        <v>823</v>
      </c>
      <c r="AX50" s="7">
        <v>-3291</v>
      </c>
      <c r="AY50" s="7">
        <v>575</v>
      </c>
      <c r="AZ50" s="7">
        <v>10105</v>
      </c>
      <c r="BA50" s="7">
        <v>6002</v>
      </c>
      <c r="BB50" s="7">
        <v>15015</v>
      </c>
      <c r="BC50" s="7">
        <v>-2534</v>
      </c>
      <c r="BD50" s="7">
        <v>7397</v>
      </c>
      <c r="BE50" s="7">
        <v>24760</v>
      </c>
      <c r="BF50" s="7">
        <v>17658</v>
      </c>
      <c r="BG50" s="7">
        <v>24207</v>
      </c>
      <c r="BH50" s="7">
        <v>42885</v>
      </c>
      <c r="BI50" s="7">
        <v>35064</v>
      </c>
      <c r="BJ50" s="7">
        <v>17131</v>
      </c>
      <c r="BK50" s="7">
        <v>100150</v>
      </c>
      <c r="BL50" s="7">
        <v>5650</v>
      </c>
      <c r="BM50" s="7">
        <v>-26155</v>
      </c>
      <c r="BN50" s="7">
        <v>12407</v>
      </c>
      <c r="BO50" s="7">
        <v>53054</v>
      </c>
      <c r="BP50" s="7">
        <v>68983</v>
      </c>
      <c r="BQ50" s="7">
        <v>137638</v>
      </c>
      <c r="BR50" s="7">
        <v>233357</v>
      </c>
      <c r="BS50" s="7">
        <v>-73929</v>
      </c>
      <c r="BT50" s="7">
        <v>-169929</v>
      </c>
      <c r="BU50" s="7">
        <v>-39310</v>
      </c>
      <c r="BV50" s="7">
        <v>-10918</v>
      </c>
      <c r="BW50" s="7">
        <v>30580</v>
      </c>
      <c r="BX50" s="7">
        <v>21859</v>
      </c>
      <c r="BY50" s="7">
        <v>19010</v>
      </c>
      <c r="BZ50" s="7">
        <v>-112514</v>
      </c>
      <c r="CA50" s="7">
        <v>68696</v>
      </c>
      <c r="CB50" s="7">
        <v>-51777</v>
      </c>
      <c r="CC50" s="7">
        <v>108326</v>
      </c>
      <c r="CD50" s="7">
        <v>122041</v>
      </c>
      <c r="CE50" s="7">
        <v>100322</v>
      </c>
      <c r="CF50" s="7">
        <v>-73466</v>
      </c>
      <c r="CG50" s="7">
        <v>135715</v>
      </c>
      <c r="CH50" s="7">
        <v>88473</v>
      </c>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row>
    <row r="51" spans="1:166">
      <c r="A51" s="7" t="s">
        <v>331</v>
      </c>
      <c r="B51" s="7" t="s">
        <v>88</v>
      </c>
      <c r="C51" s="7">
        <v>1000000</v>
      </c>
      <c r="D51" s="7" t="s">
        <v>89</v>
      </c>
      <c r="E51" s="7" t="s">
        <v>332</v>
      </c>
      <c r="F51" s="8" t="s">
        <v>333</v>
      </c>
      <c r="G51" s="7"/>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-640</v>
      </c>
      <c r="Z51" s="7">
        <v>-453</v>
      </c>
      <c r="AA51" s="7">
        <v>46</v>
      </c>
      <c r="AB51" s="7">
        <v>3793</v>
      </c>
      <c r="AC51" s="7">
        <v>-1280</v>
      </c>
      <c r="AD51" s="7">
        <v>3579</v>
      </c>
      <c r="AE51" s="7">
        <v>7525</v>
      </c>
      <c r="AF51" s="7">
        <v>3736</v>
      </c>
      <c r="AG51" s="7">
        <v>238</v>
      </c>
      <c r="AH51" s="7">
        <v>-2264</v>
      </c>
      <c r="AI51" s="7">
        <v>15177</v>
      </c>
      <c r="AJ51" s="7">
        <v>23382</v>
      </c>
      <c r="AK51" s="7">
        <v>-9305</v>
      </c>
      <c r="AL51" s="7">
        <v>-5157</v>
      </c>
      <c r="AM51" s="7">
        <v>12895</v>
      </c>
      <c r="AN51" s="7">
        <v>-455</v>
      </c>
      <c r="AO51" s="7">
        <v>2009</v>
      </c>
      <c r="AP51" s="7">
        <v>8001</v>
      </c>
      <c r="AQ51" s="7">
        <v>6402</v>
      </c>
      <c r="AR51" s="7">
        <v>3074</v>
      </c>
      <c r="AS51" s="7">
        <v>8280</v>
      </c>
      <c r="AT51" s="7">
        <v>13034</v>
      </c>
      <c r="AU51" s="7">
        <v>-6304</v>
      </c>
      <c r="AV51" s="7">
        <v>19975</v>
      </c>
      <c r="AW51" s="7">
        <v>5750</v>
      </c>
      <c r="AX51" s="7">
        <v>-77601</v>
      </c>
      <c r="AY51" s="7">
        <v>-5059</v>
      </c>
      <c r="AZ51" s="7">
        <v>5936</v>
      </c>
      <c r="BA51" s="7">
        <v>6468</v>
      </c>
      <c r="BB51" s="7">
        <v>-32617</v>
      </c>
      <c r="BC51" s="7">
        <v>46753</v>
      </c>
      <c r="BD51" s="7">
        <v>-31197</v>
      </c>
      <c r="BE51" s="7">
        <v>-2959</v>
      </c>
      <c r="BF51" s="7">
        <v>28300</v>
      </c>
      <c r="BG51" s="7">
        <v>93212</v>
      </c>
      <c r="BH51" s="7">
        <v>129790</v>
      </c>
      <c r="BI51" s="7">
        <v>476391</v>
      </c>
      <c r="BJ51" s="7">
        <v>-159028</v>
      </c>
      <c r="BK51" s="7">
        <v>-205976</v>
      </c>
      <c r="BL51" s="7">
        <v>-1893</v>
      </c>
      <c r="BM51" s="7">
        <v>-121504</v>
      </c>
      <c r="BN51" s="7">
        <v>7400</v>
      </c>
      <c r="BO51" s="7">
        <v>-185925</v>
      </c>
      <c r="BP51" s="7">
        <v>-224039</v>
      </c>
      <c r="BQ51" s="7">
        <v>35408</v>
      </c>
      <c r="BR51" s="7">
        <v>201760</v>
      </c>
      <c r="BS51" s="7">
        <v>-99497</v>
      </c>
      <c r="BT51" s="7">
        <v>-51450</v>
      </c>
      <c r="BU51" s="7">
        <v>23399</v>
      </c>
      <c r="BV51" s="7">
        <v>-26334</v>
      </c>
      <c r="BW51" s="7">
        <v>10670</v>
      </c>
      <c r="BX51" s="7">
        <v>37338</v>
      </c>
      <c r="BY51" s="7">
        <v>-42105</v>
      </c>
      <c r="BZ51" s="7">
        <v>66942</v>
      </c>
      <c r="CA51" s="7">
        <v>-89863</v>
      </c>
      <c r="CB51" s="7">
        <v>-40673</v>
      </c>
      <c r="CC51" s="7">
        <v>10193</v>
      </c>
      <c r="CD51" s="7">
        <v>-136007</v>
      </c>
      <c r="CE51" s="7">
        <v>-101357</v>
      </c>
      <c r="CF51" s="7">
        <v>-136173</v>
      </c>
      <c r="CG51" s="7">
        <v>-87165</v>
      </c>
      <c r="CH51" s="7">
        <v>-331405</v>
      </c>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row>
    <row r="52" spans="1:166">
      <c r="A52" s="7" t="s">
        <v>334</v>
      </c>
      <c r="B52" s="7" t="s">
        <v>88</v>
      </c>
      <c r="C52" s="7">
        <v>1000000</v>
      </c>
      <c r="D52" s="7" t="s">
        <v>89</v>
      </c>
      <c r="E52" s="7" t="s">
        <v>335</v>
      </c>
      <c r="F52" s="8" t="s">
        <v>336</v>
      </c>
      <c r="G52" s="7"/>
      <c r="H52" s="7">
        <v>0</v>
      </c>
      <c r="I52" s="7">
        <v>0</v>
      </c>
      <c r="J52" s="7">
        <v>0</v>
      </c>
      <c r="K52" s="7">
        <v>0</v>
      </c>
      <c r="L52" s="7">
        <v>0</v>
      </c>
      <c r="M52" s="7">
        <v>0</v>
      </c>
      <c r="N52" s="7">
        <v>0</v>
      </c>
      <c r="O52" s="7">
        <v>0</v>
      </c>
      <c r="P52" s="7">
        <v>0</v>
      </c>
      <c r="Q52" s="7">
        <v>0</v>
      </c>
      <c r="R52" s="7">
        <v>0</v>
      </c>
      <c r="S52" s="7">
        <v>0</v>
      </c>
      <c r="T52" s="7">
        <v>0</v>
      </c>
      <c r="U52" s="7">
        <v>0</v>
      </c>
      <c r="V52" s="7">
        <v>0</v>
      </c>
      <c r="W52" s="7">
        <v>0</v>
      </c>
      <c r="X52" s="7">
        <v>174</v>
      </c>
      <c r="Y52" s="7">
        <v>16</v>
      </c>
      <c r="Z52" s="7">
        <v>37</v>
      </c>
      <c r="AA52" s="7">
        <v>51</v>
      </c>
      <c r="AB52" s="7">
        <v>141</v>
      </c>
      <c r="AC52" s="7">
        <v>124</v>
      </c>
      <c r="AD52" s="7">
        <v>178</v>
      </c>
      <c r="AE52" s="7">
        <v>55</v>
      </c>
      <c r="AF52" s="7">
        <v>-22</v>
      </c>
      <c r="AG52" s="7">
        <v>-50</v>
      </c>
      <c r="AH52" s="7">
        <v>-1</v>
      </c>
      <c r="AI52" s="7">
        <v>235</v>
      </c>
      <c r="AJ52" s="7">
        <v>310</v>
      </c>
      <c r="AK52" s="7">
        <v>-74</v>
      </c>
      <c r="AL52" s="7">
        <v>-32</v>
      </c>
      <c r="AM52" s="7">
        <v>-129</v>
      </c>
      <c r="AN52" s="7">
        <v>-176</v>
      </c>
      <c r="AO52" s="7">
        <v>350</v>
      </c>
      <c r="AP52" s="7">
        <v>273</v>
      </c>
      <c r="AQ52" s="7">
        <v>256</v>
      </c>
      <c r="AR52" s="7">
        <v>1113</v>
      </c>
      <c r="AS52" s="7">
        <v>1196</v>
      </c>
      <c r="AT52" s="7">
        <v>2847</v>
      </c>
      <c r="AU52" s="7">
        <v>3667</v>
      </c>
      <c r="AV52" s="7">
        <v>3757</v>
      </c>
      <c r="AW52" s="7">
        <v>-2680</v>
      </c>
      <c r="AX52" s="7">
        <v>-2734</v>
      </c>
      <c r="AY52" s="7">
        <v>-1440</v>
      </c>
      <c r="AZ52" s="7">
        <v>-987</v>
      </c>
      <c r="BA52" s="7">
        <v>2409</v>
      </c>
      <c r="BB52" s="7">
        <v>5036</v>
      </c>
      <c r="BC52" s="7">
        <v>6803</v>
      </c>
      <c r="BD52" s="7">
        <v>2084</v>
      </c>
      <c r="BE52" s="7">
        <v>4648</v>
      </c>
      <c r="BF52" s="7">
        <v>9087</v>
      </c>
      <c r="BG52" s="7">
        <v>1728</v>
      </c>
      <c r="BH52" s="7">
        <v>14576</v>
      </c>
      <c r="BI52" s="7">
        <v>9848</v>
      </c>
      <c r="BJ52" s="7">
        <v>332</v>
      </c>
      <c r="BK52" s="7">
        <v>4304</v>
      </c>
      <c r="BL52" s="7">
        <v>-176</v>
      </c>
      <c r="BM52" s="7">
        <v>5792</v>
      </c>
      <c r="BN52" s="7">
        <v>-1268</v>
      </c>
      <c r="BO52" s="7">
        <v>712</v>
      </c>
      <c r="BP52" s="7">
        <v>23640</v>
      </c>
      <c r="BQ52" s="7">
        <v>-4904</v>
      </c>
      <c r="BR52" s="7">
        <v>-16512</v>
      </c>
      <c r="BS52" s="7">
        <v>35268</v>
      </c>
      <c r="BT52" s="7">
        <v>7284</v>
      </c>
      <c r="BU52" s="7">
        <v>-14048</v>
      </c>
      <c r="BV52" s="7">
        <v>-6128</v>
      </c>
      <c r="BW52" s="7">
        <v>2236</v>
      </c>
      <c r="BX52" s="7">
        <v>23784</v>
      </c>
      <c r="BY52" s="7">
        <v>12004</v>
      </c>
      <c r="BZ52" s="7">
        <v>-5760</v>
      </c>
      <c r="CA52" s="7">
        <v>7516</v>
      </c>
      <c r="CB52" s="7">
        <v>-8500</v>
      </c>
      <c r="CC52" s="7">
        <v>-9008</v>
      </c>
      <c r="CD52" s="7">
        <v>7464</v>
      </c>
      <c r="CE52" s="7">
        <v>17324</v>
      </c>
      <c r="CF52" s="7">
        <v>-19824</v>
      </c>
      <c r="CG52" s="7">
        <v>-41112</v>
      </c>
      <c r="CH52" s="7">
        <v>41868</v>
      </c>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row>
    <row r="53" spans="1:166">
      <c r="A53" s="7" t="s">
        <v>337</v>
      </c>
      <c r="B53" s="7" t="s">
        <v>88</v>
      </c>
      <c r="C53" s="7">
        <v>1000000</v>
      </c>
      <c r="D53" s="7" t="s">
        <v>89</v>
      </c>
      <c r="E53" s="7" t="s">
        <v>338</v>
      </c>
      <c r="F53" s="8" t="s">
        <v>339</v>
      </c>
      <c r="G53" s="7"/>
      <c r="H53" s="7">
        <v>195</v>
      </c>
      <c r="I53" s="7">
        <v>711</v>
      </c>
      <c r="J53" s="7">
        <v>685</v>
      </c>
      <c r="K53" s="7">
        <v>617</v>
      </c>
      <c r="L53" s="7">
        <v>579</v>
      </c>
      <c r="M53" s="7">
        <v>467</v>
      </c>
      <c r="N53" s="7">
        <v>779</v>
      </c>
      <c r="O53" s="7">
        <v>652</v>
      </c>
      <c r="P53" s="7">
        <v>575</v>
      </c>
      <c r="Q53" s="7">
        <v>714</v>
      </c>
      <c r="R53" s="7">
        <v>1788</v>
      </c>
      <c r="S53" s="7">
        <v>2246</v>
      </c>
      <c r="T53" s="7">
        <v>1045</v>
      </c>
      <c r="U53" s="7">
        <v>1214</v>
      </c>
      <c r="V53" s="7">
        <v>2711</v>
      </c>
      <c r="W53" s="7">
        <v>2420</v>
      </c>
      <c r="X53" s="7">
        <v>2593</v>
      </c>
      <c r="Y53" s="7">
        <v>3183</v>
      </c>
      <c r="Z53" s="7">
        <v>3426</v>
      </c>
      <c r="AA53" s="7">
        <v>4597</v>
      </c>
      <c r="AB53" s="7">
        <v>4972</v>
      </c>
      <c r="AC53" s="7">
        <v>4366</v>
      </c>
      <c r="AD53" s="7">
        <v>4781</v>
      </c>
      <c r="AE53" s="7">
        <v>5352</v>
      </c>
      <c r="AF53" s="7">
        <v>6840</v>
      </c>
      <c r="AG53" s="7">
        <v>3210</v>
      </c>
      <c r="AH53" s="7">
        <v>1315</v>
      </c>
      <c r="AI53" s="7">
        <v>-8695</v>
      </c>
      <c r="AJ53" s="7">
        <v>7614</v>
      </c>
      <c r="AK53" s="7">
        <v>12324</v>
      </c>
      <c r="AL53" s="7">
        <v>9633</v>
      </c>
      <c r="AM53" s="7">
        <v>9204</v>
      </c>
      <c r="AN53" s="7">
        <v>13458</v>
      </c>
      <c r="AO53" s="7">
        <v>21856</v>
      </c>
      <c r="AP53" s="7">
        <v>15582</v>
      </c>
      <c r="AQ53" s="7">
        <v>5813</v>
      </c>
      <c r="AR53" s="7">
        <v>15030</v>
      </c>
      <c r="AS53" s="7">
        <v>20068</v>
      </c>
      <c r="AT53" s="7">
        <v>20134</v>
      </c>
      <c r="AU53" s="7">
        <v>17703</v>
      </c>
      <c r="AV53" s="7">
        <v>15910</v>
      </c>
      <c r="AW53" s="7">
        <v>27212</v>
      </c>
      <c r="AX53" s="7">
        <v>8134</v>
      </c>
      <c r="AY53" s="7">
        <v>14891</v>
      </c>
      <c r="AZ53" s="7">
        <v>39043</v>
      </c>
      <c r="BA53" s="7">
        <v>39794</v>
      </c>
      <c r="BB53" s="7">
        <v>33920</v>
      </c>
      <c r="BC53" s="7">
        <v>39931</v>
      </c>
      <c r="BD53" s="7">
        <v>63448</v>
      </c>
      <c r="BE53" s="7">
        <v>86059</v>
      </c>
      <c r="BF53" s="7">
        <v>68569</v>
      </c>
      <c r="BG53" s="7">
        <v>79150</v>
      </c>
      <c r="BH53" s="7">
        <v>106761</v>
      </c>
      <c r="BI53" s="7">
        <v>143787</v>
      </c>
      <c r="BJ53" s="7">
        <v>147550</v>
      </c>
      <c r="BK53" s="7">
        <v>113008</v>
      </c>
      <c r="BL53" s="7">
        <v>109841</v>
      </c>
      <c r="BM53" s="7">
        <v>131487</v>
      </c>
      <c r="BN53" s="7">
        <v>252730</v>
      </c>
      <c r="BO53" s="7">
        <v>29081</v>
      </c>
      <c r="BP53" s="7">
        <v>225629</v>
      </c>
      <c r="BQ53" s="7">
        <v>315267</v>
      </c>
      <c r="BR53" s="7">
        <v>281812</v>
      </c>
      <c r="BS53" s="7">
        <v>231848</v>
      </c>
      <c r="BT53" s="7">
        <v>332270</v>
      </c>
      <c r="BU53" s="7">
        <v>382010</v>
      </c>
      <c r="BV53" s="7">
        <v>302574</v>
      </c>
      <c r="BW53" s="7">
        <v>299807</v>
      </c>
      <c r="BX53" s="7">
        <v>324645</v>
      </c>
      <c r="BY53" s="7">
        <v>269803</v>
      </c>
      <c r="BZ53" s="7">
        <v>273361</v>
      </c>
      <c r="CA53" s="7">
        <v>343407</v>
      </c>
      <c r="CB53" s="7">
        <v>-216273</v>
      </c>
      <c r="CC53" s="7">
        <v>104350</v>
      </c>
      <c r="CD53" s="7">
        <v>245587</v>
      </c>
      <c r="CE53" s="7">
        <v>251934</v>
      </c>
      <c r="CF53" s="7">
        <v>289636</v>
      </c>
      <c r="CG53" s="7">
        <v>164920</v>
      </c>
      <c r="CH53" s="7">
        <v>259708</v>
      </c>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row>
    <row r="54" spans="1:166">
      <c r="A54" s="7" t="s">
        <v>340</v>
      </c>
      <c r="B54" s="7" t="s">
        <v>88</v>
      </c>
      <c r="C54" s="7">
        <v>1000000</v>
      </c>
      <c r="D54" s="7" t="s">
        <v>89</v>
      </c>
      <c r="E54" s="7" t="s">
        <v>341</v>
      </c>
      <c r="F54" s="8" t="s">
        <v>342</v>
      </c>
      <c r="G54" s="7"/>
      <c r="H54" s="7">
        <v>-1</v>
      </c>
      <c r="I54" s="7">
        <v>0</v>
      </c>
      <c r="J54" s="7">
        <v>0</v>
      </c>
      <c r="K54" s="7">
        <v>0</v>
      </c>
      <c r="L54" s="7">
        <v>0</v>
      </c>
      <c r="M54" s="7">
        <v>0</v>
      </c>
      <c r="N54" s="7">
        <v>0</v>
      </c>
      <c r="O54" s="7">
        <v>0</v>
      </c>
      <c r="P54" s="7">
        <v>0</v>
      </c>
      <c r="Q54" s="7">
        <v>2</v>
      </c>
      <c r="R54" s="7">
        <v>11</v>
      </c>
      <c r="S54" s="7">
        <v>19</v>
      </c>
      <c r="T54" s="7">
        <v>6</v>
      </c>
      <c r="U54" s="7">
        <v>13</v>
      </c>
      <c r="V54" s="7">
        <v>21</v>
      </c>
      <c r="W54" s="7">
        <v>8</v>
      </c>
      <c r="X54" s="7">
        <v>10</v>
      </c>
      <c r="Y54" s="7">
        <v>0</v>
      </c>
      <c r="Z54" s="7">
        <v>2</v>
      </c>
      <c r="AA54" s="7">
        <v>8</v>
      </c>
      <c r="AB54" s="7">
        <v>26</v>
      </c>
      <c r="AC54" s="7">
        <v>17</v>
      </c>
      <c r="AD54" s="7">
        <v>32</v>
      </c>
      <c r="AE54" s="7">
        <v>69</v>
      </c>
      <c r="AF54" s="7">
        <v>-221</v>
      </c>
      <c r="AG54" s="7">
        <v>4</v>
      </c>
      <c r="AH54" s="7">
        <v>5</v>
      </c>
      <c r="AI54" s="7">
        <v>10</v>
      </c>
      <c r="AJ54" s="7">
        <v>14</v>
      </c>
      <c r="AK54" s="7">
        <v>18</v>
      </c>
      <c r="AL54" s="7">
        <v>19</v>
      </c>
      <c r="AM54" s="7">
        <v>20</v>
      </c>
      <c r="AN54" s="7">
        <v>22</v>
      </c>
      <c r="AO54" s="7">
        <v>33</v>
      </c>
      <c r="AP54" s="7">
        <v>44</v>
      </c>
      <c r="AQ54" s="7">
        <v>51</v>
      </c>
      <c r="AR54" s="7">
        <v>31</v>
      </c>
      <c r="AS54" s="7">
        <v>9</v>
      </c>
      <c r="AT54" s="7">
        <v>2</v>
      </c>
      <c r="AU54" s="7">
        <v>-18</v>
      </c>
      <c r="AV54" s="7">
        <v>-40</v>
      </c>
      <c r="AW54" s="7">
        <v>-31</v>
      </c>
      <c r="AX54" s="7">
        <v>7</v>
      </c>
      <c r="AY54" s="7">
        <v>-65</v>
      </c>
      <c r="AZ54" s="7">
        <v>-8</v>
      </c>
      <c r="BA54" s="7">
        <v>16</v>
      </c>
      <c r="BB54" s="7">
        <v>-4</v>
      </c>
      <c r="BC54" s="7">
        <v>15</v>
      </c>
      <c r="BD54" s="7">
        <v>12</v>
      </c>
      <c r="BE54" s="7">
        <v>7</v>
      </c>
      <c r="BF54" s="7">
        <v>-53</v>
      </c>
      <c r="BG54" s="7">
        <v>9</v>
      </c>
      <c r="BH54" s="7">
        <v>26</v>
      </c>
      <c r="BI54" s="7">
        <v>5</v>
      </c>
      <c r="BJ54" s="7">
        <v>17</v>
      </c>
      <c r="BK54" s="7">
        <v>73</v>
      </c>
      <c r="BL54" s="7">
        <v>41</v>
      </c>
      <c r="BM54" s="7">
        <v>95</v>
      </c>
      <c r="BN54" s="7">
        <v>71</v>
      </c>
      <c r="BO54" s="7">
        <v>43</v>
      </c>
      <c r="BP54" s="7">
        <v>51</v>
      </c>
      <c r="BQ54" s="7">
        <v>132</v>
      </c>
      <c r="BR54" s="7">
        <v>-88</v>
      </c>
      <c r="BS54" s="7">
        <v>21</v>
      </c>
      <c r="BT54" s="7">
        <v>122</v>
      </c>
      <c r="BU54" s="7">
        <v>-39</v>
      </c>
      <c r="BV54" s="7">
        <v>26</v>
      </c>
      <c r="BW54" s="7">
        <v>44</v>
      </c>
      <c r="BX54" s="7">
        <v>132</v>
      </c>
      <c r="BY54" s="7">
        <v>78</v>
      </c>
      <c r="BZ54" s="7">
        <v>96</v>
      </c>
      <c r="CA54" s="7">
        <v>277</v>
      </c>
      <c r="CB54" s="7">
        <v>69</v>
      </c>
      <c r="CC54" s="7">
        <v>75</v>
      </c>
      <c r="CD54" s="7">
        <v>77</v>
      </c>
      <c r="CE54" s="7">
        <v>162</v>
      </c>
      <c r="CF54" s="7">
        <v>123</v>
      </c>
      <c r="CG54" s="7">
        <v>239</v>
      </c>
      <c r="CH54" s="7">
        <v>161</v>
      </c>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row>
    <row r="55" spans="1:166">
      <c r="A55" s="7" t="s">
        <v>343</v>
      </c>
      <c r="B55" s="7" t="s">
        <v>88</v>
      </c>
      <c r="C55" s="7">
        <v>1000000</v>
      </c>
      <c r="D55" s="7" t="s">
        <v>89</v>
      </c>
      <c r="E55" s="7" t="s">
        <v>344</v>
      </c>
      <c r="F55" s="8" t="s">
        <v>345</v>
      </c>
      <c r="G55" s="7"/>
      <c r="H55" s="7">
        <v>260</v>
      </c>
      <c r="I55" s="7">
        <v>285</v>
      </c>
      <c r="J55" s="7">
        <v>236</v>
      </c>
      <c r="K55" s="7">
        <v>192</v>
      </c>
      <c r="L55" s="7">
        <v>36</v>
      </c>
      <c r="M55" s="7">
        <v>131</v>
      </c>
      <c r="N55" s="7">
        <v>121</v>
      </c>
      <c r="O55" s="7">
        <v>123</v>
      </c>
      <c r="P55" s="7">
        <v>84</v>
      </c>
      <c r="Q55" s="7">
        <v>172</v>
      </c>
      <c r="R55" s="7">
        <v>363</v>
      </c>
      <c r="S55" s="7">
        <v>576</v>
      </c>
      <c r="T55" s="7">
        <v>550</v>
      </c>
      <c r="U55" s="7">
        <v>576</v>
      </c>
      <c r="V55" s="7">
        <v>597</v>
      </c>
      <c r="W55" s="7">
        <v>468</v>
      </c>
      <c r="X55" s="7">
        <v>554</v>
      </c>
      <c r="Y55" s="7">
        <v>355</v>
      </c>
      <c r="Z55" s="7">
        <v>329</v>
      </c>
      <c r="AA55" s="7">
        <v>425</v>
      </c>
      <c r="AB55" s="7">
        <v>576</v>
      </c>
      <c r="AC55" s="7">
        <v>681</v>
      </c>
      <c r="AD55" s="7">
        <v>806</v>
      </c>
      <c r="AE55" s="7">
        <v>1170</v>
      </c>
      <c r="AF55" s="7">
        <v>922</v>
      </c>
      <c r="AG55" s="7">
        <v>1076</v>
      </c>
      <c r="AH55" s="7">
        <v>1886</v>
      </c>
      <c r="AI55" s="7">
        <v>1993</v>
      </c>
      <c r="AJ55" s="7">
        <v>2173</v>
      </c>
      <c r="AK55" s="7">
        <v>2289</v>
      </c>
      <c r="AL55" s="7">
        <v>3478</v>
      </c>
      <c r="AM55" s="7">
        <v>4523</v>
      </c>
      <c r="AN55" s="7">
        <v>5714</v>
      </c>
      <c r="AO55" s="7">
        <v>5662</v>
      </c>
      <c r="AP55" s="7">
        <v>4782</v>
      </c>
      <c r="AQ55" s="7">
        <v>3804</v>
      </c>
      <c r="AR55" s="7">
        <v>2818</v>
      </c>
      <c r="AS55" s="7">
        <v>3543</v>
      </c>
      <c r="AT55" s="7">
        <v>5137</v>
      </c>
      <c r="AU55" s="7">
        <v>4261</v>
      </c>
      <c r="AV55" s="7">
        <v>18927</v>
      </c>
      <c r="AW55" s="7">
        <v>23508</v>
      </c>
      <c r="AX55" s="7">
        <v>15034</v>
      </c>
      <c r="AY55" s="7">
        <v>14328</v>
      </c>
      <c r="AZ55" s="7">
        <v>13353</v>
      </c>
      <c r="BA55" s="7">
        <v>2212</v>
      </c>
      <c r="BB55" s="7">
        <v>13680</v>
      </c>
      <c r="BC55" s="7">
        <v>6880</v>
      </c>
      <c r="BD55" s="7">
        <v>5897</v>
      </c>
      <c r="BE55" s="7">
        <v>8497</v>
      </c>
      <c r="BF55" s="7">
        <v>2832</v>
      </c>
      <c r="BG55" s="7">
        <v>2096</v>
      </c>
      <c r="BH55" s="7">
        <v>2260</v>
      </c>
      <c r="BI55" s="7">
        <v>1366</v>
      </c>
      <c r="BJ55" s="7">
        <v>35</v>
      </c>
      <c r="BK55" s="7">
        <v>10828</v>
      </c>
      <c r="BL55" s="7">
        <v>18094</v>
      </c>
      <c r="BM55" s="7">
        <v>19044</v>
      </c>
      <c r="BN55" s="7">
        <v>19668</v>
      </c>
      <c r="BO55" s="7">
        <v>21220</v>
      </c>
      <c r="BP55" s="7">
        <v>7581</v>
      </c>
      <c r="BQ55" s="7">
        <v>8320</v>
      </c>
      <c r="BR55" s="7">
        <v>10908</v>
      </c>
      <c r="BS55" s="7">
        <v>-3967</v>
      </c>
      <c r="BT55" s="7">
        <v>11603</v>
      </c>
      <c r="BU55" s="7">
        <v>12217</v>
      </c>
      <c r="BV55" s="7">
        <v>7761</v>
      </c>
      <c r="BW55" s="7">
        <v>-5915</v>
      </c>
      <c r="BX55" s="7">
        <v>10233</v>
      </c>
      <c r="BY55" s="7">
        <v>2305</v>
      </c>
      <c r="BZ55" s="7">
        <v>6561</v>
      </c>
      <c r="CA55" s="7">
        <v>13962</v>
      </c>
      <c r="CB55" s="7">
        <v>11416</v>
      </c>
      <c r="CC55" s="7">
        <v>15019</v>
      </c>
      <c r="CD55" s="7">
        <v>22002</v>
      </c>
      <c r="CE55" s="7">
        <v>36102</v>
      </c>
      <c r="CF55" s="7">
        <v>33251</v>
      </c>
      <c r="CG55" s="7">
        <v>36560</v>
      </c>
      <c r="CH55" s="7">
        <v>41640</v>
      </c>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row>
    <row r="56" spans="1:166">
      <c r="A56" s="7" t="s">
        <v>346</v>
      </c>
      <c r="B56" s="7" t="s">
        <v>88</v>
      </c>
      <c r="C56" s="7">
        <v>1000000</v>
      </c>
      <c r="D56" s="7" t="s">
        <v>89</v>
      </c>
      <c r="E56" s="7" t="s">
        <v>347</v>
      </c>
      <c r="F56" s="8" t="s">
        <v>348</v>
      </c>
      <c r="G56" s="7"/>
      <c r="H56" s="7">
        <v>2451</v>
      </c>
      <c r="I56" s="7">
        <v>5348</v>
      </c>
      <c r="J56" s="7">
        <v>2645</v>
      </c>
      <c r="K56" s="7">
        <v>-491</v>
      </c>
      <c r="L56" s="7">
        <v>10466</v>
      </c>
      <c r="M56" s="7">
        <v>4211</v>
      </c>
      <c r="N56" s="7">
        <v>4813</v>
      </c>
      <c r="O56" s="7">
        <v>234</v>
      </c>
      <c r="P56" s="7">
        <v>4109</v>
      </c>
      <c r="Q56" s="7">
        <v>10712</v>
      </c>
      <c r="R56" s="7">
        <v>6898</v>
      </c>
      <c r="S56" s="7">
        <v>2023</v>
      </c>
      <c r="T56" s="7">
        <v>7190</v>
      </c>
      <c r="U56" s="7">
        <v>6820</v>
      </c>
      <c r="V56" s="7">
        <v>4651</v>
      </c>
      <c r="W56" s="7">
        <v>7292</v>
      </c>
      <c r="X56" s="7">
        <v>4639</v>
      </c>
      <c r="Y56" s="7">
        <v>4612</v>
      </c>
      <c r="Z56" s="7">
        <v>8101</v>
      </c>
      <c r="AA56" s="7">
        <v>18332</v>
      </c>
      <c r="AB56" s="7">
        <v>8440</v>
      </c>
      <c r="AC56" s="7">
        <v>8177</v>
      </c>
      <c r="AD56" s="7">
        <v>16494</v>
      </c>
      <c r="AE56" s="7">
        <v>22760</v>
      </c>
      <c r="AF56" s="7">
        <v>9543</v>
      </c>
      <c r="AG56" s="7">
        <v>22457</v>
      </c>
      <c r="AH56" s="7">
        <v>54820</v>
      </c>
      <c r="AI56" s="7">
        <v>67294</v>
      </c>
      <c r="AJ56" s="7">
        <v>25358</v>
      </c>
      <c r="AK56" s="7">
        <v>-6723</v>
      </c>
      <c r="AL56" s="7">
        <v>46525</v>
      </c>
      <c r="AM56" s="7">
        <v>70541</v>
      </c>
      <c r="AN56" s="7">
        <v>99585</v>
      </c>
      <c r="AO56" s="7">
        <v>121870</v>
      </c>
      <c r="AP56" s="7">
        <v>87858</v>
      </c>
      <c r="AQ56" s="7">
        <v>163322</v>
      </c>
      <c r="AR56" s="7">
        <v>48869</v>
      </c>
      <c r="AS56" s="7">
        <v>75243</v>
      </c>
      <c r="AT56" s="7">
        <v>195838</v>
      </c>
      <c r="AU56" s="7">
        <v>169589</v>
      </c>
      <c r="AV56" s="7">
        <v>61108</v>
      </c>
      <c r="AW56" s="7">
        <v>171655</v>
      </c>
      <c r="AX56" s="7">
        <v>373220</v>
      </c>
      <c r="AY56" s="7">
        <v>101734</v>
      </c>
      <c r="AZ56" s="7">
        <v>90277</v>
      </c>
      <c r="BA56" s="7">
        <v>-43127</v>
      </c>
      <c r="BB56" s="7">
        <v>83355</v>
      </c>
      <c r="BC56" s="7">
        <v>168468</v>
      </c>
      <c r="BD56" s="7">
        <v>183530</v>
      </c>
      <c r="BE56" s="7">
        <v>223420</v>
      </c>
      <c r="BF56" s="7">
        <v>225532</v>
      </c>
      <c r="BG56" s="7">
        <v>-62255</v>
      </c>
      <c r="BH56" s="7">
        <v>420501</v>
      </c>
      <c r="BI56" s="7">
        <v>183055</v>
      </c>
      <c r="BJ56" s="7">
        <v>1402430</v>
      </c>
      <c r="BK56" s="7">
        <v>395013</v>
      </c>
      <c r="BL56" s="7">
        <v>196001</v>
      </c>
      <c r="BM56" s="7">
        <v>-204074</v>
      </c>
      <c r="BN56" s="7">
        <v>328089</v>
      </c>
      <c r="BO56" s="7">
        <v>857516</v>
      </c>
      <c r="BP56" s="7">
        <v>635213</v>
      </c>
      <c r="BQ56" s="7">
        <v>736142</v>
      </c>
      <c r="BR56" s="7">
        <v>-713801</v>
      </c>
      <c r="BS56" s="7">
        <v>-172045</v>
      </c>
      <c r="BT56" s="7">
        <v>322137</v>
      </c>
      <c r="BU56" s="7">
        <v>-37302</v>
      </c>
      <c r="BV56" s="7">
        <v>2222</v>
      </c>
      <c r="BW56" s="7">
        <v>242522</v>
      </c>
      <c r="BX56" s="7">
        <v>194661</v>
      </c>
      <c r="BY56" s="7">
        <v>813046</v>
      </c>
      <c r="BZ56" s="7">
        <v>571334</v>
      </c>
      <c r="CA56" s="7">
        <v>207839</v>
      </c>
      <c r="CB56" s="7">
        <v>938740</v>
      </c>
      <c r="CC56" s="7">
        <v>2021898</v>
      </c>
      <c r="CD56" s="7">
        <v>-392209</v>
      </c>
      <c r="CE56" s="7">
        <v>732566</v>
      </c>
      <c r="CF56" s="7">
        <v>2641111</v>
      </c>
      <c r="CG56" s="7">
        <v>1082559</v>
      </c>
      <c r="CH56" s="7">
        <v>-24984</v>
      </c>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row>
    <row r="57" spans="1:166">
      <c r="A57" s="7" t="s">
        <v>349</v>
      </c>
      <c r="B57" s="7" t="s">
        <v>88</v>
      </c>
      <c r="C57" s="7">
        <v>1000000</v>
      </c>
      <c r="D57" s="7" t="s">
        <v>89</v>
      </c>
      <c r="E57" s="7" t="s">
        <v>350</v>
      </c>
      <c r="F57" s="8" t="s">
        <v>351</v>
      </c>
      <c r="G57" s="7"/>
      <c r="H57" s="7">
        <v>2758</v>
      </c>
      <c r="I57" s="7">
        <v>4975</v>
      </c>
      <c r="J57" s="7">
        <v>2046</v>
      </c>
      <c r="K57" s="7">
        <v>-960</v>
      </c>
      <c r="L57" s="7">
        <v>9943</v>
      </c>
      <c r="M57" s="7">
        <v>3381</v>
      </c>
      <c r="N57" s="7">
        <v>3902</v>
      </c>
      <c r="O57" s="7">
        <v>-845</v>
      </c>
      <c r="P57" s="7">
        <v>3385</v>
      </c>
      <c r="Q57" s="7">
        <v>9603</v>
      </c>
      <c r="R57" s="7">
        <v>5682</v>
      </c>
      <c r="S57" s="7">
        <v>1627</v>
      </c>
      <c r="T57" s="7">
        <v>6404</v>
      </c>
      <c r="U57" s="7">
        <v>5546</v>
      </c>
      <c r="V57" s="7">
        <v>4925</v>
      </c>
      <c r="W57" s="7">
        <v>7892</v>
      </c>
      <c r="X57" s="7">
        <v>4519</v>
      </c>
      <c r="Y57" s="7">
        <v>6308</v>
      </c>
      <c r="Z57" s="7">
        <v>8542</v>
      </c>
      <c r="AA57" s="7">
        <v>13270</v>
      </c>
      <c r="AB57" s="7">
        <v>12376</v>
      </c>
      <c r="AC57" s="7">
        <v>8330</v>
      </c>
      <c r="AD57" s="7">
        <v>18525</v>
      </c>
      <c r="AE57" s="7">
        <v>22823</v>
      </c>
      <c r="AF57" s="7">
        <v>8443</v>
      </c>
      <c r="AG57" s="7">
        <v>12412</v>
      </c>
      <c r="AH57" s="7">
        <v>26406</v>
      </c>
      <c r="AI57" s="7">
        <v>40874</v>
      </c>
      <c r="AJ57" s="7">
        <v>33258</v>
      </c>
      <c r="AK57" s="7">
        <v>22061</v>
      </c>
      <c r="AL57" s="7">
        <v>31008</v>
      </c>
      <c r="AM57" s="7">
        <v>43957</v>
      </c>
      <c r="AN57" s="7">
        <v>60875</v>
      </c>
      <c r="AO57" s="7">
        <v>72374</v>
      </c>
      <c r="AP57" s="7">
        <v>49698</v>
      </c>
      <c r="AQ57" s="7">
        <v>44770</v>
      </c>
      <c r="AR57" s="7">
        <v>-5008</v>
      </c>
      <c r="AS57" s="7">
        <v>57402</v>
      </c>
      <c r="AT57" s="7">
        <v>67603</v>
      </c>
      <c r="AU57" s="7">
        <v>45222</v>
      </c>
      <c r="AV57" s="7">
        <v>2144</v>
      </c>
      <c r="AW57" s="7">
        <v>63860</v>
      </c>
      <c r="AX57" s="7">
        <v>90570</v>
      </c>
      <c r="AY57" s="7">
        <v>42076</v>
      </c>
      <c r="AZ57" s="7">
        <v>29186</v>
      </c>
      <c r="BA57" s="7">
        <v>-5798</v>
      </c>
      <c r="BB57" s="7">
        <v>27562</v>
      </c>
      <c r="BC57" s="7">
        <v>50678</v>
      </c>
      <c r="BD57" s="7">
        <v>71933</v>
      </c>
      <c r="BE57" s="7">
        <v>77962</v>
      </c>
      <c r="BF57" s="7">
        <v>88122</v>
      </c>
      <c r="BG57" s="7">
        <v>88043</v>
      </c>
      <c r="BH57" s="7">
        <v>87326</v>
      </c>
      <c r="BI57" s="7">
        <v>209161</v>
      </c>
      <c r="BJ57" s="7">
        <v>281640</v>
      </c>
      <c r="BK57" s="7">
        <v>-121317</v>
      </c>
      <c r="BL57" s="7">
        <v>-98382</v>
      </c>
      <c r="BM57" s="7">
        <v>-17741</v>
      </c>
      <c r="BN57" s="7">
        <v>128850</v>
      </c>
      <c r="BO57" s="7">
        <v>277605</v>
      </c>
      <c r="BP57" s="7">
        <v>-14767</v>
      </c>
      <c r="BQ57" s="7">
        <v>162964</v>
      </c>
      <c r="BR57" s="7">
        <v>-168240</v>
      </c>
      <c r="BS57" s="7">
        <v>-29515</v>
      </c>
      <c r="BT57" s="7">
        <v>141838</v>
      </c>
      <c r="BU57" s="7">
        <v>86839</v>
      </c>
      <c r="BV57" s="7">
        <v>55425</v>
      </c>
      <c r="BW57" s="7">
        <v>271819</v>
      </c>
      <c r="BX57" s="7">
        <v>104128</v>
      </c>
      <c r="BY57" s="7">
        <v>33426</v>
      </c>
      <c r="BZ57" s="7">
        <v>198832</v>
      </c>
      <c r="CA57" s="7">
        <v>163357</v>
      </c>
      <c r="CB57" s="7">
        <v>396299</v>
      </c>
      <c r="CC57" s="7">
        <v>540536</v>
      </c>
      <c r="CD57" s="7">
        <v>-137033</v>
      </c>
      <c r="CE57" s="7">
        <v>498055</v>
      </c>
      <c r="CF57" s="7">
        <v>462497</v>
      </c>
      <c r="CG57" s="7">
        <v>332157</v>
      </c>
      <c r="CH57" s="7">
        <v>88238</v>
      </c>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row>
    <row r="58" spans="1:166">
      <c r="A58" s="7" t="s">
        <v>352</v>
      </c>
      <c r="B58" s="7" t="s">
        <v>88</v>
      </c>
      <c r="C58" s="7">
        <v>1000000</v>
      </c>
      <c r="D58" s="7" t="s">
        <v>89</v>
      </c>
      <c r="E58" s="7" t="s">
        <v>353</v>
      </c>
      <c r="F58" s="8" t="s">
        <v>354</v>
      </c>
      <c r="G58" s="7"/>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c r="AF58" s="7">
        <v>0</v>
      </c>
      <c r="AG58" s="7">
        <v>0</v>
      </c>
      <c r="AH58" s="7">
        <v>0</v>
      </c>
      <c r="AI58" s="7">
        <v>0</v>
      </c>
      <c r="AJ58" s="7">
        <v>0</v>
      </c>
      <c r="AK58" s="7">
        <v>0</v>
      </c>
      <c r="AL58" s="7">
        <v>0</v>
      </c>
      <c r="AM58" s="7">
        <v>0</v>
      </c>
      <c r="AN58" s="7">
        <v>0</v>
      </c>
      <c r="AO58" s="7">
        <v>0</v>
      </c>
      <c r="AP58" s="7">
        <v>0</v>
      </c>
      <c r="AQ58" s="7">
        <v>0</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0</v>
      </c>
      <c r="BI58" s="7">
        <v>0</v>
      </c>
      <c r="BJ58" s="7">
        <v>0</v>
      </c>
      <c r="BK58" s="7">
        <v>0</v>
      </c>
      <c r="BL58" s="7">
        <v>0</v>
      </c>
      <c r="BM58" s="7">
        <v>0</v>
      </c>
      <c r="BN58" s="7">
        <v>0</v>
      </c>
      <c r="BO58" s="7">
        <v>0</v>
      </c>
      <c r="BP58" s="7">
        <v>0</v>
      </c>
      <c r="BQ58" s="7">
        <v>0</v>
      </c>
      <c r="BR58" s="7">
        <v>0</v>
      </c>
      <c r="BS58" s="7">
        <v>0</v>
      </c>
      <c r="BT58" s="7">
        <v>0</v>
      </c>
      <c r="BU58" s="7">
        <v>0</v>
      </c>
      <c r="BV58" s="7">
        <v>0</v>
      </c>
      <c r="BW58" s="7">
        <v>0</v>
      </c>
      <c r="BX58" s="7">
        <v>0</v>
      </c>
      <c r="BY58" s="7">
        <v>0</v>
      </c>
      <c r="BZ58" s="7">
        <v>0</v>
      </c>
      <c r="CA58" s="7">
        <v>0</v>
      </c>
      <c r="CB58" s="7">
        <v>0</v>
      </c>
      <c r="CC58" s="7">
        <v>0</v>
      </c>
      <c r="CD58" s="7">
        <v>249768</v>
      </c>
      <c r="CE58" s="7">
        <v>-206364</v>
      </c>
      <c r="CF58" s="7">
        <v>-43405</v>
      </c>
      <c r="CG58" s="7">
        <v>1</v>
      </c>
      <c r="CH58" s="7">
        <v>0</v>
      </c>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row>
    <row r="59" spans="1:166">
      <c r="A59" s="7" t="s">
        <v>355</v>
      </c>
      <c r="B59" s="7" t="s">
        <v>88</v>
      </c>
      <c r="C59" s="7">
        <v>1000000</v>
      </c>
      <c r="D59" s="7" t="s">
        <v>89</v>
      </c>
      <c r="E59" s="7" t="s">
        <v>356</v>
      </c>
      <c r="F59" s="8" t="s">
        <v>357</v>
      </c>
      <c r="G59" s="7"/>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c r="AF59" s="7">
        <v>0</v>
      </c>
      <c r="AG59" s="7">
        <v>0</v>
      </c>
      <c r="AH59" s="7">
        <v>0</v>
      </c>
      <c r="AI59" s="7">
        <v>0</v>
      </c>
      <c r="AJ59" s="7">
        <v>0</v>
      </c>
      <c r="AK59" s="7">
        <v>2000</v>
      </c>
      <c r="AL59" s="7">
        <v>1000</v>
      </c>
      <c r="AM59" s="7">
        <v>1000</v>
      </c>
      <c r="AN59" s="7">
        <v>1325</v>
      </c>
      <c r="AO59" s="7">
        <v>1100</v>
      </c>
      <c r="AP59" s="7">
        <v>1100</v>
      </c>
      <c r="AQ59" s="7">
        <v>1100</v>
      </c>
      <c r="AR59" s="7">
        <v>1100</v>
      </c>
      <c r="AS59" s="7">
        <v>1100</v>
      </c>
      <c r="AT59" s="7">
        <v>1100</v>
      </c>
      <c r="AU59" s="7">
        <v>4732</v>
      </c>
      <c r="AV59" s="7">
        <v>2069</v>
      </c>
      <c r="AW59" s="7">
        <v>-6226</v>
      </c>
      <c r="AX59" s="7">
        <v>11514</v>
      </c>
      <c r="AY59" s="7">
        <v>10487</v>
      </c>
      <c r="AZ59" s="7">
        <v>5541</v>
      </c>
      <c r="BA59" s="7">
        <v>15722</v>
      </c>
      <c r="BB59" s="7">
        <v>-5930</v>
      </c>
      <c r="BC59" s="7">
        <v>-5218</v>
      </c>
      <c r="BD59" s="7">
        <v>-15681</v>
      </c>
      <c r="BE59" s="7">
        <v>190</v>
      </c>
      <c r="BF59" s="7">
        <v>682</v>
      </c>
      <c r="BG59" s="7">
        <v>-14112</v>
      </c>
      <c r="BH59" s="7">
        <v>-940</v>
      </c>
      <c r="BI59" s="7">
        <v>13797</v>
      </c>
      <c r="BJ59" s="7">
        <v>65186</v>
      </c>
      <c r="BK59" s="7">
        <v>-17807</v>
      </c>
      <c r="BL59" s="7">
        <v>6900</v>
      </c>
      <c r="BM59" s="7">
        <v>2616</v>
      </c>
      <c r="BN59" s="7">
        <v>2635</v>
      </c>
      <c r="BO59" s="7">
        <v>64449</v>
      </c>
      <c r="BP59" s="7">
        <v>22942</v>
      </c>
      <c r="BQ59" s="7">
        <v>-54825</v>
      </c>
      <c r="BR59" s="7">
        <v>-1062</v>
      </c>
      <c r="BS59" s="7">
        <v>-9275</v>
      </c>
      <c r="BT59" s="7">
        <v>28264</v>
      </c>
      <c r="BU59" s="7">
        <v>12634</v>
      </c>
      <c r="BV59" s="7">
        <v>3919</v>
      </c>
      <c r="BW59" s="7">
        <v>14086</v>
      </c>
      <c r="BX59" s="7">
        <v>16171</v>
      </c>
      <c r="BY59" s="7">
        <v>1817</v>
      </c>
      <c r="BZ59" s="7">
        <v>-13146</v>
      </c>
      <c r="CA59" s="7">
        <v>12535</v>
      </c>
      <c r="CB59" s="7">
        <v>2446</v>
      </c>
      <c r="CC59" s="7">
        <v>-637</v>
      </c>
      <c r="CD59" s="7">
        <v>-3032</v>
      </c>
      <c r="CE59" s="7">
        <v>-14902</v>
      </c>
      <c r="CF59" s="7">
        <v>-6184</v>
      </c>
      <c r="CG59" s="7">
        <v>8277</v>
      </c>
      <c r="CH59" s="7">
        <v>-10379</v>
      </c>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row>
    <row r="60" spans="1:166">
      <c r="A60" s="7" t="s">
        <v>358</v>
      </c>
      <c r="B60" s="7" t="s">
        <v>88</v>
      </c>
      <c r="C60" s="7">
        <v>1000000</v>
      </c>
      <c r="D60" s="7" t="s">
        <v>89</v>
      </c>
      <c r="E60" s="7" t="s">
        <v>359</v>
      </c>
      <c r="F60" s="8" t="s">
        <v>360</v>
      </c>
      <c r="G60" s="7"/>
      <c r="H60" s="7">
        <v>-307</v>
      </c>
      <c r="I60" s="7">
        <v>373</v>
      </c>
      <c r="J60" s="7">
        <v>599</v>
      </c>
      <c r="K60" s="7">
        <v>469</v>
      </c>
      <c r="L60" s="7">
        <v>523</v>
      </c>
      <c r="M60" s="7">
        <v>830</v>
      </c>
      <c r="N60" s="7">
        <v>911</v>
      </c>
      <c r="O60" s="7">
        <v>1079</v>
      </c>
      <c r="P60" s="7">
        <v>724</v>
      </c>
      <c r="Q60" s="7">
        <v>1109</v>
      </c>
      <c r="R60" s="7">
        <v>1216</v>
      </c>
      <c r="S60" s="7">
        <v>396</v>
      </c>
      <c r="T60" s="7">
        <v>786</v>
      </c>
      <c r="U60" s="7">
        <v>1274</v>
      </c>
      <c r="V60" s="7">
        <v>-274</v>
      </c>
      <c r="W60" s="7">
        <v>-600</v>
      </c>
      <c r="X60" s="7">
        <v>120</v>
      </c>
      <c r="Y60" s="7">
        <v>-1696</v>
      </c>
      <c r="Z60" s="7">
        <v>-441</v>
      </c>
      <c r="AA60" s="7">
        <v>5062</v>
      </c>
      <c r="AB60" s="7">
        <v>-3936</v>
      </c>
      <c r="AC60" s="7">
        <v>-153</v>
      </c>
      <c r="AD60" s="7">
        <v>-2031</v>
      </c>
      <c r="AE60" s="7">
        <v>-63</v>
      </c>
      <c r="AF60" s="7">
        <v>1100</v>
      </c>
      <c r="AG60" s="7">
        <v>10045</v>
      </c>
      <c r="AH60" s="7">
        <v>28414</v>
      </c>
      <c r="AI60" s="7">
        <v>26420</v>
      </c>
      <c r="AJ60" s="7">
        <v>-7900</v>
      </c>
      <c r="AK60" s="7">
        <v>-30784</v>
      </c>
      <c r="AL60" s="7">
        <v>14517</v>
      </c>
      <c r="AM60" s="7">
        <v>25584</v>
      </c>
      <c r="AN60" s="7">
        <v>37385</v>
      </c>
      <c r="AO60" s="7">
        <v>48396</v>
      </c>
      <c r="AP60" s="7">
        <v>37060</v>
      </c>
      <c r="AQ60" s="7">
        <v>117452</v>
      </c>
      <c r="AR60" s="7">
        <v>52777</v>
      </c>
      <c r="AS60" s="7">
        <v>16741</v>
      </c>
      <c r="AT60" s="7">
        <v>127135</v>
      </c>
      <c r="AU60" s="7">
        <v>119635</v>
      </c>
      <c r="AV60" s="7">
        <v>56895</v>
      </c>
      <c r="AW60" s="7">
        <v>114021</v>
      </c>
      <c r="AX60" s="7">
        <v>271136</v>
      </c>
      <c r="AY60" s="7">
        <v>49171</v>
      </c>
      <c r="AZ60" s="7">
        <v>55550</v>
      </c>
      <c r="BA60" s="7">
        <v>-53051</v>
      </c>
      <c r="BB60" s="7">
        <v>61723</v>
      </c>
      <c r="BC60" s="7">
        <v>123008</v>
      </c>
      <c r="BD60" s="7">
        <v>127278</v>
      </c>
      <c r="BE60" s="7">
        <v>145268</v>
      </c>
      <c r="BF60" s="7">
        <v>136728</v>
      </c>
      <c r="BG60" s="7">
        <v>-136186</v>
      </c>
      <c r="BH60" s="7">
        <v>334115</v>
      </c>
      <c r="BI60" s="7">
        <v>-39903</v>
      </c>
      <c r="BJ60" s="7">
        <v>1055604</v>
      </c>
      <c r="BK60" s="7">
        <v>534137</v>
      </c>
      <c r="BL60" s="7">
        <v>287483</v>
      </c>
      <c r="BM60" s="7">
        <v>-188949</v>
      </c>
      <c r="BN60" s="7">
        <v>196604</v>
      </c>
      <c r="BO60" s="7">
        <v>515462</v>
      </c>
      <c r="BP60" s="7">
        <v>627038</v>
      </c>
      <c r="BQ60" s="7">
        <v>628003</v>
      </c>
      <c r="BR60" s="7">
        <v>-544499</v>
      </c>
      <c r="BS60" s="7">
        <v>-133255</v>
      </c>
      <c r="BT60" s="7">
        <v>152035</v>
      </c>
      <c r="BU60" s="7">
        <v>-136775</v>
      </c>
      <c r="BV60" s="7">
        <v>-57122</v>
      </c>
      <c r="BW60" s="7">
        <v>-43383</v>
      </c>
      <c r="BX60" s="7">
        <v>74362</v>
      </c>
      <c r="BY60" s="7">
        <v>777803</v>
      </c>
      <c r="BZ60" s="7">
        <v>385648</v>
      </c>
      <c r="CA60" s="7">
        <v>31947</v>
      </c>
      <c r="CB60" s="7">
        <v>539995</v>
      </c>
      <c r="CC60" s="7">
        <v>1481999</v>
      </c>
      <c r="CD60" s="7">
        <v>-501912</v>
      </c>
      <c r="CE60" s="7">
        <v>455777</v>
      </c>
      <c r="CF60" s="7">
        <v>2228203</v>
      </c>
      <c r="CG60" s="7">
        <v>742124</v>
      </c>
      <c r="CH60" s="7">
        <v>-102843</v>
      </c>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row>
    <row r="61" spans="1:166">
      <c r="A61" s="7" t="s">
        <v>361</v>
      </c>
      <c r="B61" s="7" t="s">
        <v>88</v>
      </c>
      <c r="C61" s="7">
        <v>1000000</v>
      </c>
      <c r="D61" s="7" t="s">
        <v>89</v>
      </c>
      <c r="E61" s="7" t="s">
        <v>362</v>
      </c>
      <c r="F61" s="8" t="s">
        <v>363</v>
      </c>
      <c r="G61" s="7"/>
      <c r="H61" s="7">
        <v>13315</v>
      </c>
      <c r="I61" s="7">
        <v>16202</v>
      </c>
      <c r="J61" s="7">
        <v>12019</v>
      </c>
      <c r="K61" s="7">
        <v>2792</v>
      </c>
      <c r="L61" s="7">
        <v>26093</v>
      </c>
      <c r="M61" s="7">
        <v>37542</v>
      </c>
      <c r="N61" s="7">
        <v>6254</v>
      </c>
      <c r="O61" s="7">
        <v>5702</v>
      </c>
      <c r="P61" s="7">
        <v>56180</v>
      </c>
      <c r="Q61" s="7">
        <v>73336</v>
      </c>
      <c r="R61" s="7">
        <v>38641</v>
      </c>
      <c r="S61" s="7">
        <v>-9108</v>
      </c>
      <c r="T61" s="7">
        <v>90559</v>
      </c>
      <c r="U61" s="7">
        <v>57131</v>
      </c>
      <c r="V61" s="7">
        <v>14575</v>
      </c>
      <c r="W61" s="7">
        <v>84324</v>
      </c>
      <c r="X61" s="7">
        <v>13066</v>
      </c>
      <c r="Y61" s="7">
        <v>18714</v>
      </c>
      <c r="Z61" s="7">
        <v>22319</v>
      </c>
      <c r="AA61" s="7">
        <v>36591</v>
      </c>
      <c r="AB61" s="7">
        <v>38779</v>
      </c>
      <c r="AC61" s="7">
        <v>35526</v>
      </c>
      <c r="AD61" s="7">
        <v>56717</v>
      </c>
      <c r="AE61" s="7">
        <v>71030</v>
      </c>
      <c r="AF61" s="7">
        <v>56139</v>
      </c>
      <c r="AG61" s="7">
        <v>65995</v>
      </c>
      <c r="AH61" s="7">
        <v>78817</v>
      </c>
      <c r="AI61" s="7">
        <v>131232</v>
      </c>
      <c r="AJ61" s="7">
        <v>112905</v>
      </c>
      <c r="AK61" s="7">
        <v>56385</v>
      </c>
      <c r="AL61" s="7">
        <v>123857</v>
      </c>
      <c r="AM61" s="7">
        <v>151293</v>
      </c>
      <c r="AN61" s="7">
        <v>201152</v>
      </c>
      <c r="AO61" s="7">
        <v>245541</v>
      </c>
      <c r="AP61" s="7">
        <v>282416</v>
      </c>
      <c r="AQ61" s="7">
        <v>302437</v>
      </c>
      <c r="AR61" s="7">
        <v>154984</v>
      </c>
      <c r="AS61" s="7">
        <v>224637</v>
      </c>
      <c r="AT61" s="7">
        <v>260709</v>
      </c>
      <c r="AU61" s="7">
        <v>290500</v>
      </c>
      <c r="AV61" s="7">
        <v>163788</v>
      </c>
      <c r="AW61" s="7">
        <v>275057</v>
      </c>
      <c r="AX61" s="7">
        <v>375925</v>
      </c>
      <c r="AY61" s="7">
        <v>280232</v>
      </c>
      <c r="AZ61" s="7">
        <v>237352</v>
      </c>
      <c r="BA61" s="7">
        <v>150630</v>
      </c>
      <c r="BB61" s="7">
        <v>384180</v>
      </c>
      <c r="BC61" s="7">
        <v>319821</v>
      </c>
      <c r="BD61" s="7">
        <v>239804</v>
      </c>
      <c r="BE61" s="7">
        <v>468826</v>
      </c>
      <c r="BF61" s="7">
        <v>480729</v>
      </c>
      <c r="BG61" s="7">
        <v>402142</v>
      </c>
      <c r="BH61" s="7">
        <v>896948</v>
      </c>
      <c r="BI61" s="7">
        <v>1108888</v>
      </c>
      <c r="BJ61" s="7">
        <v>1488027</v>
      </c>
      <c r="BK61" s="7">
        <v>417510</v>
      </c>
      <c r="BL61" s="7">
        <v>304200</v>
      </c>
      <c r="BM61" s="7">
        <v>100572</v>
      </c>
      <c r="BN61" s="7">
        <v>651951</v>
      </c>
      <c r="BO61" s="7">
        <v>778917</v>
      </c>
      <c r="BP61" s="7">
        <v>435262</v>
      </c>
      <c r="BQ61" s="7">
        <v>751226</v>
      </c>
      <c r="BR61" s="7">
        <v>152026</v>
      </c>
      <c r="BS61" s="7">
        <v>-253120</v>
      </c>
      <c r="BT61" s="7">
        <v>289104</v>
      </c>
      <c r="BU61" s="7">
        <v>497674</v>
      </c>
      <c r="BV61" s="7">
        <v>769773</v>
      </c>
      <c r="BW61" s="7">
        <v>796739</v>
      </c>
      <c r="BX61" s="7">
        <v>1091741</v>
      </c>
      <c r="BY61" s="7">
        <v>1287150</v>
      </c>
      <c r="BZ61" s="7">
        <v>1073532</v>
      </c>
      <c r="CA61" s="7">
        <v>284779</v>
      </c>
      <c r="CB61" s="7">
        <v>918341</v>
      </c>
      <c r="CC61" s="7">
        <v>2201993</v>
      </c>
      <c r="CD61" s="7">
        <v>336132</v>
      </c>
      <c r="CE61" s="7">
        <v>1330141</v>
      </c>
      <c r="CF61" s="7">
        <v>2731043</v>
      </c>
      <c r="CG61" s="7">
        <v>1378811</v>
      </c>
      <c r="CH61" s="7">
        <v>478235</v>
      </c>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row>
    <row r="62" spans="1:166">
      <c r="A62" s="7" t="s">
        <v>364</v>
      </c>
      <c r="B62" s="7" t="s">
        <v>88</v>
      </c>
      <c r="C62" s="7">
        <v>1000000</v>
      </c>
      <c r="D62" s="7" t="s">
        <v>89</v>
      </c>
      <c r="E62" s="7" t="s">
        <v>365</v>
      </c>
      <c r="F62" s="8" t="s">
        <v>366</v>
      </c>
      <c r="G62" s="7"/>
      <c r="H62" s="7">
        <v>995</v>
      </c>
      <c r="I62" s="7">
        <v>2848</v>
      </c>
      <c r="J62" s="7">
        <v>4294</v>
      </c>
      <c r="K62" s="7">
        <v>2899</v>
      </c>
      <c r="L62" s="7">
        <v>1669</v>
      </c>
      <c r="M62" s="7">
        <v>3356</v>
      </c>
      <c r="N62" s="7">
        <v>4767</v>
      </c>
      <c r="O62" s="7">
        <v>3586</v>
      </c>
      <c r="P62" s="7">
        <v>3664</v>
      </c>
      <c r="Q62" s="7">
        <v>2848</v>
      </c>
      <c r="R62" s="7">
        <v>3492</v>
      </c>
      <c r="S62" s="7">
        <v>6076</v>
      </c>
      <c r="T62" s="7">
        <v>5879</v>
      </c>
      <c r="U62" s="7">
        <v>2736</v>
      </c>
      <c r="V62" s="7">
        <v>3876</v>
      </c>
      <c r="W62" s="7">
        <v>4720</v>
      </c>
      <c r="X62" s="7">
        <v>4136</v>
      </c>
      <c r="Y62" s="7">
        <v>3541</v>
      </c>
      <c r="Z62" s="7">
        <v>4151</v>
      </c>
      <c r="AA62" s="7">
        <v>4524</v>
      </c>
      <c r="AB62" s="7">
        <v>11039</v>
      </c>
      <c r="AC62" s="7">
        <v>16070</v>
      </c>
      <c r="AD62" s="7">
        <v>14108</v>
      </c>
      <c r="AE62" s="7">
        <v>13157</v>
      </c>
      <c r="AF62" s="7">
        <v>21932</v>
      </c>
      <c r="AG62" s="7">
        <v>18336</v>
      </c>
      <c r="AH62" s="7">
        <v>13751</v>
      </c>
      <c r="AI62" s="7">
        <v>12804</v>
      </c>
      <c r="AJ62" s="7">
        <v>25574</v>
      </c>
      <c r="AK62" s="7">
        <v>26118</v>
      </c>
      <c r="AL62" s="7">
        <v>26604</v>
      </c>
      <c r="AM62" s="7">
        <v>31117</v>
      </c>
      <c r="AN62" s="7">
        <v>31316</v>
      </c>
      <c r="AO62" s="7">
        <v>36288</v>
      </c>
      <c r="AP62" s="7">
        <v>42512</v>
      </c>
      <c r="AQ62" s="7">
        <v>52931</v>
      </c>
      <c r="AR62" s="7">
        <v>39668</v>
      </c>
      <c r="AS62" s="7">
        <v>34585</v>
      </c>
      <c r="AT62" s="7">
        <v>92028</v>
      </c>
      <c r="AU62" s="7">
        <v>121067</v>
      </c>
      <c r="AV62" s="7">
        <v>111641</v>
      </c>
      <c r="AW62" s="7">
        <v>84828</v>
      </c>
      <c r="AX62" s="7">
        <v>116624</v>
      </c>
      <c r="AY62" s="7">
        <v>95118</v>
      </c>
      <c r="AZ62" s="7">
        <v>56537</v>
      </c>
      <c r="BA62" s="7">
        <v>59119</v>
      </c>
      <c r="BB62" s="7">
        <v>80723</v>
      </c>
      <c r="BC62" s="7">
        <v>198856</v>
      </c>
      <c r="BD62" s="7">
        <v>117583</v>
      </c>
      <c r="BE62" s="7">
        <v>86147</v>
      </c>
      <c r="BF62" s="7">
        <v>91688</v>
      </c>
      <c r="BG62" s="7">
        <v>158335</v>
      </c>
      <c r="BH62" s="7">
        <v>263395</v>
      </c>
      <c r="BI62" s="7">
        <v>249589</v>
      </c>
      <c r="BJ62" s="7">
        <v>192347</v>
      </c>
      <c r="BK62" s="7">
        <v>221613</v>
      </c>
      <c r="BL62" s="7">
        <v>18855</v>
      </c>
      <c r="BM62" s="7">
        <v>58613</v>
      </c>
      <c r="BN62" s="7">
        <v>28140</v>
      </c>
      <c r="BO62" s="7">
        <v>7389</v>
      </c>
      <c r="BP62" s="7">
        <v>154262</v>
      </c>
      <c r="BQ62" s="7">
        <v>218610</v>
      </c>
      <c r="BR62" s="7">
        <v>196985</v>
      </c>
      <c r="BS62" s="7">
        <v>179135</v>
      </c>
      <c r="BT62" s="7">
        <v>247132</v>
      </c>
      <c r="BU62" s="7">
        <v>215311</v>
      </c>
      <c r="BV62" s="7">
        <v>410605</v>
      </c>
      <c r="BW62" s="7">
        <v>308436</v>
      </c>
      <c r="BX62" s="7">
        <v>350716</v>
      </c>
      <c r="BY62" s="7">
        <v>445215</v>
      </c>
      <c r="BZ62" s="7">
        <v>318107</v>
      </c>
      <c r="CA62" s="7">
        <v>368262</v>
      </c>
      <c r="CB62" s="7">
        <v>168443</v>
      </c>
      <c r="CC62" s="7">
        <v>317822</v>
      </c>
      <c r="CD62" s="7">
        <v>696605</v>
      </c>
      <c r="CE62" s="7">
        <v>252774</v>
      </c>
      <c r="CF62" s="7">
        <v>78787</v>
      </c>
      <c r="CG62" s="7">
        <v>227810</v>
      </c>
      <c r="CH62" s="7">
        <v>264088</v>
      </c>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row>
    <row r="63" spans="1:166">
      <c r="A63" s="7" t="s">
        <v>367</v>
      </c>
      <c r="B63" s="7" t="s">
        <v>88</v>
      </c>
      <c r="C63" s="7">
        <v>1000000</v>
      </c>
      <c r="D63" s="7" t="s">
        <v>89</v>
      </c>
      <c r="E63" s="7" t="s">
        <v>368</v>
      </c>
      <c r="F63" s="8" t="s">
        <v>369</v>
      </c>
      <c r="G63" s="7"/>
      <c r="H63" s="7">
        <v>42</v>
      </c>
      <c r="I63" s="7">
        <v>35</v>
      </c>
      <c r="J63" s="7">
        <v>-6</v>
      </c>
      <c r="K63" s="7">
        <v>-4</v>
      </c>
      <c r="L63" s="7">
        <v>45</v>
      </c>
      <c r="M63" s="7">
        <v>62</v>
      </c>
      <c r="N63" s="7">
        <v>62</v>
      </c>
      <c r="O63" s="7">
        <v>71</v>
      </c>
      <c r="P63" s="7">
        <v>129</v>
      </c>
      <c r="Q63" s="7">
        <v>-169</v>
      </c>
      <c r="R63" s="7">
        <v>16</v>
      </c>
      <c r="S63" s="7">
        <v>44</v>
      </c>
      <c r="T63" s="7">
        <v>236</v>
      </c>
      <c r="U63" s="7">
        <v>-343</v>
      </c>
      <c r="V63" s="7">
        <v>454</v>
      </c>
      <c r="W63" s="7">
        <v>325</v>
      </c>
      <c r="X63" s="7">
        <v>104</v>
      </c>
      <c r="Y63" s="7">
        <v>-230</v>
      </c>
      <c r="Z63" s="7">
        <v>157</v>
      </c>
      <c r="AA63" s="7">
        <v>-328</v>
      </c>
      <c r="AB63" s="7">
        <v>825</v>
      </c>
      <c r="AC63" s="7">
        <v>1412</v>
      </c>
      <c r="AD63" s="7">
        <v>1215</v>
      </c>
      <c r="AE63" s="7">
        <v>1107</v>
      </c>
      <c r="AF63" s="7">
        <v>1777</v>
      </c>
      <c r="AG63" s="7">
        <v>-886</v>
      </c>
      <c r="AH63" s="7">
        <v>721</v>
      </c>
      <c r="AI63" s="7">
        <v>1414</v>
      </c>
      <c r="AJ63" s="7">
        <v>4131</v>
      </c>
      <c r="AK63" s="7">
        <v>-2897</v>
      </c>
      <c r="AL63" s="7">
        <v>1433</v>
      </c>
      <c r="AM63" s="7">
        <v>1639</v>
      </c>
      <c r="AN63" s="7">
        <v>2691</v>
      </c>
      <c r="AO63" s="7">
        <v>9019</v>
      </c>
      <c r="AP63" s="7">
        <v>3968</v>
      </c>
      <c r="AQ63" s="7">
        <v>14696</v>
      </c>
      <c r="AR63" s="7">
        <v>-6125</v>
      </c>
      <c r="AS63" s="7">
        <v>-839</v>
      </c>
      <c r="AT63" s="7">
        <v>21715</v>
      </c>
      <c r="AU63" s="7">
        <v>14598</v>
      </c>
      <c r="AV63" s="7">
        <v>-9342</v>
      </c>
      <c r="AW63" s="7">
        <v>1599</v>
      </c>
      <c r="AX63" s="7">
        <v>11908</v>
      </c>
      <c r="AY63" s="7">
        <v>21436</v>
      </c>
      <c r="AZ63" s="7">
        <v>9740</v>
      </c>
      <c r="BA63" s="7">
        <v>-18375</v>
      </c>
      <c r="BB63" s="7">
        <v>8629</v>
      </c>
      <c r="BC63" s="7">
        <v>10012</v>
      </c>
      <c r="BD63" s="7">
        <v>21409</v>
      </c>
      <c r="BE63" s="7">
        <v>18113</v>
      </c>
      <c r="BF63" s="7">
        <v>-946</v>
      </c>
      <c r="BG63" s="7">
        <v>13726</v>
      </c>
      <c r="BH63" s="7">
        <v>24360</v>
      </c>
      <c r="BI63" s="7">
        <v>37368</v>
      </c>
      <c r="BJ63" s="7">
        <v>48076</v>
      </c>
      <c r="BK63" s="7">
        <v>-83120</v>
      </c>
      <c r="BL63" s="7">
        <v>-57913</v>
      </c>
      <c r="BM63" s="7">
        <v>-37332</v>
      </c>
      <c r="BN63" s="7">
        <v>15301</v>
      </c>
      <c r="BO63" s="7">
        <v>-7711</v>
      </c>
      <c r="BP63" s="7">
        <v>22446</v>
      </c>
      <c r="BQ63" s="7">
        <v>11297</v>
      </c>
      <c r="BR63" s="7">
        <v>7663</v>
      </c>
      <c r="BS63" s="7">
        <v>-73067</v>
      </c>
      <c r="BT63" s="7">
        <v>24518</v>
      </c>
      <c r="BU63" s="7">
        <v>33379</v>
      </c>
      <c r="BV63" s="7">
        <v>14022</v>
      </c>
      <c r="BW63" s="7">
        <v>14182</v>
      </c>
      <c r="BX63" s="7">
        <v>37501</v>
      </c>
      <c r="BY63" s="7">
        <v>-2995</v>
      </c>
      <c r="BZ63" s="7">
        <v>1766</v>
      </c>
      <c r="CA63" s="7">
        <v>25887</v>
      </c>
      <c r="CB63" s="7">
        <v>-10203</v>
      </c>
      <c r="CC63" s="7">
        <v>-1937</v>
      </c>
      <c r="CD63" s="7">
        <v>-62328</v>
      </c>
      <c r="CE63" s="7">
        <v>6041</v>
      </c>
      <c r="CF63" s="7">
        <v>59310</v>
      </c>
      <c r="CG63" s="7">
        <v>20406</v>
      </c>
      <c r="CH63" s="7">
        <v>-21646</v>
      </c>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row>
    <row r="64" spans="1:166">
      <c r="A64" s="7" t="s">
        <v>370</v>
      </c>
      <c r="B64" s="7" t="s">
        <v>88</v>
      </c>
      <c r="C64" s="7">
        <v>1000000</v>
      </c>
      <c r="D64" s="7" t="s">
        <v>89</v>
      </c>
      <c r="E64" s="7" t="s">
        <v>371</v>
      </c>
      <c r="F64" s="8" t="s">
        <v>372</v>
      </c>
      <c r="G64" s="7"/>
      <c r="H64" s="7">
        <v>0</v>
      </c>
      <c r="I64" s="7">
        <v>0</v>
      </c>
      <c r="J64" s="7">
        <v>0</v>
      </c>
      <c r="K64" s="7">
        <v>0</v>
      </c>
      <c r="L64" s="7">
        <v>0</v>
      </c>
      <c r="M64" s="7">
        <v>0</v>
      </c>
      <c r="N64" s="7">
        <v>0</v>
      </c>
      <c r="O64" s="7">
        <v>0</v>
      </c>
      <c r="P64" s="7">
        <v>0</v>
      </c>
      <c r="Q64" s="7">
        <v>0</v>
      </c>
      <c r="R64" s="7">
        <v>0</v>
      </c>
      <c r="S64" s="7">
        <v>0</v>
      </c>
      <c r="T64" s="7">
        <v>0</v>
      </c>
      <c r="U64" s="7">
        <v>0</v>
      </c>
      <c r="V64" s="7">
        <v>0</v>
      </c>
      <c r="W64" s="7">
        <v>0</v>
      </c>
      <c r="X64" s="7">
        <v>0</v>
      </c>
      <c r="Y64" s="7">
        <v>0</v>
      </c>
      <c r="Z64" s="7">
        <v>0</v>
      </c>
      <c r="AA64" s="7">
        <v>0</v>
      </c>
      <c r="AB64" s="7">
        <v>0</v>
      </c>
      <c r="AC64" s="7">
        <v>0</v>
      </c>
      <c r="AD64" s="7">
        <v>0</v>
      </c>
      <c r="AE64" s="7">
        <v>0</v>
      </c>
      <c r="AF64" s="7">
        <v>0</v>
      </c>
      <c r="AG64" s="7">
        <v>86</v>
      </c>
      <c r="AH64" s="7">
        <v>548</v>
      </c>
      <c r="AI64" s="7">
        <v>1796</v>
      </c>
      <c r="AJ64" s="7">
        <v>1648</v>
      </c>
      <c r="AK64" s="7">
        <v>2600</v>
      </c>
      <c r="AL64" s="7">
        <v>2485</v>
      </c>
      <c r="AM64" s="7">
        <v>6670</v>
      </c>
      <c r="AN64" s="7">
        <v>7664</v>
      </c>
      <c r="AO64" s="7">
        <v>9987</v>
      </c>
      <c r="AP64" s="7">
        <v>10864</v>
      </c>
      <c r="AQ64" s="7">
        <v>13431</v>
      </c>
      <c r="AR64" s="7">
        <v>15143</v>
      </c>
      <c r="AS64" s="7">
        <v>9431</v>
      </c>
      <c r="AT64" s="7">
        <v>20542</v>
      </c>
      <c r="AU64" s="7">
        <v>22600</v>
      </c>
      <c r="AV64" s="7">
        <v>-9901</v>
      </c>
      <c r="AW64" s="7">
        <v>-914</v>
      </c>
      <c r="AX64" s="7">
        <v>185</v>
      </c>
      <c r="AY64" s="7">
        <v>-919</v>
      </c>
      <c r="AZ64" s="7">
        <v>-337</v>
      </c>
      <c r="BA64" s="7">
        <v>-1169</v>
      </c>
      <c r="BB64" s="7">
        <v>4301</v>
      </c>
      <c r="BC64" s="7">
        <v>6579</v>
      </c>
      <c r="BD64" s="7">
        <v>6825</v>
      </c>
      <c r="BE64" s="7">
        <v>3069</v>
      </c>
      <c r="BF64" s="7">
        <v>3093</v>
      </c>
      <c r="BG64" s="7">
        <v>4151</v>
      </c>
      <c r="BH64" s="7">
        <v>5761</v>
      </c>
      <c r="BI64" s="7">
        <v>5063</v>
      </c>
      <c r="BJ64" s="7">
        <v>1361</v>
      </c>
      <c r="BK64" s="7">
        <v>3500</v>
      </c>
      <c r="BL64" s="7">
        <v>2935</v>
      </c>
      <c r="BM64" s="7">
        <v>3292</v>
      </c>
      <c r="BN64" s="7">
        <v>17565</v>
      </c>
      <c r="BO64" s="7">
        <v>44572</v>
      </c>
      <c r="BP64" s="7">
        <v>54043</v>
      </c>
      <c r="BQ64" s="7">
        <v>71356</v>
      </c>
      <c r="BR64" s="7">
        <v>64886</v>
      </c>
      <c r="BS64" s="7">
        <v>37421</v>
      </c>
      <c r="BT64" s="7">
        <v>33300</v>
      </c>
      <c r="BU64" s="7">
        <v>8543</v>
      </c>
      <c r="BV64" s="7">
        <v>13523</v>
      </c>
      <c r="BW64" s="7">
        <v>2113</v>
      </c>
      <c r="BX64" s="7">
        <v>65</v>
      </c>
      <c r="BY64" s="7">
        <v>14276</v>
      </c>
      <c r="BZ64" s="7">
        <v>22926</v>
      </c>
      <c r="CA64" s="7">
        <v>18622</v>
      </c>
      <c r="CB64" s="7">
        <v>-2315</v>
      </c>
      <c r="CC64" s="7">
        <v>16767</v>
      </c>
      <c r="CD64" s="7">
        <v>6079</v>
      </c>
      <c r="CE64" s="7">
        <v>11957</v>
      </c>
      <c r="CF64" s="7">
        <v>822</v>
      </c>
      <c r="CG64" s="7">
        <v>-1332</v>
      </c>
      <c r="CH64" s="7">
        <v>13049</v>
      </c>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row>
    <row r="65" spans="1:166">
      <c r="A65" s="7" t="s">
        <v>373</v>
      </c>
      <c r="B65" s="7" t="s">
        <v>88</v>
      </c>
      <c r="C65" s="7">
        <v>1000000</v>
      </c>
      <c r="D65" s="7" t="s">
        <v>89</v>
      </c>
      <c r="E65" s="7" t="s">
        <v>374</v>
      </c>
      <c r="F65" s="8" t="s">
        <v>375</v>
      </c>
      <c r="G65" s="7"/>
      <c r="H65" s="7">
        <v>953</v>
      </c>
      <c r="I65" s="7">
        <v>2813</v>
      </c>
      <c r="J65" s="7">
        <v>4300</v>
      </c>
      <c r="K65" s="7">
        <v>2903</v>
      </c>
      <c r="L65" s="7">
        <v>1624</v>
      </c>
      <c r="M65" s="7">
        <v>3294</v>
      </c>
      <c r="N65" s="7">
        <v>4705</v>
      </c>
      <c r="O65" s="7">
        <v>3515</v>
      </c>
      <c r="P65" s="7">
        <v>3535</v>
      </c>
      <c r="Q65" s="7">
        <v>3017</v>
      </c>
      <c r="R65" s="7">
        <v>3476</v>
      </c>
      <c r="S65" s="7">
        <v>6032</v>
      </c>
      <c r="T65" s="7">
        <v>5643</v>
      </c>
      <c r="U65" s="7">
        <v>3079</v>
      </c>
      <c r="V65" s="7">
        <v>3422</v>
      </c>
      <c r="W65" s="7">
        <v>4395</v>
      </c>
      <c r="X65" s="7">
        <v>4032</v>
      </c>
      <c r="Y65" s="7">
        <v>3771</v>
      </c>
      <c r="Z65" s="7">
        <v>3994</v>
      </c>
      <c r="AA65" s="7">
        <v>4852</v>
      </c>
      <c r="AB65" s="7">
        <v>10214</v>
      </c>
      <c r="AC65" s="7">
        <v>14658</v>
      </c>
      <c r="AD65" s="7">
        <v>12893</v>
      </c>
      <c r="AE65" s="7">
        <v>12050</v>
      </c>
      <c r="AF65" s="7">
        <v>20155</v>
      </c>
      <c r="AG65" s="7">
        <v>19136</v>
      </c>
      <c r="AH65" s="7">
        <v>12482</v>
      </c>
      <c r="AI65" s="7">
        <v>9594</v>
      </c>
      <c r="AJ65" s="7">
        <v>19795</v>
      </c>
      <c r="AK65" s="7">
        <v>26415</v>
      </c>
      <c r="AL65" s="7">
        <v>22686</v>
      </c>
      <c r="AM65" s="7">
        <v>22808</v>
      </c>
      <c r="AN65" s="7">
        <v>20961</v>
      </c>
      <c r="AO65" s="7">
        <v>17282</v>
      </c>
      <c r="AP65" s="7">
        <v>27680</v>
      </c>
      <c r="AQ65" s="7">
        <v>24804</v>
      </c>
      <c r="AR65" s="7">
        <v>30650</v>
      </c>
      <c r="AS65" s="7">
        <v>25993</v>
      </c>
      <c r="AT65" s="7">
        <v>49771</v>
      </c>
      <c r="AU65" s="7">
        <v>83869</v>
      </c>
      <c r="AV65" s="7">
        <v>130884</v>
      </c>
      <c r="AW65" s="7">
        <v>84143</v>
      </c>
      <c r="AX65" s="7">
        <v>104531</v>
      </c>
      <c r="AY65" s="7">
        <v>74601</v>
      </c>
      <c r="AZ65" s="7">
        <v>47134</v>
      </c>
      <c r="BA65" s="7">
        <v>78663</v>
      </c>
      <c r="BB65" s="7">
        <v>67793</v>
      </c>
      <c r="BC65" s="7">
        <v>182265</v>
      </c>
      <c r="BD65" s="7">
        <v>89349</v>
      </c>
      <c r="BE65" s="7">
        <v>64965</v>
      </c>
      <c r="BF65" s="7">
        <v>89541</v>
      </c>
      <c r="BG65" s="7">
        <v>140458</v>
      </c>
      <c r="BH65" s="7">
        <v>233274</v>
      </c>
      <c r="BI65" s="7">
        <v>207158</v>
      </c>
      <c r="BJ65" s="7">
        <v>142910</v>
      </c>
      <c r="BK65" s="7">
        <v>301233</v>
      </c>
      <c r="BL65" s="7">
        <v>73833</v>
      </c>
      <c r="BM65" s="7">
        <v>92653</v>
      </c>
      <c r="BN65" s="7">
        <v>-4726</v>
      </c>
      <c r="BO65" s="7">
        <v>-29472</v>
      </c>
      <c r="BP65" s="7">
        <v>77773</v>
      </c>
      <c r="BQ65" s="7">
        <v>135957</v>
      </c>
      <c r="BR65" s="7">
        <v>124436</v>
      </c>
      <c r="BS65" s="7">
        <v>214781</v>
      </c>
      <c r="BT65" s="7">
        <v>189314</v>
      </c>
      <c r="BU65" s="7">
        <v>173389</v>
      </c>
      <c r="BV65" s="7">
        <v>383060</v>
      </c>
      <c r="BW65" s="7">
        <v>292141</v>
      </c>
      <c r="BX65" s="7">
        <v>313150</v>
      </c>
      <c r="BY65" s="7">
        <v>433934</v>
      </c>
      <c r="BZ65" s="7">
        <v>293415</v>
      </c>
      <c r="CA65" s="7">
        <v>323753</v>
      </c>
      <c r="CB65" s="7">
        <v>180961</v>
      </c>
      <c r="CC65" s="7">
        <v>302992</v>
      </c>
      <c r="CD65" s="7">
        <v>752854</v>
      </c>
      <c r="CE65" s="7">
        <v>234776</v>
      </c>
      <c r="CF65" s="7">
        <v>18655</v>
      </c>
      <c r="CG65" s="7">
        <v>208736</v>
      </c>
      <c r="CH65" s="7">
        <v>272685</v>
      </c>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row>
    <row r="66" spans="1:166">
      <c r="A66" s="7" t="s">
        <v>376</v>
      </c>
      <c r="B66" s="7" t="s">
        <v>88</v>
      </c>
      <c r="C66" s="7">
        <v>1000000</v>
      </c>
      <c r="D66" s="7" t="s">
        <v>89</v>
      </c>
      <c r="E66" s="7" t="s">
        <v>377</v>
      </c>
      <c r="F66" s="8" t="s">
        <v>378</v>
      </c>
      <c r="G66" s="7"/>
      <c r="H66" s="7">
        <v>4301</v>
      </c>
      <c r="I66" s="7">
        <v>4037</v>
      </c>
      <c r="J66" s="7">
        <v>1757</v>
      </c>
      <c r="K66" s="7">
        <v>-1335</v>
      </c>
      <c r="L66" s="7">
        <v>4302</v>
      </c>
      <c r="M66" s="7">
        <v>5047</v>
      </c>
      <c r="N66" s="7">
        <v>1485</v>
      </c>
      <c r="O66" s="7">
        <v>298</v>
      </c>
      <c r="P66" s="7">
        <v>-62</v>
      </c>
      <c r="Q66" s="7">
        <v>5656</v>
      </c>
      <c r="R66" s="7">
        <v>6304</v>
      </c>
      <c r="S66" s="7">
        <v>3631</v>
      </c>
      <c r="T66" s="7">
        <v>1467</v>
      </c>
      <c r="U66" s="7">
        <v>5894</v>
      </c>
      <c r="V66" s="7">
        <v>5119</v>
      </c>
      <c r="W66" s="7">
        <v>2696</v>
      </c>
      <c r="X66" s="7">
        <v>6430</v>
      </c>
      <c r="Y66" s="7">
        <v>7233</v>
      </c>
      <c r="Z66" s="7">
        <v>9796</v>
      </c>
      <c r="AA66" s="7">
        <v>15782</v>
      </c>
      <c r="AB66" s="7">
        <v>13880</v>
      </c>
      <c r="AC66" s="7">
        <v>6365</v>
      </c>
      <c r="AD66" s="7">
        <v>18361</v>
      </c>
      <c r="AE66" s="7">
        <v>20757</v>
      </c>
      <c r="AF66" s="7">
        <v>20116</v>
      </c>
      <c r="AG66" s="7">
        <v>12029</v>
      </c>
      <c r="AH66" s="7">
        <v>27627</v>
      </c>
      <c r="AI66" s="7">
        <v>67336</v>
      </c>
      <c r="AJ66" s="7">
        <v>34734</v>
      </c>
      <c r="AK66" s="7">
        <v>-11596</v>
      </c>
      <c r="AL66" s="7">
        <v>17487</v>
      </c>
      <c r="AM66" s="7">
        <v>42083</v>
      </c>
      <c r="AN66" s="7">
        <v>49374</v>
      </c>
      <c r="AO66" s="7">
        <v>51771</v>
      </c>
      <c r="AP66" s="7">
        <v>29541</v>
      </c>
      <c r="AQ66" s="7">
        <v>76748</v>
      </c>
      <c r="AR66" s="7">
        <v>61163</v>
      </c>
      <c r="AS66" s="7">
        <v>62259</v>
      </c>
      <c r="AT66" s="7">
        <v>123366</v>
      </c>
      <c r="AU66" s="7">
        <v>68540</v>
      </c>
      <c r="AV66" s="7">
        <v>128528</v>
      </c>
      <c r="AW66" s="7">
        <v>111957</v>
      </c>
      <c r="AX66" s="7">
        <v>123617</v>
      </c>
      <c r="AY66" s="7">
        <v>92204</v>
      </c>
      <c r="AZ66" s="7">
        <v>85689</v>
      </c>
      <c r="BA66" s="7">
        <v>-118610</v>
      </c>
      <c r="BB66" s="7">
        <v>-65285</v>
      </c>
      <c r="BC66" s="7">
        <v>-44686</v>
      </c>
      <c r="BD66" s="7">
        <v>91158</v>
      </c>
      <c r="BE66" s="7">
        <v>108203</v>
      </c>
      <c r="BF66" s="7">
        <v>94150</v>
      </c>
      <c r="BG66" s="7">
        <v>179999</v>
      </c>
      <c r="BH66" s="7">
        <v>208559</v>
      </c>
      <c r="BI66" s="7">
        <v>175280</v>
      </c>
      <c r="BJ66" s="7">
        <v>214865</v>
      </c>
      <c r="BK66" s="7">
        <v>-11242</v>
      </c>
      <c r="BL66" s="7">
        <v>-19443</v>
      </c>
      <c r="BM66" s="7">
        <v>-81487</v>
      </c>
      <c r="BN66" s="7">
        <v>178255</v>
      </c>
      <c r="BO66" s="7">
        <v>275418</v>
      </c>
      <c r="BP66" s="7">
        <v>301052</v>
      </c>
      <c r="BQ66" s="7">
        <v>507788</v>
      </c>
      <c r="BR66" s="7">
        <v>109593</v>
      </c>
      <c r="BS66" s="7">
        <v>-547775</v>
      </c>
      <c r="BT66" s="7">
        <v>-307284</v>
      </c>
      <c r="BU66" s="7">
        <v>162473</v>
      </c>
      <c r="BV66" s="7">
        <v>36525</v>
      </c>
      <c r="BW66" s="7">
        <v>173566</v>
      </c>
      <c r="BX66" s="7">
        <v>249616</v>
      </c>
      <c r="BY66" s="7">
        <v>237296</v>
      </c>
      <c r="BZ66" s="7">
        <v>-25261</v>
      </c>
      <c r="CA66" s="7">
        <v>36602</v>
      </c>
      <c r="CB66" s="7">
        <v>137813</v>
      </c>
      <c r="CC66" s="7">
        <v>325110</v>
      </c>
      <c r="CD66" s="7">
        <v>306620</v>
      </c>
      <c r="CE66" s="7">
        <v>280852</v>
      </c>
      <c r="CF66" s="7">
        <v>515975</v>
      </c>
      <c r="CG66" s="7">
        <v>-22889</v>
      </c>
      <c r="CH66" s="7">
        <v>208209</v>
      </c>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row>
    <row r="67" spans="1:166">
      <c r="A67" s="7" t="s">
        <v>379</v>
      </c>
      <c r="B67" s="7" t="s">
        <v>88</v>
      </c>
      <c r="C67" s="7">
        <v>1000000</v>
      </c>
      <c r="D67" s="7" t="s">
        <v>89</v>
      </c>
      <c r="E67" s="7" t="s">
        <v>380</v>
      </c>
      <c r="F67" s="8" t="s">
        <v>381</v>
      </c>
      <c r="G67" s="7"/>
      <c r="H67" s="7">
        <v>3511</v>
      </c>
      <c r="I67" s="7">
        <v>2890</v>
      </c>
      <c r="J67" s="7">
        <v>772</v>
      </c>
      <c r="K67" s="7">
        <v>-1962</v>
      </c>
      <c r="L67" s="7">
        <v>3926</v>
      </c>
      <c r="M67" s="7">
        <v>4478</v>
      </c>
      <c r="N67" s="7">
        <v>1228</v>
      </c>
      <c r="O67" s="7">
        <v>-411</v>
      </c>
      <c r="P67" s="7">
        <v>-566</v>
      </c>
      <c r="Q67" s="7">
        <v>4069</v>
      </c>
      <c r="R67" s="7">
        <v>5322</v>
      </c>
      <c r="S67" s="7">
        <v>2282</v>
      </c>
      <c r="T67" s="7">
        <v>-291</v>
      </c>
      <c r="U67" s="7">
        <v>4954</v>
      </c>
      <c r="V67" s="7">
        <v>4254</v>
      </c>
      <c r="W67" s="7">
        <v>1257</v>
      </c>
      <c r="X67" s="7">
        <v>4023</v>
      </c>
      <c r="Y67" s="7">
        <v>4531</v>
      </c>
      <c r="Z67" s="7">
        <v>6550</v>
      </c>
      <c r="AA67" s="7">
        <v>13035</v>
      </c>
      <c r="AB67" s="7">
        <v>10192</v>
      </c>
      <c r="AC67" s="7">
        <v>6708</v>
      </c>
      <c r="AD67" s="7">
        <v>12823</v>
      </c>
      <c r="AE67" s="7">
        <v>19197</v>
      </c>
      <c r="AF67" s="7">
        <v>6585</v>
      </c>
      <c r="AG67" s="7">
        <v>6912</v>
      </c>
      <c r="AH67" s="7">
        <v>17794</v>
      </c>
      <c r="AI67" s="7">
        <v>35777</v>
      </c>
      <c r="AJ67" s="7">
        <v>34617</v>
      </c>
      <c r="AK67" s="7">
        <v>-15495</v>
      </c>
      <c r="AL67" s="7">
        <v>9261</v>
      </c>
      <c r="AM67" s="7">
        <v>27564</v>
      </c>
      <c r="AN67" s="7">
        <v>35252</v>
      </c>
      <c r="AO67" s="7">
        <v>47841</v>
      </c>
      <c r="AP67" s="7">
        <v>36646</v>
      </c>
      <c r="AQ67" s="7">
        <v>60134</v>
      </c>
      <c r="AR67" s="7">
        <v>65293</v>
      </c>
      <c r="AS67" s="7">
        <v>48454</v>
      </c>
      <c r="AT67" s="7">
        <v>105489</v>
      </c>
      <c r="AU67" s="7">
        <v>59405</v>
      </c>
      <c r="AV67" s="7">
        <v>102995</v>
      </c>
      <c r="AW67" s="7">
        <v>41437</v>
      </c>
      <c r="AX67" s="7">
        <v>84386</v>
      </c>
      <c r="AY67" s="7">
        <v>71537</v>
      </c>
      <c r="AZ67" s="7">
        <v>51701</v>
      </c>
      <c r="BA67" s="7">
        <v>-103990</v>
      </c>
      <c r="BB67" s="7">
        <v>-26383</v>
      </c>
      <c r="BC67" s="7">
        <v>-34765</v>
      </c>
      <c r="BD67" s="7">
        <v>80941</v>
      </c>
      <c r="BE67" s="7">
        <v>105283</v>
      </c>
      <c r="BF67" s="7">
        <v>63716</v>
      </c>
      <c r="BG67" s="7">
        <v>114534</v>
      </c>
      <c r="BH67" s="7">
        <v>155712</v>
      </c>
      <c r="BI67" s="7">
        <v>67294</v>
      </c>
      <c r="BJ67" s="7">
        <v>128710</v>
      </c>
      <c r="BK67" s="7">
        <v>-106197</v>
      </c>
      <c r="BL67" s="7">
        <v>-70797</v>
      </c>
      <c r="BM67" s="7">
        <v>-89662</v>
      </c>
      <c r="BN67" s="7">
        <v>61060</v>
      </c>
      <c r="BO67" s="7">
        <v>88372</v>
      </c>
      <c r="BP67" s="7">
        <v>138049</v>
      </c>
      <c r="BQ67" s="7">
        <v>389555</v>
      </c>
      <c r="BR67" s="7">
        <v>132691</v>
      </c>
      <c r="BS67" s="7">
        <v>-442162</v>
      </c>
      <c r="BT67" s="7">
        <v>-194589</v>
      </c>
      <c r="BU67" s="7">
        <v>205522</v>
      </c>
      <c r="BV67" s="7">
        <v>122991</v>
      </c>
      <c r="BW67" s="7">
        <v>139150</v>
      </c>
      <c r="BX67" s="7">
        <v>190257</v>
      </c>
      <c r="BY67" s="7">
        <v>102919</v>
      </c>
      <c r="BZ67" s="7">
        <v>-35739</v>
      </c>
      <c r="CA67" s="7">
        <v>70679</v>
      </c>
      <c r="CB67" s="7">
        <v>117059</v>
      </c>
      <c r="CC67" s="7">
        <v>150277</v>
      </c>
      <c r="CD67" s="7">
        <v>339308</v>
      </c>
      <c r="CE67" s="7">
        <v>214656</v>
      </c>
      <c r="CF67" s="7">
        <v>332308</v>
      </c>
      <c r="CG67" s="7">
        <v>-47791</v>
      </c>
      <c r="CH67" s="7">
        <v>146541</v>
      </c>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row>
    <row r="68" spans="1:166">
      <c r="A68" s="7" t="s">
        <v>382</v>
      </c>
      <c r="B68" s="7" t="s">
        <v>88</v>
      </c>
      <c r="C68" s="7">
        <v>1000000</v>
      </c>
      <c r="D68" s="7" t="s">
        <v>89</v>
      </c>
      <c r="E68" s="7" t="s">
        <v>383</v>
      </c>
      <c r="F68" s="8" t="s">
        <v>384</v>
      </c>
      <c r="G68" s="7"/>
      <c r="H68" s="7">
        <v>3656</v>
      </c>
      <c r="I68" s="7">
        <v>3073</v>
      </c>
      <c r="J68" s="7">
        <v>684</v>
      </c>
      <c r="K68" s="7">
        <v>-1894</v>
      </c>
      <c r="L68" s="7">
        <v>3688</v>
      </c>
      <c r="M68" s="7">
        <v>4209</v>
      </c>
      <c r="N68" s="7">
        <v>796</v>
      </c>
      <c r="O68" s="7">
        <v>-562</v>
      </c>
      <c r="P68" s="7">
        <v>-655</v>
      </c>
      <c r="Q68" s="7">
        <v>3901</v>
      </c>
      <c r="R68" s="7">
        <v>5084</v>
      </c>
      <c r="S68" s="7">
        <v>1222</v>
      </c>
      <c r="T68" s="7">
        <v>-320</v>
      </c>
      <c r="U68" s="7">
        <v>3623</v>
      </c>
      <c r="V68" s="7">
        <v>2212</v>
      </c>
      <c r="W68" s="7">
        <v>934</v>
      </c>
      <c r="X68" s="7">
        <v>3641</v>
      </c>
      <c r="Y68" s="7">
        <v>3424</v>
      </c>
      <c r="Z68" s="7">
        <v>4818</v>
      </c>
      <c r="AA68" s="7">
        <v>10877</v>
      </c>
      <c r="AB68" s="7">
        <v>8574</v>
      </c>
      <c r="AC68" s="7">
        <v>6555</v>
      </c>
      <c r="AD68" s="7">
        <v>10363</v>
      </c>
      <c r="AE68" s="7">
        <v>9918</v>
      </c>
      <c r="AF68" s="7">
        <v>6115</v>
      </c>
      <c r="AG68" s="7">
        <v>5019</v>
      </c>
      <c r="AH68" s="7">
        <v>13926</v>
      </c>
      <c r="AI68" s="7">
        <v>28076</v>
      </c>
      <c r="AJ68" s="7">
        <v>24963</v>
      </c>
      <c r="AK68" s="7">
        <v>-18103</v>
      </c>
      <c r="AL68" s="7">
        <v>-3750</v>
      </c>
      <c r="AM68" s="7">
        <v>13782</v>
      </c>
      <c r="AN68" s="7">
        <v>19362</v>
      </c>
      <c r="AO68" s="7">
        <v>30808</v>
      </c>
      <c r="AP68" s="7">
        <v>27016</v>
      </c>
      <c r="AQ68" s="7">
        <v>32178</v>
      </c>
      <c r="AR68" s="7">
        <v>60432</v>
      </c>
      <c r="AS68" s="7">
        <v>25772</v>
      </c>
      <c r="AT68" s="7">
        <v>59260</v>
      </c>
      <c r="AU68" s="7">
        <v>41260</v>
      </c>
      <c r="AV68" s="7">
        <v>66028</v>
      </c>
      <c r="AW68" s="7">
        <v>4872</v>
      </c>
      <c r="AX68" s="7">
        <v>37931</v>
      </c>
      <c r="AY68" s="7">
        <v>22516</v>
      </c>
      <c r="AZ68" s="7">
        <v>-10224</v>
      </c>
      <c r="BA68" s="7">
        <v>-46796</v>
      </c>
      <c r="BB68" s="7">
        <v>-32697</v>
      </c>
      <c r="BC68" s="7">
        <v>-7472</v>
      </c>
      <c r="BD68" s="7">
        <v>49819</v>
      </c>
      <c r="BE68" s="7">
        <v>76380</v>
      </c>
      <c r="BF68" s="7">
        <v>46373</v>
      </c>
      <c r="BG68" s="7">
        <v>64261</v>
      </c>
      <c r="BH68" s="7">
        <v>95524</v>
      </c>
      <c r="BI68" s="7">
        <v>39212</v>
      </c>
      <c r="BJ68" s="7">
        <v>50954</v>
      </c>
      <c r="BK68" s="7">
        <v>-108302</v>
      </c>
      <c r="BL68" s="7">
        <v>-102664</v>
      </c>
      <c r="BM68" s="7">
        <v>-92552</v>
      </c>
      <c r="BN68" s="7">
        <v>5612</v>
      </c>
      <c r="BO68" s="7">
        <v>-21945</v>
      </c>
      <c r="BP68" s="7">
        <v>19061</v>
      </c>
      <c r="BQ68" s="7">
        <v>102034</v>
      </c>
      <c r="BR68" s="7">
        <v>64718</v>
      </c>
      <c r="BS68" s="7">
        <v>-238271</v>
      </c>
      <c r="BT68" s="7">
        <v>-86619</v>
      </c>
      <c r="BU68" s="7">
        <v>145302</v>
      </c>
      <c r="BV68" s="7">
        <v>103978</v>
      </c>
      <c r="BW68" s="7">
        <v>52261</v>
      </c>
      <c r="BX68" s="7">
        <v>107957</v>
      </c>
      <c r="BY68" s="7">
        <v>110390</v>
      </c>
      <c r="BZ68" s="7">
        <v>-13577</v>
      </c>
      <c r="CA68" s="7">
        <v>-47300</v>
      </c>
      <c r="CB68" s="7">
        <v>106191</v>
      </c>
      <c r="CC68" s="7">
        <v>22159</v>
      </c>
      <c r="CD68" s="7">
        <v>151220</v>
      </c>
      <c r="CE68" s="7">
        <v>-83395</v>
      </c>
      <c r="CF68" s="7">
        <v>137978</v>
      </c>
      <c r="CG68" s="7">
        <v>-13393</v>
      </c>
      <c r="CH68" s="7">
        <v>35352</v>
      </c>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row>
    <row r="69" spans="1:166">
      <c r="A69" s="7" t="s">
        <v>385</v>
      </c>
      <c r="B69" s="7" t="s">
        <v>88</v>
      </c>
      <c r="C69" s="7">
        <v>1000000</v>
      </c>
      <c r="D69" s="7" t="s">
        <v>89</v>
      </c>
      <c r="E69" s="7" t="s">
        <v>386</v>
      </c>
      <c r="F69" s="8" t="s">
        <v>387</v>
      </c>
      <c r="G69" s="7"/>
      <c r="H69" s="7">
        <v>-145</v>
      </c>
      <c r="I69" s="7">
        <v>-183</v>
      </c>
      <c r="J69" s="7">
        <v>88</v>
      </c>
      <c r="K69" s="7">
        <v>-68</v>
      </c>
      <c r="L69" s="7">
        <v>238</v>
      </c>
      <c r="M69" s="7">
        <v>269</v>
      </c>
      <c r="N69" s="7">
        <v>432</v>
      </c>
      <c r="O69" s="7">
        <v>152</v>
      </c>
      <c r="P69" s="7">
        <v>89</v>
      </c>
      <c r="Q69" s="7">
        <v>168</v>
      </c>
      <c r="R69" s="7">
        <v>238</v>
      </c>
      <c r="S69" s="7">
        <v>1060</v>
      </c>
      <c r="T69" s="7">
        <v>29</v>
      </c>
      <c r="U69" s="7">
        <v>1331</v>
      </c>
      <c r="V69" s="7">
        <v>2042</v>
      </c>
      <c r="W69" s="7">
        <v>323</v>
      </c>
      <c r="X69" s="7">
        <v>382</v>
      </c>
      <c r="Y69" s="7">
        <v>1107</v>
      </c>
      <c r="Z69" s="7">
        <v>1732</v>
      </c>
      <c r="AA69" s="7">
        <v>2158</v>
      </c>
      <c r="AB69" s="7">
        <v>1618</v>
      </c>
      <c r="AC69" s="7">
        <v>153</v>
      </c>
      <c r="AD69" s="7">
        <v>2460</v>
      </c>
      <c r="AE69" s="7">
        <v>9279</v>
      </c>
      <c r="AF69" s="7">
        <v>470</v>
      </c>
      <c r="AG69" s="7">
        <v>1893</v>
      </c>
      <c r="AH69" s="7">
        <v>3868</v>
      </c>
      <c r="AI69" s="7">
        <v>7701</v>
      </c>
      <c r="AJ69" s="7">
        <v>9654</v>
      </c>
      <c r="AK69" s="7">
        <v>2608</v>
      </c>
      <c r="AL69" s="7">
        <v>13011</v>
      </c>
      <c r="AM69" s="7">
        <v>13782</v>
      </c>
      <c r="AN69" s="7">
        <v>15890</v>
      </c>
      <c r="AO69" s="7">
        <v>17033</v>
      </c>
      <c r="AP69" s="7">
        <v>9630</v>
      </c>
      <c r="AQ69" s="7">
        <v>27956</v>
      </c>
      <c r="AR69" s="7">
        <v>4861</v>
      </c>
      <c r="AS69" s="7">
        <v>22682</v>
      </c>
      <c r="AT69" s="7">
        <v>46229</v>
      </c>
      <c r="AU69" s="7">
        <v>18145</v>
      </c>
      <c r="AV69" s="7">
        <v>36967</v>
      </c>
      <c r="AW69" s="7">
        <v>36565</v>
      </c>
      <c r="AX69" s="7">
        <v>46455</v>
      </c>
      <c r="AY69" s="7">
        <v>49021</v>
      </c>
      <c r="AZ69" s="7">
        <v>61925</v>
      </c>
      <c r="BA69" s="7">
        <v>-57194</v>
      </c>
      <c r="BB69" s="7">
        <v>6314</v>
      </c>
      <c r="BC69" s="7">
        <v>-27293</v>
      </c>
      <c r="BD69" s="7">
        <v>31122</v>
      </c>
      <c r="BE69" s="7">
        <v>28903</v>
      </c>
      <c r="BF69" s="7">
        <v>17343</v>
      </c>
      <c r="BG69" s="7">
        <v>50273</v>
      </c>
      <c r="BH69" s="7">
        <v>60188</v>
      </c>
      <c r="BI69" s="7">
        <v>28082</v>
      </c>
      <c r="BJ69" s="7">
        <v>77756</v>
      </c>
      <c r="BK69" s="7">
        <v>2105</v>
      </c>
      <c r="BL69" s="7">
        <v>31867</v>
      </c>
      <c r="BM69" s="7">
        <v>2890</v>
      </c>
      <c r="BN69" s="7">
        <v>55448</v>
      </c>
      <c r="BO69" s="7">
        <v>110317</v>
      </c>
      <c r="BP69" s="7">
        <v>118988</v>
      </c>
      <c r="BQ69" s="7">
        <v>287521</v>
      </c>
      <c r="BR69" s="7">
        <v>67973</v>
      </c>
      <c r="BS69" s="7">
        <v>-203891</v>
      </c>
      <c r="BT69" s="7">
        <v>-107970</v>
      </c>
      <c r="BU69" s="7">
        <v>60220</v>
      </c>
      <c r="BV69" s="7">
        <v>19013</v>
      </c>
      <c r="BW69" s="7">
        <v>86889</v>
      </c>
      <c r="BX69" s="7">
        <v>82300</v>
      </c>
      <c r="BY69" s="7">
        <v>-7472</v>
      </c>
      <c r="BZ69" s="7">
        <v>-22162</v>
      </c>
      <c r="CA69" s="7">
        <v>117979</v>
      </c>
      <c r="CB69" s="7">
        <v>10868</v>
      </c>
      <c r="CC69" s="7">
        <v>128118</v>
      </c>
      <c r="CD69" s="7">
        <v>188088</v>
      </c>
      <c r="CE69" s="7">
        <v>298051</v>
      </c>
      <c r="CF69" s="7">
        <v>194330</v>
      </c>
      <c r="CG69" s="7">
        <v>-34398</v>
      </c>
      <c r="CH69" s="7">
        <v>111189</v>
      </c>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row>
    <row r="70" spans="1:166">
      <c r="A70" s="7" t="s">
        <v>388</v>
      </c>
      <c r="B70" s="7" t="s">
        <v>88</v>
      </c>
      <c r="C70" s="7">
        <v>1000000</v>
      </c>
      <c r="D70" s="7" t="s">
        <v>89</v>
      </c>
      <c r="E70" s="7" t="s">
        <v>389</v>
      </c>
      <c r="F70" s="8" t="s">
        <v>390</v>
      </c>
      <c r="G70" s="7"/>
      <c r="H70" s="7">
        <v>790</v>
      </c>
      <c r="I70" s="7">
        <v>1147</v>
      </c>
      <c r="J70" s="7">
        <v>985</v>
      </c>
      <c r="K70" s="7">
        <v>627</v>
      </c>
      <c r="L70" s="7">
        <v>376</v>
      </c>
      <c r="M70" s="7">
        <v>569</v>
      </c>
      <c r="N70" s="7">
        <v>257</v>
      </c>
      <c r="O70" s="7">
        <v>709</v>
      </c>
      <c r="P70" s="7">
        <v>504</v>
      </c>
      <c r="Q70" s="7">
        <v>1587</v>
      </c>
      <c r="R70" s="7">
        <v>982</v>
      </c>
      <c r="S70" s="7">
        <v>1349</v>
      </c>
      <c r="T70" s="7">
        <v>1758</v>
      </c>
      <c r="U70" s="7">
        <v>940</v>
      </c>
      <c r="V70" s="7">
        <v>865</v>
      </c>
      <c r="W70" s="7">
        <v>1439</v>
      </c>
      <c r="X70" s="7">
        <v>2407</v>
      </c>
      <c r="Y70" s="7">
        <v>2702</v>
      </c>
      <c r="Z70" s="7">
        <v>3246</v>
      </c>
      <c r="AA70" s="7">
        <v>2747</v>
      </c>
      <c r="AB70" s="7">
        <v>3688</v>
      </c>
      <c r="AC70" s="7">
        <v>-343</v>
      </c>
      <c r="AD70" s="7">
        <v>5538</v>
      </c>
      <c r="AE70" s="7">
        <v>1560</v>
      </c>
      <c r="AF70" s="7">
        <v>13531</v>
      </c>
      <c r="AG70" s="7">
        <v>5117</v>
      </c>
      <c r="AH70" s="7">
        <v>9833</v>
      </c>
      <c r="AI70" s="7">
        <v>31559</v>
      </c>
      <c r="AJ70" s="7">
        <v>117</v>
      </c>
      <c r="AK70" s="7">
        <v>3899</v>
      </c>
      <c r="AL70" s="7">
        <v>8226</v>
      </c>
      <c r="AM70" s="7">
        <v>14519</v>
      </c>
      <c r="AN70" s="7">
        <v>14122</v>
      </c>
      <c r="AO70" s="7">
        <v>3930</v>
      </c>
      <c r="AP70" s="7">
        <v>-7105</v>
      </c>
      <c r="AQ70" s="7">
        <v>16614</v>
      </c>
      <c r="AR70" s="7">
        <v>-4130</v>
      </c>
      <c r="AS70" s="7">
        <v>13805</v>
      </c>
      <c r="AT70" s="7">
        <v>17877</v>
      </c>
      <c r="AU70" s="7">
        <v>9135</v>
      </c>
      <c r="AV70" s="7">
        <v>25533</v>
      </c>
      <c r="AW70" s="7">
        <v>70520</v>
      </c>
      <c r="AX70" s="7">
        <v>39231</v>
      </c>
      <c r="AY70" s="7">
        <v>20667</v>
      </c>
      <c r="AZ70" s="7">
        <v>33988</v>
      </c>
      <c r="BA70" s="7">
        <v>-14620</v>
      </c>
      <c r="BB70" s="7">
        <v>-38902</v>
      </c>
      <c r="BC70" s="7">
        <v>-9921</v>
      </c>
      <c r="BD70" s="7">
        <v>10217</v>
      </c>
      <c r="BE70" s="7">
        <v>2920</v>
      </c>
      <c r="BF70" s="7">
        <v>30434</v>
      </c>
      <c r="BG70" s="7">
        <v>65465</v>
      </c>
      <c r="BH70" s="7">
        <v>52847</v>
      </c>
      <c r="BI70" s="7">
        <v>107986</v>
      </c>
      <c r="BJ70" s="7">
        <v>86155</v>
      </c>
      <c r="BK70" s="7">
        <v>94955</v>
      </c>
      <c r="BL70" s="7">
        <v>51354</v>
      </c>
      <c r="BM70" s="7">
        <v>8175</v>
      </c>
      <c r="BN70" s="7">
        <v>117195</v>
      </c>
      <c r="BO70" s="7">
        <v>187046</v>
      </c>
      <c r="BP70" s="7">
        <v>163003</v>
      </c>
      <c r="BQ70" s="7">
        <v>118233</v>
      </c>
      <c r="BR70" s="7">
        <v>-23097</v>
      </c>
      <c r="BS70" s="7">
        <v>-105613</v>
      </c>
      <c r="BT70" s="7">
        <v>-112695</v>
      </c>
      <c r="BU70" s="7">
        <v>-43049</v>
      </c>
      <c r="BV70" s="7">
        <v>-86466</v>
      </c>
      <c r="BW70" s="7">
        <v>34416</v>
      </c>
      <c r="BX70" s="7">
        <v>59359</v>
      </c>
      <c r="BY70" s="7">
        <v>134377</v>
      </c>
      <c r="BZ70" s="7">
        <v>10478</v>
      </c>
      <c r="CA70" s="7">
        <v>-34077</v>
      </c>
      <c r="CB70" s="7">
        <v>20754</v>
      </c>
      <c r="CC70" s="7">
        <v>174833</v>
      </c>
      <c r="CD70" s="7">
        <v>-32688</v>
      </c>
      <c r="CE70" s="7">
        <v>66196</v>
      </c>
      <c r="CF70" s="7">
        <v>183667</v>
      </c>
      <c r="CG70" s="7">
        <v>24902</v>
      </c>
      <c r="CH70" s="7">
        <v>61668</v>
      </c>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row>
    <row r="71" spans="1:166">
      <c r="A71" s="7" t="s">
        <v>391</v>
      </c>
      <c r="B71" s="7" t="s">
        <v>88</v>
      </c>
      <c r="C71" s="7">
        <v>1000000</v>
      </c>
      <c r="D71" s="7" t="s">
        <v>89</v>
      </c>
      <c r="E71" s="7" t="s">
        <v>392</v>
      </c>
      <c r="F71" s="8" t="s">
        <v>393</v>
      </c>
      <c r="G71" s="7"/>
      <c r="H71" s="7">
        <v>795</v>
      </c>
      <c r="I71" s="7">
        <v>1177</v>
      </c>
      <c r="J71" s="7">
        <v>1025</v>
      </c>
      <c r="K71" s="7">
        <v>646</v>
      </c>
      <c r="L71" s="7">
        <v>453</v>
      </c>
      <c r="M71" s="7">
        <v>595</v>
      </c>
      <c r="N71" s="7">
        <v>233</v>
      </c>
      <c r="O71" s="7">
        <v>677</v>
      </c>
      <c r="P71" s="7">
        <v>495</v>
      </c>
      <c r="Q71" s="7">
        <v>1559</v>
      </c>
      <c r="R71" s="7">
        <v>932</v>
      </c>
      <c r="S71" s="7">
        <v>1310</v>
      </c>
      <c r="T71" s="7">
        <v>1749</v>
      </c>
      <c r="U71" s="7">
        <v>892</v>
      </c>
      <c r="V71" s="7">
        <v>817</v>
      </c>
      <c r="W71" s="7">
        <v>1417</v>
      </c>
      <c r="X71" s="7">
        <v>2320</v>
      </c>
      <c r="Y71" s="7">
        <v>2673</v>
      </c>
      <c r="Z71" s="7">
        <v>3206</v>
      </c>
      <c r="AA71" s="7">
        <v>2657</v>
      </c>
      <c r="AB71" s="7">
        <v>3580</v>
      </c>
      <c r="AC71" s="7">
        <v>-465</v>
      </c>
      <c r="AD71" s="7">
        <v>5395</v>
      </c>
      <c r="AE71" s="7">
        <v>1276</v>
      </c>
      <c r="AF71" s="7">
        <v>13238</v>
      </c>
      <c r="AG71" s="7">
        <v>5102</v>
      </c>
      <c r="AH71" s="7">
        <v>9702</v>
      </c>
      <c r="AI71" s="7">
        <v>31066</v>
      </c>
      <c r="AJ71" s="7">
        <v>-852</v>
      </c>
      <c r="AK71" s="7">
        <v>3446</v>
      </c>
      <c r="AL71" s="7">
        <v>7391</v>
      </c>
      <c r="AM71" s="7">
        <v>13796</v>
      </c>
      <c r="AN71" s="7">
        <v>12571</v>
      </c>
      <c r="AO71" s="7">
        <v>1941</v>
      </c>
      <c r="AP71" s="7">
        <v>-9778</v>
      </c>
      <c r="AQ71" s="7">
        <v>11906</v>
      </c>
      <c r="AR71" s="7">
        <v>-9587</v>
      </c>
      <c r="AS71" s="7">
        <v>11291</v>
      </c>
      <c r="AT71" s="7">
        <v>11775</v>
      </c>
      <c r="AU71" s="7">
        <v>4877</v>
      </c>
      <c r="AV71" s="7">
        <v>16132</v>
      </c>
      <c r="AW71" s="7">
        <v>47515</v>
      </c>
      <c r="AX71" s="7">
        <v>29082</v>
      </c>
      <c r="AY71" s="7">
        <v>931</v>
      </c>
      <c r="AZ71" s="7">
        <v>25446</v>
      </c>
      <c r="BA71" s="7">
        <v>-8012</v>
      </c>
      <c r="BB71" s="7">
        <v>-39609</v>
      </c>
      <c r="BC71" s="7">
        <v>-28797</v>
      </c>
      <c r="BD71" s="7">
        <v>3162</v>
      </c>
      <c r="BE71" s="7">
        <v>4054</v>
      </c>
      <c r="BF71" s="7">
        <v>18191</v>
      </c>
      <c r="BG71" s="7">
        <v>42876</v>
      </c>
      <c r="BH71" s="7">
        <v>28009</v>
      </c>
      <c r="BI71" s="7">
        <v>55297</v>
      </c>
      <c r="BJ71" s="7">
        <v>29885</v>
      </c>
      <c r="BK71" s="7">
        <v>42781</v>
      </c>
      <c r="BL71" s="7">
        <v>69202</v>
      </c>
      <c r="BM71" s="7">
        <v>49207</v>
      </c>
      <c r="BN71" s="7">
        <v>117904</v>
      </c>
      <c r="BO71" s="7">
        <v>186589</v>
      </c>
      <c r="BP71" s="7">
        <v>119684</v>
      </c>
      <c r="BQ71" s="7">
        <v>78289</v>
      </c>
      <c r="BR71" s="7">
        <v>-47286</v>
      </c>
      <c r="BS71" s="7">
        <v>-93942</v>
      </c>
      <c r="BT71" s="7">
        <v>-104836</v>
      </c>
      <c r="BU71" s="7">
        <v>-78375</v>
      </c>
      <c r="BV71" s="7">
        <v>-89167</v>
      </c>
      <c r="BW71" s="7">
        <v>22457</v>
      </c>
      <c r="BX71" s="7">
        <v>4146</v>
      </c>
      <c r="BY71" s="7">
        <v>94362</v>
      </c>
      <c r="BZ71" s="7">
        <v>12780</v>
      </c>
      <c r="CA71" s="7">
        <v>-25530</v>
      </c>
      <c r="CB71" s="7">
        <v>93646</v>
      </c>
      <c r="CC71" s="7">
        <v>182018</v>
      </c>
      <c r="CD71" s="7">
        <v>33752</v>
      </c>
      <c r="CE71" s="7">
        <v>70059</v>
      </c>
      <c r="CF71" s="7">
        <v>124984</v>
      </c>
      <c r="CG71" s="7">
        <v>52436</v>
      </c>
      <c r="CH71" s="7">
        <v>37977</v>
      </c>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row>
    <row r="72" spans="1:166">
      <c r="A72" s="7" t="s">
        <v>394</v>
      </c>
      <c r="B72" s="7" t="s">
        <v>88</v>
      </c>
      <c r="C72" s="7">
        <v>1000000</v>
      </c>
      <c r="D72" s="7" t="s">
        <v>89</v>
      </c>
      <c r="E72" s="7" t="s">
        <v>395</v>
      </c>
      <c r="F72" s="8" t="s">
        <v>396</v>
      </c>
      <c r="G72" s="7"/>
      <c r="H72" s="7">
        <v>-5</v>
      </c>
      <c r="I72" s="7">
        <v>-30</v>
      </c>
      <c r="J72" s="7">
        <v>-40</v>
      </c>
      <c r="K72" s="7">
        <v>-19</v>
      </c>
      <c r="L72" s="7">
        <v>-77</v>
      </c>
      <c r="M72" s="7">
        <v>-26</v>
      </c>
      <c r="N72" s="7">
        <v>24</v>
      </c>
      <c r="O72" s="7">
        <v>32</v>
      </c>
      <c r="P72" s="7">
        <v>9</v>
      </c>
      <c r="Q72" s="7">
        <v>28</v>
      </c>
      <c r="R72" s="7">
        <v>50</v>
      </c>
      <c r="S72" s="7">
        <v>39</v>
      </c>
      <c r="T72" s="7">
        <v>9</v>
      </c>
      <c r="U72" s="7">
        <v>48</v>
      </c>
      <c r="V72" s="7">
        <v>48</v>
      </c>
      <c r="W72" s="7">
        <v>22</v>
      </c>
      <c r="X72" s="7">
        <v>87</v>
      </c>
      <c r="Y72" s="7">
        <v>29</v>
      </c>
      <c r="Z72" s="7">
        <v>40</v>
      </c>
      <c r="AA72" s="7">
        <v>90</v>
      </c>
      <c r="AB72" s="7">
        <v>108</v>
      </c>
      <c r="AC72" s="7">
        <v>122</v>
      </c>
      <c r="AD72" s="7">
        <v>143</v>
      </c>
      <c r="AE72" s="7">
        <v>284</v>
      </c>
      <c r="AF72" s="7">
        <v>293</v>
      </c>
      <c r="AG72" s="7">
        <v>15</v>
      </c>
      <c r="AH72" s="7">
        <v>131</v>
      </c>
      <c r="AI72" s="7">
        <v>493</v>
      </c>
      <c r="AJ72" s="7">
        <v>969</v>
      </c>
      <c r="AK72" s="7">
        <v>453</v>
      </c>
      <c r="AL72" s="7">
        <v>835</v>
      </c>
      <c r="AM72" s="7">
        <v>723</v>
      </c>
      <c r="AN72" s="7">
        <v>1551</v>
      </c>
      <c r="AO72" s="7">
        <v>1989</v>
      </c>
      <c r="AP72" s="7">
        <v>2673</v>
      </c>
      <c r="AQ72" s="7">
        <v>4708</v>
      </c>
      <c r="AR72" s="7">
        <v>5457</v>
      </c>
      <c r="AS72" s="7">
        <v>2514</v>
      </c>
      <c r="AT72" s="7">
        <v>6102</v>
      </c>
      <c r="AU72" s="7">
        <v>4258</v>
      </c>
      <c r="AV72" s="7">
        <v>9401</v>
      </c>
      <c r="AW72" s="7">
        <v>23005</v>
      </c>
      <c r="AX72" s="7">
        <v>10149</v>
      </c>
      <c r="AY72" s="7">
        <v>19736</v>
      </c>
      <c r="AZ72" s="7">
        <v>8542</v>
      </c>
      <c r="BA72" s="7">
        <v>-6608</v>
      </c>
      <c r="BB72" s="7">
        <v>707</v>
      </c>
      <c r="BC72" s="7">
        <v>18876</v>
      </c>
      <c r="BD72" s="7">
        <v>7055</v>
      </c>
      <c r="BE72" s="7">
        <v>-1134</v>
      </c>
      <c r="BF72" s="7">
        <v>12243</v>
      </c>
      <c r="BG72" s="7">
        <v>22589</v>
      </c>
      <c r="BH72" s="7">
        <v>24838</v>
      </c>
      <c r="BI72" s="7">
        <v>52689</v>
      </c>
      <c r="BJ72" s="7">
        <v>56270</v>
      </c>
      <c r="BK72" s="7">
        <v>52174</v>
      </c>
      <c r="BL72" s="7">
        <v>-17848</v>
      </c>
      <c r="BM72" s="7">
        <v>-41032</v>
      </c>
      <c r="BN72" s="7">
        <v>-709</v>
      </c>
      <c r="BO72" s="7">
        <v>457</v>
      </c>
      <c r="BP72" s="7">
        <v>43319</v>
      </c>
      <c r="BQ72" s="7">
        <v>39944</v>
      </c>
      <c r="BR72" s="7">
        <v>24189</v>
      </c>
      <c r="BS72" s="7">
        <v>-11671</v>
      </c>
      <c r="BT72" s="7">
        <v>-7859</v>
      </c>
      <c r="BU72" s="7">
        <v>35326</v>
      </c>
      <c r="BV72" s="7">
        <v>2701</v>
      </c>
      <c r="BW72" s="7">
        <v>11959</v>
      </c>
      <c r="BX72" s="7">
        <v>55213</v>
      </c>
      <c r="BY72" s="7">
        <v>40015</v>
      </c>
      <c r="BZ72" s="7">
        <v>-2302</v>
      </c>
      <c r="CA72" s="7">
        <v>-8547</v>
      </c>
      <c r="CB72" s="7">
        <v>-72892</v>
      </c>
      <c r="CC72" s="7">
        <v>-7185</v>
      </c>
      <c r="CD72" s="7">
        <v>-66440</v>
      </c>
      <c r="CE72" s="7">
        <v>-3863</v>
      </c>
      <c r="CF72" s="7">
        <v>58683</v>
      </c>
      <c r="CG72" s="7">
        <v>-27534</v>
      </c>
      <c r="CH72" s="7">
        <v>23691</v>
      </c>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row>
    <row r="73" spans="1:166">
      <c r="A73" s="7" t="s">
        <v>397</v>
      </c>
      <c r="B73" s="7" t="s">
        <v>88</v>
      </c>
      <c r="C73" s="7">
        <v>1000000</v>
      </c>
      <c r="D73" s="7" t="s">
        <v>89</v>
      </c>
      <c r="E73" s="7" t="s">
        <v>398</v>
      </c>
      <c r="F73" s="8" t="s">
        <v>399</v>
      </c>
      <c r="G73" s="7"/>
      <c r="H73" s="7">
        <v>1010</v>
      </c>
      <c r="I73" s="7">
        <v>1123</v>
      </c>
      <c r="J73" s="7">
        <v>1065</v>
      </c>
      <c r="K73" s="7">
        <v>1276</v>
      </c>
      <c r="L73" s="7">
        <v>1435</v>
      </c>
      <c r="M73" s="7">
        <v>2210</v>
      </c>
      <c r="N73" s="7">
        <v>2394</v>
      </c>
      <c r="O73" s="7">
        <v>1840</v>
      </c>
      <c r="P73" s="7">
        <v>1646</v>
      </c>
      <c r="Q73" s="7">
        <v>1827</v>
      </c>
      <c r="R73" s="7">
        <v>2383</v>
      </c>
      <c r="S73" s="7">
        <v>2535</v>
      </c>
      <c r="T73" s="7">
        <v>2045</v>
      </c>
      <c r="U73" s="7">
        <v>2229</v>
      </c>
      <c r="V73" s="7">
        <v>1557</v>
      </c>
      <c r="W73" s="7">
        <v>2361</v>
      </c>
      <c r="X73" s="7">
        <v>585</v>
      </c>
      <c r="Y73" s="7">
        <v>-143</v>
      </c>
      <c r="Z73" s="7">
        <v>1396</v>
      </c>
      <c r="AA73" s="7">
        <v>343</v>
      </c>
      <c r="AB73" s="7">
        <v>1516</v>
      </c>
      <c r="AC73" s="7">
        <v>2946</v>
      </c>
      <c r="AD73" s="7">
        <v>455</v>
      </c>
      <c r="AE73" s="7">
        <v>4302</v>
      </c>
      <c r="AF73" s="7">
        <v>6808</v>
      </c>
      <c r="AG73" s="7">
        <v>11707</v>
      </c>
      <c r="AH73" s="7">
        <v>11762</v>
      </c>
      <c r="AI73" s="7">
        <v>9894</v>
      </c>
      <c r="AJ73" s="7">
        <v>7618</v>
      </c>
      <c r="AK73" s="7">
        <v>11661</v>
      </c>
      <c r="AL73" s="7">
        <v>13283</v>
      </c>
      <c r="AM73" s="7">
        <v>5107</v>
      </c>
      <c r="AN73" s="7">
        <v>5387</v>
      </c>
      <c r="AO73" s="7">
        <v>-627</v>
      </c>
      <c r="AP73" s="7">
        <v>20708</v>
      </c>
      <c r="AQ73" s="7">
        <v>2461</v>
      </c>
      <c r="AR73" s="7">
        <v>4611</v>
      </c>
      <c r="AS73" s="7">
        <v>25366</v>
      </c>
      <c r="AT73" s="7">
        <v>-66447</v>
      </c>
      <c r="AU73" s="7">
        <v>-70790</v>
      </c>
      <c r="AV73" s="7">
        <v>-62186</v>
      </c>
      <c r="AW73" s="7">
        <v>-45961</v>
      </c>
      <c r="AX73" s="7">
        <v>-69617</v>
      </c>
      <c r="AY73" s="7">
        <v>-81348</v>
      </c>
      <c r="AZ73" s="7">
        <v>-12679</v>
      </c>
      <c r="BA73" s="7">
        <v>24206</v>
      </c>
      <c r="BB73" s="7">
        <v>35019</v>
      </c>
      <c r="BC73" s="7">
        <v>35973</v>
      </c>
      <c r="BD73" s="7">
        <v>5234</v>
      </c>
      <c r="BE73" s="7">
        <v>4224</v>
      </c>
      <c r="BF73" s="7">
        <v>14460</v>
      </c>
      <c r="BG73" s="7">
        <v>1630</v>
      </c>
      <c r="BH73" s="7">
        <v>-90286</v>
      </c>
      <c r="BI73" s="7">
        <v>32806</v>
      </c>
      <c r="BJ73" s="7">
        <v>156383</v>
      </c>
      <c r="BK73" s="7">
        <v>86725</v>
      </c>
      <c r="BL73" s="7">
        <v>86369</v>
      </c>
      <c r="BM73" s="7">
        <v>84617</v>
      </c>
      <c r="BN73" s="7">
        <v>36401</v>
      </c>
      <c r="BO73" s="7">
        <v>-139154</v>
      </c>
      <c r="BP73" s="7">
        <v>-264108</v>
      </c>
      <c r="BQ73" s="7">
        <v>-361655</v>
      </c>
      <c r="BR73" s="7">
        <v>-253881</v>
      </c>
      <c r="BS73" s="7">
        <v>35121</v>
      </c>
      <c r="BT73" s="7">
        <v>-8807</v>
      </c>
      <c r="BU73" s="7">
        <v>-181238</v>
      </c>
      <c r="BV73" s="7">
        <v>-93343</v>
      </c>
      <c r="BW73" s="7">
        <v>-79273</v>
      </c>
      <c r="BX73" s="7">
        <v>-165440</v>
      </c>
      <c r="BY73" s="7">
        <v>-130529</v>
      </c>
      <c r="BZ73" s="7">
        <v>-28455</v>
      </c>
      <c r="CA73" s="7">
        <v>-29543</v>
      </c>
      <c r="CB73" s="7">
        <v>-391875</v>
      </c>
      <c r="CC73" s="7">
        <v>-109550</v>
      </c>
      <c r="CD73" s="7">
        <v>91392</v>
      </c>
      <c r="CE73" s="7">
        <v>311348</v>
      </c>
      <c r="CF73" s="7">
        <v>-342556</v>
      </c>
      <c r="CG73" s="7">
        <v>-334559</v>
      </c>
      <c r="CH73" s="7">
        <v>-163210</v>
      </c>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row>
    <row r="74" spans="1:166">
      <c r="A74" s="7" t="s">
        <v>400</v>
      </c>
      <c r="B74" s="7" t="s">
        <v>88</v>
      </c>
      <c r="C74" s="7">
        <v>1000000</v>
      </c>
      <c r="D74" s="7" t="s">
        <v>89</v>
      </c>
      <c r="E74" s="7" t="s">
        <v>401</v>
      </c>
      <c r="F74" s="8" t="s">
        <v>402</v>
      </c>
      <c r="G74" s="7"/>
      <c r="H74" s="7">
        <v>1018</v>
      </c>
      <c r="I74" s="7">
        <v>1093</v>
      </c>
      <c r="J74" s="7">
        <v>1000</v>
      </c>
      <c r="K74" s="7">
        <v>1212</v>
      </c>
      <c r="L74" s="7">
        <v>1288</v>
      </c>
      <c r="M74" s="7">
        <v>2107</v>
      </c>
      <c r="N74" s="7">
        <v>2320</v>
      </c>
      <c r="O74" s="7">
        <v>1766</v>
      </c>
      <c r="P74" s="7">
        <v>1583</v>
      </c>
      <c r="Q74" s="7">
        <v>1719</v>
      </c>
      <c r="R74" s="7">
        <v>2250</v>
      </c>
      <c r="S74" s="7">
        <v>2441</v>
      </c>
      <c r="T74" s="7">
        <v>1968</v>
      </c>
      <c r="U74" s="7">
        <v>2078</v>
      </c>
      <c r="V74" s="7">
        <v>1365</v>
      </c>
      <c r="W74" s="7">
        <v>2121</v>
      </c>
      <c r="X74" s="7">
        <v>369</v>
      </c>
      <c r="Y74" s="7">
        <v>-341</v>
      </c>
      <c r="Z74" s="7">
        <v>1145</v>
      </c>
      <c r="AA74" s="7">
        <v>-28</v>
      </c>
      <c r="AB74" s="7">
        <v>1259</v>
      </c>
      <c r="AC74" s="7">
        <v>2397</v>
      </c>
      <c r="AD74" s="7">
        <v>-159</v>
      </c>
      <c r="AE74" s="7">
        <v>3406</v>
      </c>
      <c r="AF74" s="7">
        <v>5709</v>
      </c>
      <c r="AG74" s="7">
        <v>11446</v>
      </c>
      <c r="AH74" s="7">
        <v>11024</v>
      </c>
      <c r="AI74" s="7">
        <v>7827</v>
      </c>
      <c r="AJ74" s="7">
        <v>4016</v>
      </c>
      <c r="AK74" s="7">
        <v>9916</v>
      </c>
      <c r="AL74" s="7">
        <v>10555</v>
      </c>
      <c r="AM74" s="7">
        <v>2739</v>
      </c>
      <c r="AN74" s="7">
        <v>-105</v>
      </c>
      <c r="AO74" s="7">
        <v>-7798</v>
      </c>
      <c r="AP74" s="7">
        <v>10428</v>
      </c>
      <c r="AQ74" s="7">
        <v>-13452</v>
      </c>
      <c r="AR74" s="7">
        <v>1938</v>
      </c>
      <c r="AS74" s="7">
        <v>20114</v>
      </c>
      <c r="AT74" s="7">
        <v>-78853</v>
      </c>
      <c r="AU74" s="7">
        <v>-84069</v>
      </c>
      <c r="AV74" s="7">
        <v>-84656</v>
      </c>
      <c r="AW74" s="7">
        <v>-75481</v>
      </c>
      <c r="AX74" s="7">
        <v>-129301</v>
      </c>
      <c r="AY74" s="7">
        <v>-123979</v>
      </c>
      <c r="AZ74" s="7">
        <v>-63233</v>
      </c>
      <c r="BA74" s="7">
        <v>18932</v>
      </c>
      <c r="BB74" s="7">
        <v>28994</v>
      </c>
      <c r="BC74" s="7">
        <v>34505</v>
      </c>
      <c r="BD74" s="7">
        <v>-33778</v>
      </c>
      <c r="BE74" s="7">
        <v>-51776</v>
      </c>
      <c r="BF74" s="7">
        <v>-44826</v>
      </c>
      <c r="BG74" s="7">
        <v>-74789</v>
      </c>
      <c r="BH74" s="7">
        <v>-210335</v>
      </c>
      <c r="BI74" s="7">
        <v>-97272</v>
      </c>
      <c r="BJ74" s="7">
        <v>-35890</v>
      </c>
      <c r="BK74" s="7">
        <v>-3479</v>
      </c>
      <c r="BL74" s="7">
        <v>-7450</v>
      </c>
      <c r="BM74" s="7">
        <v>-2155</v>
      </c>
      <c r="BN74" s="7">
        <v>-66051</v>
      </c>
      <c r="BO74" s="7">
        <v>-241429</v>
      </c>
      <c r="BP74" s="7">
        <v>-416996</v>
      </c>
      <c r="BQ74" s="7">
        <v>-540969</v>
      </c>
      <c r="BR74" s="7">
        <v>-428240</v>
      </c>
      <c r="BS74" s="7">
        <v>-89082</v>
      </c>
      <c r="BT74" s="7">
        <v>-179008</v>
      </c>
      <c r="BU74" s="7">
        <v>-345302</v>
      </c>
      <c r="BV74" s="7">
        <v>-280491</v>
      </c>
      <c r="BW74" s="7">
        <v>-255054</v>
      </c>
      <c r="BX74" s="7">
        <v>-295672</v>
      </c>
      <c r="BY74" s="7">
        <v>-506179</v>
      </c>
      <c r="BZ74" s="7">
        <v>-441711</v>
      </c>
      <c r="CA74" s="7">
        <v>-327987</v>
      </c>
      <c r="CB74" s="7">
        <v>-627785</v>
      </c>
      <c r="CC74" s="7">
        <v>-340297</v>
      </c>
      <c r="CD74" s="7">
        <v>-71764</v>
      </c>
      <c r="CE74" s="7">
        <v>-74879</v>
      </c>
      <c r="CF74" s="7">
        <v>-575925</v>
      </c>
      <c r="CG74" s="7">
        <v>-615650</v>
      </c>
      <c r="CH74" s="7">
        <v>-397477</v>
      </c>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row>
    <row r="75" spans="1:166">
      <c r="A75" s="7" t="s">
        <v>403</v>
      </c>
      <c r="B75" s="7" t="s">
        <v>88</v>
      </c>
      <c r="C75" s="7">
        <v>1000000</v>
      </c>
      <c r="D75" s="7" t="s">
        <v>89</v>
      </c>
      <c r="E75" s="7" t="s">
        <v>404</v>
      </c>
      <c r="F75" s="8" t="s">
        <v>405</v>
      </c>
      <c r="G75" s="7"/>
      <c r="H75" s="7">
        <v>-8</v>
      </c>
      <c r="I75" s="7">
        <v>30</v>
      </c>
      <c r="J75" s="7">
        <v>65</v>
      </c>
      <c r="K75" s="7">
        <v>64</v>
      </c>
      <c r="L75" s="7">
        <v>147</v>
      </c>
      <c r="M75" s="7">
        <v>103</v>
      </c>
      <c r="N75" s="7">
        <v>74</v>
      </c>
      <c r="O75" s="7">
        <v>74</v>
      </c>
      <c r="P75" s="7">
        <v>63</v>
      </c>
      <c r="Q75" s="7">
        <v>108</v>
      </c>
      <c r="R75" s="7">
        <v>133</v>
      </c>
      <c r="S75" s="7">
        <v>94</v>
      </c>
      <c r="T75" s="7">
        <v>77</v>
      </c>
      <c r="U75" s="7">
        <v>151</v>
      </c>
      <c r="V75" s="7">
        <v>192</v>
      </c>
      <c r="W75" s="7">
        <v>240</v>
      </c>
      <c r="X75" s="7">
        <v>216</v>
      </c>
      <c r="Y75" s="7">
        <v>198</v>
      </c>
      <c r="Z75" s="7">
        <v>251</v>
      </c>
      <c r="AA75" s="7">
        <v>371</v>
      </c>
      <c r="AB75" s="7">
        <v>257</v>
      </c>
      <c r="AC75" s="7">
        <v>549</v>
      </c>
      <c r="AD75" s="7">
        <v>614</v>
      </c>
      <c r="AE75" s="7">
        <v>896</v>
      </c>
      <c r="AF75" s="7">
        <v>1099</v>
      </c>
      <c r="AG75" s="7">
        <v>261</v>
      </c>
      <c r="AH75" s="7">
        <v>738</v>
      </c>
      <c r="AI75" s="7">
        <v>2067</v>
      </c>
      <c r="AJ75" s="7">
        <v>3602</v>
      </c>
      <c r="AK75" s="7">
        <v>1745</v>
      </c>
      <c r="AL75" s="7">
        <v>2728</v>
      </c>
      <c r="AM75" s="7">
        <v>2368</v>
      </c>
      <c r="AN75" s="7">
        <v>5492</v>
      </c>
      <c r="AO75" s="7">
        <v>7171</v>
      </c>
      <c r="AP75" s="7">
        <v>10280</v>
      </c>
      <c r="AQ75" s="7">
        <v>15913</v>
      </c>
      <c r="AR75" s="7">
        <v>2673</v>
      </c>
      <c r="AS75" s="7">
        <v>5252</v>
      </c>
      <c r="AT75" s="7">
        <v>12406</v>
      </c>
      <c r="AU75" s="7">
        <v>13279</v>
      </c>
      <c r="AV75" s="7">
        <v>22470</v>
      </c>
      <c r="AW75" s="7">
        <v>29520</v>
      </c>
      <c r="AX75" s="7">
        <v>59684</v>
      </c>
      <c r="AY75" s="7">
        <v>42631</v>
      </c>
      <c r="AZ75" s="7">
        <v>50554</v>
      </c>
      <c r="BA75" s="7">
        <v>5274</v>
      </c>
      <c r="BB75" s="7">
        <v>6025</v>
      </c>
      <c r="BC75" s="7">
        <v>1468</v>
      </c>
      <c r="BD75" s="7">
        <v>39012</v>
      </c>
      <c r="BE75" s="7">
        <v>56000</v>
      </c>
      <c r="BF75" s="7">
        <v>59286</v>
      </c>
      <c r="BG75" s="7">
        <v>76419</v>
      </c>
      <c r="BH75" s="7">
        <v>120049</v>
      </c>
      <c r="BI75" s="7">
        <v>130078</v>
      </c>
      <c r="BJ75" s="7">
        <v>192273</v>
      </c>
      <c r="BK75" s="7">
        <v>90204</v>
      </c>
      <c r="BL75" s="7">
        <v>93819</v>
      </c>
      <c r="BM75" s="7">
        <v>86772</v>
      </c>
      <c r="BN75" s="7">
        <v>102452</v>
      </c>
      <c r="BO75" s="7">
        <v>102275</v>
      </c>
      <c r="BP75" s="7">
        <v>152888</v>
      </c>
      <c r="BQ75" s="7">
        <v>179314</v>
      </c>
      <c r="BR75" s="7">
        <v>174359</v>
      </c>
      <c r="BS75" s="7">
        <v>124203</v>
      </c>
      <c r="BT75" s="7">
        <v>170201</v>
      </c>
      <c r="BU75" s="7">
        <v>164064</v>
      </c>
      <c r="BV75" s="7">
        <v>187148</v>
      </c>
      <c r="BW75" s="7">
        <v>175781</v>
      </c>
      <c r="BX75" s="7">
        <v>130232</v>
      </c>
      <c r="BY75" s="7">
        <v>375650</v>
      </c>
      <c r="BZ75" s="7">
        <v>413256</v>
      </c>
      <c r="CA75" s="7">
        <v>298444</v>
      </c>
      <c r="CB75" s="7">
        <v>235910</v>
      </c>
      <c r="CC75" s="7">
        <v>230747</v>
      </c>
      <c r="CD75" s="7">
        <v>163156</v>
      </c>
      <c r="CE75" s="7">
        <v>386227</v>
      </c>
      <c r="CF75" s="7">
        <v>233369</v>
      </c>
      <c r="CG75" s="7">
        <v>281091</v>
      </c>
      <c r="CH75" s="7">
        <v>234267</v>
      </c>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row>
    <row r="76" spans="1:166">
      <c r="A76" s="7" t="s">
        <v>406</v>
      </c>
      <c r="B76" s="7" t="s">
        <v>88</v>
      </c>
      <c r="C76" s="7">
        <v>1000000</v>
      </c>
      <c r="D76" s="7" t="s">
        <v>89</v>
      </c>
      <c r="E76" s="7" t="s">
        <v>407</v>
      </c>
      <c r="F76" s="8" t="s">
        <v>408</v>
      </c>
      <c r="G76" s="7"/>
      <c r="H76" s="7">
        <v>1179</v>
      </c>
      <c r="I76" s="7">
        <v>1017</v>
      </c>
      <c r="J76" s="7">
        <v>865</v>
      </c>
      <c r="K76" s="7">
        <v>771</v>
      </c>
      <c r="L76" s="7">
        <v>844</v>
      </c>
      <c r="M76" s="7">
        <v>3695</v>
      </c>
      <c r="N76" s="7">
        <v>2552</v>
      </c>
      <c r="O76" s="7">
        <v>3338</v>
      </c>
      <c r="P76" s="7">
        <v>2216</v>
      </c>
      <c r="Q76" s="7">
        <v>1917</v>
      </c>
      <c r="R76" s="7">
        <v>2174</v>
      </c>
      <c r="S76" s="7">
        <v>4097</v>
      </c>
      <c r="T76" s="7">
        <v>2116</v>
      </c>
      <c r="U76" s="7">
        <v>2813</v>
      </c>
      <c r="V76" s="7">
        <v>1024</v>
      </c>
      <c r="W76" s="7">
        <v>-833</v>
      </c>
      <c r="X76" s="7">
        <v>-2759</v>
      </c>
      <c r="Y76" s="7">
        <v>-1494</v>
      </c>
      <c r="Z76" s="7">
        <v>-1087</v>
      </c>
      <c r="AA76" s="7">
        <v>1212</v>
      </c>
      <c r="AB76" s="7">
        <v>3347</v>
      </c>
      <c r="AC76" s="7">
        <v>4959</v>
      </c>
      <c r="AD76" s="7">
        <v>6805</v>
      </c>
      <c r="AE76" s="7">
        <v>11714</v>
      </c>
      <c r="AF76" s="7">
        <v>9643</v>
      </c>
      <c r="AG76" s="7">
        <v>7222</v>
      </c>
      <c r="AH76" s="7">
        <v>-1055</v>
      </c>
      <c r="AI76" s="7">
        <v>5595</v>
      </c>
      <c r="AJ76" s="7">
        <v>7770</v>
      </c>
      <c r="AK76" s="7">
        <v>-8131</v>
      </c>
      <c r="AL76" s="7">
        <v>10261</v>
      </c>
      <c r="AM76" s="7">
        <v>2246</v>
      </c>
      <c r="AN76" s="7">
        <v>17</v>
      </c>
      <c r="AO76" s="7">
        <v>-9748</v>
      </c>
      <c r="AP76" s="7">
        <v>41517</v>
      </c>
      <c r="AQ76" s="7">
        <v>18137</v>
      </c>
      <c r="AR76" s="7">
        <v>-7969</v>
      </c>
      <c r="AS76" s="7">
        <v>45774</v>
      </c>
      <c r="AT76" s="7">
        <v>6441</v>
      </c>
      <c r="AU76" s="7">
        <v>-13922</v>
      </c>
      <c r="AV76" s="7">
        <v>30826</v>
      </c>
      <c r="AW76" s="7">
        <v>39285</v>
      </c>
      <c r="AX76" s="7">
        <v>21419</v>
      </c>
      <c r="AY76" s="7">
        <v>27112</v>
      </c>
      <c r="AZ76" s="7">
        <v>59566</v>
      </c>
      <c r="BA76" s="7">
        <v>35841</v>
      </c>
      <c r="BB76" s="7">
        <v>77308</v>
      </c>
      <c r="BC76" s="7">
        <v>13967</v>
      </c>
      <c r="BD76" s="7">
        <v>-8373</v>
      </c>
      <c r="BE76" s="7">
        <v>81570</v>
      </c>
      <c r="BF76" s="7">
        <v>87364</v>
      </c>
      <c r="BG76" s="7">
        <v>105572</v>
      </c>
      <c r="BH76" s="7">
        <v>112094</v>
      </c>
      <c r="BI76" s="7">
        <v>99751</v>
      </c>
      <c r="BJ76" s="7">
        <v>102234</v>
      </c>
      <c r="BK76" s="7">
        <v>104593</v>
      </c>
      <c r="BL76" s="7">
        <v>84346</v>
      </c>
      <c r="BM76" s="7">
        <v>56681</v>
      </c>
      <c r="BN76" s="7">
        <v>82182</v>
      </c>
      <c r="BO76" s="7">
        <v>91931</v>
      </c>
      <c r="BP76" s="7">
        <v>56429</v>
      </c>
      <c r="BQ76" s="7">
        <v>-1456</v>
      </c>
      <c r="BR76" s="7">
        <v>117595</v>
      </c>
      <c r="BS76" s="7">
        <v>29677</v>
      </c>
      <c r="BT76" s="7">
        <v>-5477</v>
      </c>
      <c r="BU76" s="7">
        <v>-1041</v>
      </c>
      <c r="BV76" s="7">
        <v>-1569</v>
      </c>
      <c r="BW76" s="7">
        <v>122718</v>
      </c>
      <c r="BX76" s="7">
        <v>39592</v>
      </c>
      <c r="BY76" s="7">
        <v>74608</v>
      </c>
      <c r="BZ76" s="7">
        <v>64607</v>
      </c>
      <c r="CA76" s="7">
        <v>-47983</v>
      </c>
      <c r="CB76" s="7">
        <v>41153</v>
      </c>
      <c r="CC76" s="7">
        <v>68756</v>
      </c>
      <c r="CD76" s="7">
        <v>-9288</v>
      </c>
      <c r="CE76" s="7">
        <v>110307</v>
      </c>
      <c r="CF76" s="7">
        <v>151093</v>
      </c>
      <c r="CG76" s="7">
        <v>225492</v>
      </c>
      <c r="CH76" s="7">
        <v>150398</v>
      </c>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row>
    <row r="77" spans="1:166">
      <c r="A77" s="7" t="s">
        <v>409</v>
      </c>
      <c r="B77" s="7" t="s">
        <v>88</v>
      </c>
      <c r="C77" s="7">
        <v>1000000</v>
      </c>
      <c r="D77" s="7" t="s">
        <v>89</v>
      </c>
      <c r="E77" s="7" t="s">
        <v>410</v>
      </c>
      <c r="F77" s="8" t="s">
        <v>411</v>
      </c>
      <c r="G77" s="7"/>
      <c r="H77" s="7">
        <v>0</v>
      </c>
      <c r="I77" s="7">
        <v>0</v>
      </c>
      <c r="J77" s="7">
        <v>0</v>
      </c>
      <c r="K77" s="7">
        <v>0</v>
      </c>
      <c r="L77" s="7">
        <v>0</v>
      </c>
      <c r="M77" s="7">
        <v>0</v>
      </c>
      <c r="N77" s="7">
        <v>160</v>
      </c>
      <c r="O77" s="7">
        <v>31</v>
      </c>
      <c r="P77" s="7">
        <v>33</v>
      </c>
      <c r="Q77" s="7">
        <v>71</v>
      </c>
      <c r="R77" s="7">
        <v>44</v>
      </c>
      <c r="S77" s="7">
        <v>39</v>
      </c>
      <c r="T77" s="7">
        <v>91</v>
      </c>
      <c r="U77" s="7">
        <v>78</v>
      </c>
      <c r="V77" s="7">
        <v>66</v>
      </c>
      <c r="W77" s="7">
        <v>127</v>
      </c>
      <c r="X77" s="7">
        <v>28</v>
      </c>
      <c r="Y77" s="7">
        <v>127</v>
      </c>
      <c r="Z77" s="7">
        <v>154</v>
      </c>
      <c r="AA77" s="7">
        <v>154</v>
      </c>
      <c r="AB77" s="7">
        <v>46</v>
      </c>
      <c r="AC77" s="7">
        <v>221</v>
      </c>
      <c r="AD77" s="7">
        <v>201</v>
      </c>
      <c r="AE77" s="7">
        <v>39</v>
      </c>
      <c r="AF77" s="7">
        <v>148</v>
      </c>
      <c r="AG77" s="7">
        <v>341</v>
      </c>
      <c r="AH77" s="7">
        <v>523</v>
      </c>
      <c r="AI77" s="7">
        <v>-25</v>
      </c>
      <c r="AJ77" s="7">
        <v>-27</v>
      </c>
      <c r="AK77" s="7">
        <v>995</v>
      </c>
      <c r="AL77" s="7">
        <v>465</v>
      </c>
      <c r="AM77" s="7">
        <v>329</v>
      </c>
      <c r="AN77" s="7">
        <v>811</v>
      </c>
      <c r="AO77" s="7">
        <v>926</v>
      </c>
      <c r="AP77" s="7">
        <v>1370</v>
      </c>
      <c r="AQ77" s="7">
        <v>387</v>
      </c>
      <c r="AR77" s="7">
        <v>1918</v>
      </c>
      <c r="AS77" s="7">
        <v>2140</v>
      </c>
      <c r="AT77" s="7">
        <v>902</v>
      </c>
      <c r="AU77" s="7">
        <v>5794</v>
      </c>
      <c r="AV77" s="7">
        <v>35</v>
      </c>
      <c r="AW77" s="7">
        <v>1508</v>
      </c>
      <c r="AX77" s="7">
        <v>-1238</v>
      </c>
      <c r="AY77" s="7">
        <v>7268</v>
      </c>
      <c r="AZ77" s="7">
        <v>6051</v>
      </c>
      <c r="BA77" s="7">
        <v>12072</v>
      </c>
      <c r="BB77" s="7">
        <v>9918</v>
      </c>
      <c r="BC77" s="7">
        <v>12315</v>
      </c>
      <c r="BD77" s="7">
        <v>11689</v>
      </c>
      <c r="BE77" s="7">
        <v>5432</v>
      </c>
      <c r="BF77" s="7">
        <v>5428</v>
      </c>
      <c r="BG77" s="7">
        <v>8387</v>
      </c>
      <c r="BH77" s="7">
        <v>12881</v>
      </c>
      <c r="BI77" s="7">
        <v>-18370</v>
      </c>
      <c r="BJ77" s="7">
        <v>-19092</v>
      </c>
      <c r="BK77" s="7">
        <v>-24583</v>
      </c>
      <c r="BL77" s="7">
        <v>1525</v>
      </c>
      <c r="BM77" s="7">
        <v>-169</v>
      </c>
      <c r="BN77" s="7">
        <v>-3116</v>
      </c>
      <c r="BO77" s="7">
        <v>-1885</v>
      </c>
      <c r="BP77" s="7">
        <v>1982</v>
      </c>
      <c r="BQ77" s="7">
        <v>4541</v>
      </c>
      <c r="BR77" s="7">
        <v>14738</v>
      </c>
      <c r="BS77" s="7">
        <v>-8605</v>
      </c>
      <c r="BT77" s="7">
        <v>15383</v>
      </c>
      <c r="BU77" s="7">
        <v>2960</v>
      </c>
      <c r="BV77" s="7">
        <v>-12321</v>
      </c>
      <c r="BW77" s="7">
        <v>-2472</v>
      </c>
      <c r="BX77" s="7">
        <v>-2865</v>
      </c>
      <c r="BY77" s="7">
        <v>15162</v>
      </c>
      <c r="BZ77" s="7">
        <v>8824</v>
      </c>
      <c r="CA77" s="7">
        <v>19166</v>
      </c>
      <c r="CB77" s="7">
        <v>-34555</v>
      </c>
      <c r="CC77" s="7">
        <v>-4576</v>
      </c>
      <c r="CD77" s="7">
        <v>-2741</v>
      </c>
      <c r="CE77" s="7">
        <v>-6508</v>
      </c>
      <c r="CF77" s="7">
        <v>2371</v>
      </c>
      <c r="CG77" s="7">
        <v>4096</v>
      </c>
      <c r="CH77" s="7">
        <v>3776</v>
      </c>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row>
    <row r="78" spans="1:166">
      <c r="A78" s="7" t="s">
        <v>412</v>
      </c>
      <c r="B78" s="7" t="s">
        <v>88</v>
      </c>
      <c r="C78" s="7">
        <v>1000000</v>
      </c>
      <c r="D78" s="7" t="s">
        <v>89</v>
      </c>
      <c r="E78" s="7" t="s">
        <v>413</v>
      </c>
      <c r="F78" s="8" t="s">
        <v>414</v>
      </c>
      <c r="G78" s="7"/>
      <c r="H78" s="7">
        <v>1179</v>
      </c>
      <c r="I78" s="7">
        <v>1017</v>
      </c>
      <c r="J78" s="7">
        <v>865</v>
      </c>
      <c r="K78" s="7">
        <v>771</v>
      </c>
      <c r="L78" s="7">
        <v>844</v>
      </c>
      <c r="M78" s="7">
        <v>3695</v>
      </c>
      <c r="N78" s="7">
        <v>2392</v>
      </c>
      <c r="O78" s="7">
        <v>3307</v>
      </c>
      <c r="P78" s="7">
        <v>2183</v>
      </c>
      <c r="Q78" s="7">
        <v>1846</v>
      </c>
      <c r="R78" s="7">
        <v>2130</v>
      </c>
      <c r="S78" s="7">
        <v>4058</v>
      </c>
      <c r="T78" s="7">
        <v>2025</v>
      </c>
      <c r="U78" s="7">
        <v>2735</v>
      </c>
      <c r="V78" s="7">
        <v>958</v>
      </c>
      <c r="W78" s="7">
        <v>-960</v>
      </c>
      <c r="X78" s="7">
        <v>-2787</v>
      </c>
      <c r="Y78" s="7">
        <v>-1621</v>
      </c>
      <c r="Z78" s="7">
        <v>-1241</v>
      </c>
      <c r="AA78" s="7">
        <v>1058</v>
      </c>
      <c r="AB78" s="7">
        <v>3301</v>
      </c>
      <c r="AC78" s="7">
        <v>4738</v>
      </c>
      <c r="AD78" s="7">
        <v>6604</v>
      </c>
      <c r="AE78" s="7">
        <v>11675</v>
      </c>
      <c r="AF78" s="7">
        <v>9495</v>
      </c>
      <c r="AG78" s="7">
        <v>6881</v>
      </c>
      <c r="AH78" s="7">
        <v>-1578</v>
      </c>
      <c r="AI78" s="7">
        <v>5620</v>
      </c>
      <c r="AJ78" s="7">
        <v>7797</v>
      </c>
      <c r="AK78" s="7">
        <v>-9126</v>
      </c>
      <c r="AL78" s="7">
        <v>9796</v>
      </c>
      <c r="AM78" s="7">
        <v>1917</v>
      </c>
      <c r="AN78" s="7">
        <v>-794</v>
      </c>
      <c r="AO78" s="7">
        <v>-10674</v>
      </c>
      <c r="AP78" s="7">
        <v>40147</v>
      </c>
      <c r="AQ78" s="7">
        <v>17750</v>
      </c>
      <c r="AR78" s="7">
        <v>-9887</v>
      </c>
      <c r="AS78" s="7">
        <v>43634</v>
      </c>
      <c r="AT78" s="7">
        <v>5539</v>
      </c>
      <c r="AU78" s="7">
        <v>-19716</v>
      </c>
      <c r="AV78" s="7">
        <v>30791</v>
      </c>
      <c r="AW78" s="7">
        <v>37777</v>
      </c>
      <c r="AX78" s="7">
        <v>22657</v>
      </c>
      <c r="AY78" s="7">
        <v>19844</v>
      </c>
      <c r="AZ78" s="7">
        <v>53515</v>
      </c>
      <c r="BA78" s="7">
        <v>23769</v>
      </c>
      <c r="BB78" s="7">
        <v>67390</v>
      </c>
      <c r="BC78" s="7">
        <v>1652</v>
      </c>
      <c r="BD78" s="7">
        <v>-20062</v>
      </c>
      <c r="BE78" s="7">
        <v>76138</v>
      </c>
      <c r="BF78" s="7">
        <v>81936</v>
      </c>
      <c r="BG78" s="7">
        <v>97185</v>
      </c>
      <c r="BH78" s="7">
        <v>99213</v>
      </c>
      <c r="BI78" s="7">
        <v>118121</v>
      </c>
      <c r="BJ78" s="7">
        <v>121326</v>
      </c>
      <c r="BK78" s="7">
        <v>129176</v>
      </c>
      <c r="BL78" s="7">
        <v>82821</v>
      </c>
      <c r="BM78" s="7">
        <v>56850</v>
      </c>
      <c r="BN78" s="7">
        <v>85298</v>
      </c>
      <c r="BO78" s="7">
        <v>93816</v>
      </c>
      <c r="BP78" s="7">
        <v>54447</v>
      </c>
      <c r="BQ78" s="7">
        <v>-5997</v>
      </c>
      <c r="BR78" s="7">
        <v>102857</v>
      </c>
      <c r="BS78" s="7">
        <v>38282</v>
      </c>
      <c r="BT78" s="7">
        <v>-20860</v>
      </c>
      <c r="BU78" s="7">
        <v>-4001</v>
      </c>
      <c r="BV78" s="7">
        <v>10752</v>
      </c>
      <c r="BW78" s="7">
        <v>125190</v>
      </c>
      <c r="BX78" s="7">
        <v>42457</v>
      </c>
      <c r="BY78" s="7">
        <v>59446</v>
      </c>
      <c r="BZ78" s="7">
        <v>55783</v>
      </c>
      <c r="CA78" s="7">
        <v>-67149</v>
      </c>
      <c r="CB78" s="7">
        <v>75708</v>
      </c>
      <c r="CC78" s="7">
        <v>73332</v>
      </c>
      <c r="CD78" s="7">
        <v>-6547</v>
      </c>
      <c r="CE78" s="7">
        <v>116815</v>
      </c>
      <c r="CF78" s="7">
        <v>148722</v>
      </c>
      <c r="CG78" s="7">
        <v>221396</v>
      </c>
      <c r="CH78" s="7">
        <v>146622</v>
      </c>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row>
    <row r="79" spans="1:166">
      <c r="A79" s="7" t="s">
        <v>415</v>
      </c>
      <c r="B79" s="7" t="s">
        <v>88</v>
      </c>
      <c r="C79" s="7">
        <v>1000000</v>
      </c>
      <c r="D79" s="7" t="s">
        <v>89</v>
      </c>
      <c r="E79" s="7" t="s">
        <v>416</v>
      </c>
      <c r="F79" s="8" t="s">
        <v>417</v>
      </c>
      <c r="G79" s="7"/>
      <c r="H79" s="7">
        <v>5830</v>
      </c>
      <c r="I79" s="7">
        <v>7177</v>
      </c>
      <c r="J79" s="7">
        <v>4038</v>
      </c>
      <c r="K79" s="7">
        <v>-819</v>
      </c>
      <c r="L79" s="7">
        <v>17843</v>
      </c>
      <c r="M79" s="7">
        <v>23234</v>
      </c>
      <c r="N79" s="7">
        <v>-4944</v>
      </c>
      <c r="O79" s="7">
        <v>-3361</v>
      </c>
      <c r="P79" s="7">
        <v>48716</v>
      </c>
      <c r="Q79" s="7">
        <v>61088</v>
      </c>
      <c r="R79" s="7">
        <v>24288</v>
      </c>
      <c r="S79" s="7">
        <v>-25447</v>
      </c>
      <c r="T79" s="7">
        <v>79052</v>
      </c>
      <c r="U79" s="7">
        <v>43459</v>
      </c>
      <c r="V79" s="7">
        <v>2999</v>
      </c>
      <c r="W79" s="7">
        <v>75380</v>
      </c>
      <c r="X79" s="7">
        <v>4674</v>
      </c>
      <c r="Y79" s="7">
        <v>9578</v>
      </c>
      <c r="Z79" s="7">
        <v>8063</v>
      </c>
      <c r="AA79" s="7">
        <v>14731</v>
      </c>
      <c r="AB79" s="7">
        <v>8997</v>
      </c>
      <c r="AC79" s="7">
        <v>5186</v>
      </c>
      <c r="AD79" s="7">
        <v>16988</v>
      </c>
      <c r="AE79" s="7">
        <v>21100</v>
      </c>
      <c r="AF79" s="7">
        <v>-2360</v>
      </c>
      <c r="AG79" s="7">
        <v>16701</v>
      </c>
      <c r="AH79" s="7">
        <v>26733</v>
      </c>
      <c r="AI79" s="7">
        <v>35603</v>
      </c>
      <c r="AJ79" s="7">
        <v>37209</v>
      </c>
      <c r="AK79" s="7">
        <v>38333</v>
      </c>
      <c r="AL79" s="7">
        <v>56222</v>
      </c>
      <c r="AM79" s="7">
        <v>70740</v>
      </c>
      <c r="AN79" s="7">
        <v>115058</v>
      </c>
      <c r="AO79" s="7">
        <v>167857</v>
      </c>
      <c r="AP79" s="7">
        <v>148138</v>
      </c>
      <c r="AQ79" s="7">
        <v>152160</v>
      </c>
      <c r="AR79" s="7">
        <v>57511</v>
      </c>
      <c r="AS79" s="7">
        <v>56653</v>
      </c>
      <c r="AT79" s="7">
        <v>105321</v>
      </c>
      <c r="AU79" s="7">
        <v>185605</v>
      </c>
      <c r="AV79" s="7">
        <v>-45021</v>
      </c>
      <c r="AW79" s="7">
        <v>84948</v>
      </c>
      <c r="AX79" s="7">
        <v>183882</v>
      </c>
      <c r="AY79" s="7">
        <v>147146</v>
      </c>
      <c r="AZ79" s="7">
        <v>48239</v>
      </c>
      <c r="BA79" s="7">
        <v>150074</v>
      </c>
      <c r="BB79" s="7">
        <v>256415</v>
      </c>
      <c r="BC79" s="7">
        <v>115711</v>
      </c>
      <c r="BD79" s="7">
        <v>34202</v>
      </c>
      <c r="BE79" s="7">
        <v>188682</v>
      </c>
      <c r="BF79" s="7">
        <v>193067</v>
      </c>
      <c r="BG79" s="7">
        <v>-43394</v>
      </c>
      <c r="BH79" s="7">
        <v>403187</v>
      </c>
      <c r="BI79" s="7">
        <v>551462</v>
      </c>
      <c r="BJ79" s="7">
        <v>822198</v>
      </c>
      <c r="BK79" s="7">
        <v>15821</v>
      </c>
      <c r="BL79" s="7">
        <v>134073</v>
      </c>
      <c r="BM79" s="7">
        <v>-17852</v>
      </c>
      <c r="BN79" s="7">
        <v>326973</v>
      </c>
      <c r="BO79" s="7">
        <v>543333</v>
      </c>
      <c r="BP79" s="7">
        <v>187627</v>
      </c>
      <c r="BQ79" s="7">
        <v>387939</v>
      </c>
      <c r="BR79" s="7">
        <v>-18267</v>
      </c>
      <c r="BS79" s="7">
        <v>50722</v>
      </c>
      <c r="BT79" s="7">
        <v>363540</v>
      </c>
      <c r="BU79" s="7">
        <v>302169</v>
      </c>
      <c r="BV79" s="7">
        <v>417555</v>
      </c>
      <c r="BW79" s="7">
        <v>271292</v>
      </c>
      <c r="BX79" s="7">
        <v>617257</v>
      </c>
      <c r="BY79" s="7">
        <v>660561</v>
      </c>
      <c r="BZ79" s="7">
        <v>744534</v>
      </c>
      <c r="CA79" s="7">
        <v>-42559</v>
      </c>
      <c r="CB79" s="7">
        <v>962807</v>
      </c>
      <c r="CC79" s="7">
        <v>1599856</v>
      </c>
      <c r="CD79" s="7">
        <v>-749196</v>
      </c>
      <c r="CE79" s="7">
        <v>374860</v>
      </c>
      <c r="CF79" s="7">
        <v>2327744</v>
      </c>
      <c r="CG79" s="7">
        <v>1282957</v>
      </c>
      <c r="CH79" s="7">
        <v>18750</v>
      </c>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row>
    <row r="80" spans="1:166">
      <c r="A80" s="7" t="s">
        <v>418</v>
      </c>
      <c r="B80" s="7" t="s">
        <v>88</v>
      </c>
      <c r="C80" s="7">
        <v>1000000</v>
      </c>
      <c r="D80" s="7" t="s">
        <v>89</v>
      </c>
      <c r="E80" s="7" t="s">
        <v>419</v>
      </c>
      <c r="F80" s="8" t="s">
        <v>420</v>
      </c>
      <c r="G80" s="7"/>
      <c r="H80" s="7">
        <v>6344</v>
      </c>
      <c r="I80" s="7">
        <v>3351</v>
      </c>
      <c r="J80" s="7">
        <v>1588</v>
      </c>
      <c r="K80" s="7">
        <v>-262</v>
      </c>
      <c r="L80" s="7">
        <v>7973</v>
      </c>
      <c r="M80" s="7">
        <v>-378</v>
      </c>
      <c r="N80" s="7">
        <v>761</v>
      </c>
      <c r="O80" s="7">
        <v>-277</v>
      </c>
      <c r="P80" s="7">
        <v>2032</v>
      </c>
      <c r="Q80" s="7">
        <v>9042</v>
      </c>
      <c r="R80" s="7">
        <v>4118</v>
      </c>
      <c r="S80" s="7">
        <v>1586</v>
      </c>
      <c r="T80" s="7">
        <v>4232</v>
      </c>
      <c r="U80" s="7">
        <v>5290</v>
      </c>
      <c r="V80" s="7">
        <v>2835</v>
      </c>
      <c r="W80" s="7">
        <v>5239</v>
      </c>
      <c r="X80" s="7">
        <v>2935</v>
      </c>
      <c r="Y80" s="7">
        <v>7365</v>
      </c>
      <c r="Z80" s="7">
        <v>6959</v>
      </c>
      <c r="AA80" s="7">
        <v>11721</v>
      </c>
      <c r="AB80" s="7">
        <v>9118</v>
      </c>
      <c r="AC80" s="7">
        <v>5923</v>
      </c>
      <c r="AD80" s="7">
        <v>16490</v>
      </c>
      <c r="AE80" s="7">
        <v>19517</v>
      </c>
      <c r="AF80" s="7">
        <v>7872</v>
      </c>
      <c r="AG80" s="7">
        <v>13626</v>
      </c>
      <c r="AH80" s="7">
        <v>23145</v>
      </c>
      <c r="AI80" s="7">
        <v>38055</v>
      </c>
      <c r="AJ80" s="7">
        <v>26396</v>
      </c>
      <c r="AK80" s="7">
        <v>9581</v>
      </c>
      <c r="AL80" s="7">
        <v>18808</v>
      </c>
      <c r="AM80" s="7">
        <v>31867</v>
      </c>
      <c r="AN80" s="7">
        <v>40788</v>
      </c>
      <c r="AO80" s="7">
        <v>55555</v>
      </c>
      <c r="AP80" s="7">
        <v>29142</v>
      </c>
      <c r="AQ80" s="7">
        <v>26903</v>
      </c>
      <c r="AR80" s="7">
        <v>10740</v>
      </c>
      <c r="AS80" s="7">
        <v>7831</v>
      </c>
      <c r="AT80" s="7">
        <v>34682</v>
      </c>
      <c r="AU80" s="7">
        <v>42977</v>
      </c>
      <c r="AV80" s="7">
        <v>-1682</v>
      </c>
      <c r="AW80" s="7">
        <v>44385</v>
      </c>
      <c r="AX80" s="7">
        <v>53740</v>
      </c>
      <c r="AY80" s="7">
        <v>21805</v>
      </c>
      <c r="AZ80" s="7">
        <v>28409</v>
      </c>
      <c r="BA80" s="7">
        <v>23105</v>
      </c>
      <c r="BB80" s="7">
        <v>33402</v>
      </c>
      <c r="BC80" s="7">
        <v>36441</v>
      </c>
      <c r="BD80" s="7">
        <v>77272</v>
      </c>
      <c r="BE80" s="7">
        <v>80968</v>
      </c>
      <c r="BF80" s="7">
        <v>49513</v>
      </c>
      <c r="BG80" s="7">
        <v>65078</v>
      </c>
      <c r="BH80" s="7">
        <v>57607</v>
      </c>
      <c r="BI80" s="7">
        <v>178474</v>
      </c>
      <c r="BJ80" s="7">
        <v>313252</v>
      </c>
      <c r="BK80" s="7">
        <v>-103731</v>
      </c>
      <c r="BL80" s="7">
        <v>19721</v>
      </c>
      <c r="BM80" s="7">
        <v>-54732</v>
      </c>
      <c r="BN80" s="7">
        <v>97256</v>
      </c>
      <c r="BO80" s="7">
        <v>199446</v>
      </c>
      <c r="BP80" s="7">
        <v>110348</v>
      </c>
      <c r="BQ80" s="7">
        <v>85903</v>
      </c>
      <c r="BR80" s="7">
        <v>-229921</v>
      </c>
      <c r="BS80" s="7">
        <v>-86928</v>
      </c>
      <c r="BT80" s="7">
        <v>156864</v>
      </c>
      <c r="BU80" s="7">
        <v>23705</v>
      </c>
      <c r="BV80" s="7">
        <v>68072</v>
      </c>
      <c r="BW80" s="7">
        <v>100522</v>
      </c>
      <c r="BX80" s="7">
        <v>148547</v>
      </c>
      <c r="BY80" s="7">
        <v>24341</v>
      </c>
      <c r="BZ80" s="7">
        <v>184231</v>
      </c>
      <c r="CA80" s="7">
        <v>81344</v>
      </c>
      <c r="CB80" s="7">
        <v>320692</v>
      </c>
      <c r="CC80" s="7">
        <v>230122</v>
      </c>
      <c r="CD80" s="7">
        <v>-155882</v>
      </c>
      <c r="CE80" s="7">
        <v>429772</v>
      </c>
      <c r="CF80" s="7">
        <v>400918</v>
      </c>
      <c r="CG80" s="7">
        <v>256958</v>
      </c>
      <c r="CH80" s="7">
        <v>103895</v>
      </c>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row>
    <row r="81" spans="1:166">
      <c r="A81" s="7" t="s">
        <v>421</v>
      </c>
      <c r="B81" s="7" t="s">
        <v>88</v>
      </c>
      <c r="C81" s="7">
        <v>1000000</v>
      </c>
      <c r="D81" s="7" t="s">
        <v>89</v>
      </c>
      <c r="E81" s="7" t="s">
        <v>422</v>
      </c>
      <c r="F81" s="8" t="s">
        <v>423</v>
      </c>
      <c r="G81" s="7"/>
      <c r="H81" s="7">
        <v>-1958</v>
      </c>
      <c r="I81" s="7">
        <v>2186</v>
      </c>
      <c r="J81" s="7">
        <v>775</v>
      </c>
      <c r="K81" s="7">
        <v>-2302</v>
      </c>
      <c r="L81" s="7">
        <v>7255</v>
      </c>
      <c r="M81" s="7">
        <v>4476</v>
      </c>
      <c r="N81" s="7">
        <v>-3156</v>
      </c>
      <c r="O81" s="7">
        <v>605</v>
      </c>
      <c r="P81" s="7">
        <v>-3219</v>
      </c>
      <c r="Q81" s="7">
        <v>3663</v>
      </c>
      <c r="R81" s="7">
        <v>-1676</v>
      </c>
      <c r="S81" s="7">
        <v>-2133</v>
      </c>
      <c r="T81" s="7">
        <v>-2595</v>
      </c>
      <c r="U81" s="7">
        <v>2124</v>
      </c>
      <c r="V81" s="7">
        <v>-1590</v>
      </c>
      <c r="W81" s="7">
        <v>621</v>
      </c>
      <c r="X81" s="7">
        <v>1081</v>
      </c>
      <c r="Y81" s="7">
        <v>1389</v>
      </c>
      <c r="Z81" s="7">
        <v>467</v>
      </c>
      <c r="AA81" s="7">
        <v>2083</v>
      </c>
      <c r="AB81" s="7">
        <v>-880</v>
      </c>
      <c r="AC81" s="7">
        <v>-4189</v>
      </c>
      <c r="AD81" s="7">
        <v>1105</v>
      </c>
      <c r="AE81" s="7">
        <v>-1702</v>
      </c>
      <c r="AF81" s="7">
        <v>-2632</v>
      </c>
      <c r="AG81" s="7">
        <v>3090</v>
      </c>
      <c r="AH81" s="7">
        <v>2435</v>
      </c>
      <c r="AI81" s="7">
        <v>3784</v>
      </c>
      <c r="AJ81" s="7">
        <v>7357</v>
      </c>
      <c r="AK81" s="7">
        <v>-2224</v>
      </c>
      <c r="AL81" s="7">
        <v>5498</v>
      </c>
      <c r="AM81" s="7">
        <v>1344</v>
      </c>
      <c r="AN81" s="7">
        <v>4921</v>
      </c>
      <c r="AO81" s="7">
        <v>6931</v>
      </c>
      <c r="AP81" s="7">
        <v>2878</v>
      </c>
      <c r="AQ81" s="7">
        <v>-4000</v>
      </c>
      <c r="AR81" s="7">
        <v>-4279</v>
      </c>
      <c r="AS81" s="7">
        <v>3061</v>
      </c>
      <c r="AT81" s="7">
        <v>3521</v>
      </c>
      <c r="AU81" s="7">
        <v>-3158</v>
      </c>
      <c r="AV81" s="7">
        <v>3775</v>
      </c>
      <c r="AW81" s="7">
        <v>5082</v>
      </c>
      <c r="AX81" s="7">
        <v>-3495</v>
      </c>
      <c r="AY81" s="7">
        <v>-6082</v>
      </c>
      <c r="AZ81" s="7">
        <v>13</v>
      </c>
      <c r="BA81" s="7">
        <v>-9410</v>
      </c>
      <c r="BB81" s="7">
        <v>6452</v>
      </c>
      <c r="BC81" s="7">
        <v>5381</v>
      </c>
      <c r="BD81" s="7">
        <v>-410</v>
      </c>
      <c r="BE81" s="7">
        <v>-6</v>
      </c>
      <c r="BF81" s="7">
        <v>9563</v>
      </c>
      <c r="BG81" s="7">
        <v>9342</v>
      </c>
      <c r="BH81" s="7">
        <v>4844</v>
      </c>
      <c r="BI81" s="7">
        <v>6974</v>
      </c>
      <c r="BJ81" s="7">
        <v>6960</v>
      </c>
      <c r="BK81" s="7">
        <v>3053</v>
      </c>
      <c r="BL81" s="7">
        <v>11909</v>
      </c>
      <c r="BM81" s="7">
        <v>-11732</v>
      </c>
      <c r="BN81" s="7">
        <v>6774</v>
      </c>
      <c r="BO81" s="7">
        <v>-1774</v>
      </c>
      <c r="BP81" s="7">
        <v>-801</v>
      </c>
      <c r="BQ81" s="7">
        <v>-49593</v>
      </c>
      <c r="BR81" s="7">
        <v>3126</v>
      </c>
      <c r="BS81" s="7">
        <v>-3254</v>
      </c>
      <c r="BT81" s="7">
        <v>42698</v>
      </c>
      <c r="BU81" s="7">
        <v>13347</v>
      </c>
      <c r="BV81" s="7">
        <v>1357</v>
      </c>
      <c r="BW81" s="7">
        <v>-9911</v>
      </c>
      <c r="BX81" s="7">
        <v>12218</v>
      </c>
      <c r="BY81" s="7">
        <v>-21203</v>
      </c>
      <c r="BZ81" s="7">
        <v>-8093</v>
      </c>
      <c r="CA81" s="7">
        <v>220441</v>
      </c>
      <c r="CB81" s="7">
        <v>-11297</v>
      </c>
      <c r="CC81" s="7">
        <v>-7519</v>
      </c>
      <c r="CD81" s="7">
        <v>7653</v>
      </c>
      <c r="CE81" s="7">
        <v>-25545</v>
      </c>
      <c r="CF81" s="7">
        <v>15751</v>
      </c>
      <c r="CG81" s="7">
        <v>-15893</v>
      </c>
      <c r="CH81" s="7">
        <v>-10728</v>
      </c>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row>
    <row r="82" spans="1:166">
      <c r="A82" s="7" t="s">
        <v>424</v>
      </c>
      <c r="B82" s="7" t="s">
        <v>88</v>
      </c>
      <c r="C82" s="7">
        <v>1000000</v>
      </c>
      <c r="D82" s="7" t="s">
        <v>89</v>
      </c>
      <c r="E82" s="7" t="s">
        <v>425</v>
      </c>
      <c r="F82" s="8" t="s">
        <v>426</v>
      </c>
      <c r="G82" s="7"/>
      <c r="H82" s="7">
        <v>1444</v>
      </c>
      <c r="I82" s="7">
        <v>1640</v>
      </c>
      <c r="J82" s="7">
        <v>1675</v>
      </c>
      <c r="K82" s="7">
        <v>1745</v>
      </c>
      <c r="L82" s="7">
        <v>2615</v>
      </c>
      <c r="M82" s="7">
        <v>19136</v>
      </c>
      <c r="N82" s="7">
        <v>-2549</v>
      </c>
      <c r="O82" s="7">
        <v>-3688</v>
      </c>
      <c r="P82" s="7">
        <v>49903</v>
      </c>
      <c r="Q82" s="7">
        <v>48383</v>
      </c>
      <c r="R82" s="7">
        <v>21846</v>
      </c>
      <c r="S82" s="7">
        <v>-24900</v>
      </c>
      <c r="T82" s="7">
        <v>77415</v>
      </c>
      <c r="U82" s="7">
        <v>36045</v>
      </c>
      <c r="V82" s="7">
        <v>1754</v>
      </c>
      <c r="W82" s="7">
        <v>69520</v>
      </c>
      <c r="X82" s="7">
        <v>658</v>
      </c>
      <c r="Y82" s="7">
        <v>824</v>
      </c>
      <c r="Z82" s="7">
        <v>637</v>
      </c>
      <c r="AA82" s="7">
        <v>927</v>
      </c>
      <c r="AB82" s="7">
        <v>759</v>
      </c>
      <c r="AC82" s="7">
        <v>3452</v>
      </c>
      <c r="AD82" s="7">
        <v>-607</v>
      </c>
      <c r="AE82" s="7">
        <v>3285</v>
      </c>
      <c r="AF82" s="7">
        <v>-7600</v>
      </c>
      <c r="AG82" s="7">
        <v>-15</v>
      </c>
      <c r="AH82" s="7">
        <v>1152</v>
      </c>
      <c r="AI82" s="7">
        <v>-6236</v>
      </c>
      <c r="AJ82" s="7">
        <v>3456</v>
      </c>
      <c r="AK82" s="7">
        <v>30976</v>
      </c>
      <c r="AL82" s="7">
        <v>31916</v>
      </c>
      <c r="AM82" s="7">
        <v>37529</v>
      </c>
      <c r="AN82" s="7">
        <v>69349</v>
      </c>
      <c r="AO82" s="7">
        <v>105371</v>
      </c>
      <c r="AP82" s="7">
        <v>116118</v>
      </c>
      <c r="AQ82" s="7">
        <v>129257</v>
      </c>
      <c r="AR82" s="7">
        <v>51050</v>
      </c>
      <c r="AS82" s="7">
        <v>45761</v>
      </c>
      <c r="AT82" s="7">
        <v>67118</v>
      </c>
      <c r="AU82" s="7">
        <v>145786</v>
      </c>
      <c r="AV82" s="7">
        <v>-47114</v>
      </c>
      <c r="AW82" s="7">
        <v>35481</v>
      </c>
      <c r="AX82" s="7">
        <v>133637</v>
      </c>
      <c r="AY82" s="7">
        <v>131423</v>
      </c>
      <c r="AZ82" s="7">
        <v>19817</v>
      </c>
      <c r="BA82" s="7">
        <v>136379</v>
      </c>
      <c r="BB82" s="7">
        <v>216561</v>
      </c>
      <c r="BC82" s="7">
        <v>73889</v>
      </c>
      <c r="BD82" s="7">
        <v>-42660</v>
      </c>
      <c r="BE82" s="7">
        <v>107720</v>
      </c>
      <c r="BF82" s="7">
        <v>133991</v>
      </c>
      <c r="BG82" s="7">
        <v>-117814</v>
      </c>
      <c r="BH82" s="7">
        <v>340736</v>
      </c>
      <c r="BI82" s="7">
        <v>366014</v>
      </c>
      <c r="BJ82" s="7">
        <v>501986</v>
      </c>
      <c r="BK82" s="7">
        <v>116499</v>
      </c>
      <c r="BL82" s="7">
        <v>102443</v>
      </c>
      <c r="BM82" s="7">
        <v>48612</v>
      </c>
      <c r="BN82" s="7">
        <v>222943</v>
      </c>
      <c r="BO82" s="7">
        <v>345661</v>
      </c>
      <c r="BP82" s="7">
        <v>78080</v>
      </c>
      <c r="BQ82" s="7">
        <v>351629</v>
      </c>
      <c r="BR82" s="7">
        <v>208529</v>
      </c>
      <c r="BS82" s="7">
        <v>140904</v>
      </c>
      <c r="BT82" s="7">
        <v>163978</v>
      </c>
      <c r="BU82" s="7">
        <v>265117</v>
      </c>
      <c r="BV82" s="7">
        <v>348126</v>
      </c>
      <c r="BW82" s="7">
        <v>180681</v>
      </c>
      <c r="BX82" s="7">
        <v>456492</v>
      </c>
      <c r="BY82" s="7">
        <v>657423</v>
      </c>
      <c r="BZ82" s="7">
        <v>568396</v>
      </c>
      <c r="CA82" s="7">
        <v>-344344</v>
      </c>
      <c r="CB82" s="7">
        <v>653412</v>
      </c>
      <c r="CC82" s="7">
        <v>1377253</v>
      </c>
      <c r="CD82" s="7">
        <v>-600968</v>
      </c>
      <c r="CE82" s="7">
        <v>-29367</v>
      </c>
      <c r="CF82" s="7">
        <v>1911075</v>
      </c>
      <c r="CG82" s="7">
        <v>1041892</v>
      </c>
      <c r="CH82" s="7">
        <v>-74417</v>
      </c>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row>
    <row r="83" spans="1:166">
      <c r="A83" s="7" t="s">
        <v>427</v>
      </c>
      <c r="B83" s="7" t="s">
        <v>88</v>
      </c>
      <c r="C83" s="7">
        <v>1000000</v>
      </c>
      <c r="D83" s="7" t="s">
        <v>89</v>
      </c>
      <c r="E83" s="7" t="s">
        <v>428</v>
      </c>
      <c r="F83" s="8" t="s">
        <v>429</v>
      </c>
      <c r="G83" s="7"/>
      <c r="H83" s="7">
        <v>-14920</v>
      </c>
      <c r="I83" s="7">
        <v>-7477</v>
      </c>
      <c r="J83" s="7">
        <v>-6542</v>
      </c>
      <c r="K83" s="7">
        <v>1110</v>
      </c>
      <c r="L83" s="7">
        <v>-9309</v>
      </c>
      <c r="M83" s="7">
        <v>-29515</v>
      </c>
      <c r="N83" s="7">
        <v>-836</v>
      </c>
      <c r="O83" s="7">
        <v>-2665</v>
      </c>
      <c r="P83" s="7">
        <v>-50682</v>
      </c>
      <c r="Q83" s="7">
        <v>-55954</v>
      </c>
      <c r="R83" s="7">
        <v>-33610</v>
      </c>
      <c r="S83" s="7">
        <v>13669</v>
      </c>
      <c r="T83" s="7">
        <v>-79029</v>
      </c>
      <c r="U83" s="7">
        <v>-42034</v>
      </c>
      <c r="V83" s="7">
        <v>-11734</v>
      </c>
      <c r="W83" s="7">
        <v>-70973</v>
      </c>
      <c r="X83" s="7">
        <v>-1097</v>
      </c>
      <c r="Y83" s="7">
        <v>-6699</v>
      </c>
      <c r="Z83" s="7">
        <v>-9445</v>
      </c>
      <c r="AA83" s="7">
        <v>-10481</v>
      </c>
      <c r="AB83" s="7">
        <v>-22283</v>
      </c>
      <c r="AC83" s="7">
        <v>-21212</v>
      </c>
      <c r="AD83" s="7">
        <v>-24591</v>
      </c>
      <c r="AE83" s="7">
        <v>-32552</v>
      </c>
      <c r="AF83" s="7">
        <v>-33214</v>
      </c>
      <c r="AG83" s="7">
        <v>-25824</v>
      </c>
      <c r="AH83" s="7">
        <v>-11268</v>
      </c>
      <c r="AI83" s="7">
        <v>-40662</v>
      </c>
      <c r="AJ83" s="7">
        <v>-46000</v>
      </c>
      <c r="AK83" s="7">
        <v>-35990</v>
      </c>
      <c r="AL83" s="7">
        <v>-48231</v>
      </c>
      <c r="AM83" s="7">
        <v>-43045</v>
      </c>
      <c r="AN83" s="7">
        <v>-67371</v>
      </c>
      <c r="AO83" s="7">
        <v>-75796</v>
      </c>
      <c r="AP83" s="7">
        <v>-138202</v>
      </c>
      <c r="AQ83" s="7">
        <v>-97491</v>
      </c>
      <c r="AR83" s="7">
        <v>-61129</v>
      </c>
      <c r="AS83" s="7">
        <v>-69467</v>
      </c>
      <c r="AT83" s="7">
        <v>14667</v>
      </c>
      <c r="AU83" s="7">
        <v>-62933</v>
      </c>
      <c r="AV83" s="7">
        <v>-23527</v>
      </c>
      <c r="AW83" s="7">
        <v>-41153</v>
      </c>
      <c r="AX83" s="7">
        <v>-24595</v>
      </c>
      <c r="AY83" s="7">
        <v>-114275</v>
      </c>
      <c r="AZ83" s="7">
        <v>-110947</v>
      </c>
      <c r="BA83" s="7">
        <v>-98745</v>
      </c>
      <c r="BB83" s="7">
        <v>-236237</v>
      </c>
      <c r="BC83" s="7">
        <v>4887</v>
      </c>
      <c r="BD83" s="7">
        <v>38150</v>
      </c>
      <c r="BE83" s="7">
        <v>-121424</v>
      </c>
      <c r="BF83" s="7">
        <v>-87834</v>
      </c>
      <c r="BG83" s="7">
        <v>-244223</v>
      </c>
      <c r="BH83" s="7">
        <v>-153473</v>
      </c>
      <c r="BI83" s="7">
        <v>-150436</v>
      </c>
      <c r="BJ83" s="7">
        <v>-3971</v>
      </c>
      <c r="BK83" s="7">
        <v>-48940</v>
      </c>
      <c r="BL83" s="7">
        <v>73480</v>
      </c>
      <c r="BM83" s="7">
        <v>-174250</v>
      </c>
      <c r="BN83" s="7">
        <v>69527</v>
      </c>
      <c r="BO83" s="7">
        <v>155996</v>
      </c>
      <c r="BP83" s="7">
        <v>188315</v>
      </c>
      <c r="BQ83" s="7">
        <v>299767</v>
      </c>
      <c r="BR83" s="7">
        <v>-483212</v>
      </c>
      <c r="BS83" s="7">
        <v>490526</v>
      </c>
      <c r="BT83" s="7">
        <v>265457</v>
      </c>
      <c r="BU83" s="7">
        <v>-120973</v>
      </c>
      <c r="BV83" s="7">
        <v>-448367</v>
      </c>
      <c r="BW83" s="7">
        <v>-68935</v>
      </c>
      <c r="BX83" s="7">
        <v>-405594</v>
      </c>
      <c r="BY83" s="7">
        <v>-143877</v>
      </c>
      <c r="BZ83" s="7">
        <v>-113201</v>
      </c>
      <c r="CA83" s="7">
        <v>294066</v>
      </c>
      <c r="CB83" s="7">
        <v>-63267</v>
      </c>
      <c r="CC83" s="7">
        <v>204359</v>
      </c>
      <c r="CD83" s="7">
        <v>100454</v>
      </c>
      <c r="CE83" s="7">
        <v>12932</v>
      </c>
      <c r="CF83" s="7">
        <v>-48005</v>
      </c>
      <c r="CG83" s="7">
        <v>79061</v>
      </c>
      <c r="CH83" s="7">
        <v>-148818</v>
      </c>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row>
    <row r="84" spans="1:166">
      <c r="A84" s="7" t="s">
        <v>430</v>
      </c>
      <c r="B84" s="7" t="s">
        <v>88</v>
      </c>
      <c r="C84" s="7">
        <v>1000000</v>
      </c>
      <c r="D84" s="7" t="s">
        <v>89</v>
      </c>
      <c r="E84" s="7" t="s">
        <v>431</v>
      </c>
      <c r="F84" s="8" t="s">
        <v>432</v>
      </c>
      <c r="G84" s="7"/>
      <c r="H84" s="7">
        <v>-430</v>
      </c>
      <c r="I84" s="7">
        <v>1504</v>
      </c>
      <c r="J84" s="7">
        <v>-3938</v>
      </c>
      <c r="K84" s="7">
        <v>-7329</v>
      </c>
      <c r="L84" s="7">
        <v>-32</v>
      </c>
      <c r="M84" s="7">
        <v>-19797</v>
      </c>
      <c r="N84" s="7">
        <v>270</v>
      </c>
      <c r="O84" s="7">
        <v>1440</v>
      </c>
      <c r="P84" s="7">
        <v>-53804</v>
      </c>
      <c r="Q84" s="7">
        <v>-53005</v>
      </c>
      <c r="R84" s="7">
        <v>-24553</v>
      </c>
      <c r="S84" s="7">
        <v>18056</v>
      </c>
      <c r="T84" s="7">
        <v>-81831</v>
      </c>
      <c r="U84" s="7">
        <v>-40929</v>
      </c>
      <c r="V84" s="7">
        <v>-10543</v>
      </c>
      <c r="W84" s="7">
        <v>-72174</v>
      </c>
      <c r="X84" s="7">
        <v>-2128</v>
      </c>
      <c r="Y84" s="7">
        <v>-10271</v>
      </c>
      <c r="Z84" s="7">
        <v>-12105</v>
      </c>
      <c r="AA84" s="7">
        <v>-7521</v>
      </c>
      <c r="AB84" s="7">
        <v>-10401</v>
      </c>
      <c r="AC84" s="7">
        <v>-14440</v>
      </c>
      <c r="AD84" s="7">
        <v>-13935</v>
      </c>
      <c r="AE84" s="7">
        <v>-8005</v>
      </c>
      <c r="AF84" s="7">
        <v>-12003</v>
      </c>
      <c r="AG84" s="7">
        <v>-14705</v>
      </c>
      <c r="AH84" s="7">
        <v>2674</v>
      </c>
      <c r="AI84" s="7">
        <v>-1060</v>
      </c>
      <c r="AJ84" s="7">
        <v>114562</v>
      </c>
      <c r="AK84" s="7">
        <v>-193361</v>
      </c>
      <c r="AL84" s="7">
        <v>-47627</v>
      </c>
      <c r="AM84" s="7">
        <v>-21276</v>
      </c>
      <c r="AN84" s="7">
        <v>-21154</v>
      </c>
      <c r="AO84" s="7">
        <v>-2691</v>
      </c>
      <c r="AP84" s="7">
        <v>-54430</v>
      </c>
      <c r="AQ84" s="7">
        <v>-19737</v>
      </c>
      <c r="AR84" s="7">
        <v>-21146</v>
      </c>
      <c r="AS84" s="7">
        <v>-77527</v>
      </c>
      <c r="AT84" s="7">
        <v>8091</v>
      </c>
      <c r="AU84" s="7">
        <v>-38185</v>
      </c>
      <c r="AV84" s="7">
        <v>-57014</v>
      </c>
      <c r="AW84" s="7">
        <v>-53529</v>
      </c>
      <c r="AX84" s="7">
        <v>-12481</v>
      </c>
      <c r="AY84" s="7">
        <v>-78228</v>
      </c>
      <c r="AZ84" s="7">
        <v>-58596</v>
      </c>
      <c r="BA84" s="7">
        <v>-117962</v>
      </c>
      <c r="BB84" s="7">
        <v>-261788</v>
      </c>
      <c r="BC84" s="7">
        <v>13624</v>
      </c>
      <c r="BD84" s="7">
        <v>55435</v>
      </c>
      <c r="BE84" s="7">
        <v>-93208</v>
      </c>
      <c r="BF84" s="7">
        <v>-109386</v>
      </c>
      <c r="BG84" s="7">
        <v>-196729</v>
      </c>
      <c r="BH84" s="7">
        <v>-122515</v>
      </c>
      <c r="BI84" s="7">
        <v>-63835</v>
      </c>
      <c r="BJ84" s="7">
        <v>628815</v>
      </c>
      <c r="BK84" s="7">
        <v>-58630</v>
      </c>
      <c r="BL84" s="7">
        <v>-2182</v>
      </c>
      <c r="BM84" s="7">
        <v>-274083</v>
      </c>
      <c r="BN84" s="7">
        <v>-95464</v>
      </c>
      <c r="BO84" s="7">
        <v>12237</v>
      </c>
      <c r="BP84" s="7">
        <v>89460</v>
      </c>
      <c r="BQ84" s="7">
        <v>248024</v>
      </c>
      <c r="BR84" s="7">
        <v>-643917</v>
      </c>
      <c r="BS84" s="7">
        <v>143561</v>
      </c>
      <c r="BT84" s="7">
        <v>-2086587</v>
      </c>
      <c r="BU84" s="7">
        <v>-410743</v>
      </c>
      <c r="BV84" s="7">
        <v>-735189</v>
      </c>
      <c r="BW84" s="7">
        <v>-816099</v>
      </c>
      <c r="BX84" s="7">
        <v>-559098</v>
      </c>
      <c r="BY84" s="7">
        <v>-256555</v>
      </c>
      <c r="BZ84" s="7">
        <v>-265899</v>
      </c>
      <c r="CA84" s="7">
        <v>301636</v>
      </c>
      <c r="CB84" s="7">
        <v>287830</v>
      </c>
      <c r="CC84" s="7">
        <v>-11686</v>
      </c>
      <c r="CD84" s="7">
        <v>-86544</v>
      </c>
      <c r="CE84" s="7">
        <v>-152389</v>
      </c>
      <c r="CF84" s="7">
        <v>514204</v>
      </c>
      <c r="CG84" s="7">
        <v>-155757</v>
      </c>
      <c r="CH84" s="7">
        <v>-183282</v>
      </c>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row>
    <row r="85" spans="1:166">
      <c r="A85" s="7" t="s">
        <v>433</v>
      </c>
      <c r="B85" s="7" t="s">
        <v>88</v>
      </c>
      <c r="C85" s="7">
        <v>1000000</v>
      </c>
      <c r="D85" s="7" t="s">
        <v>89</v>
      </c>
      <c r="E85" s="7" t="s">
        <v>434</v>
      </c>
      <c r="F85" s="8" t="s">
        <v>435</v>
      </c>
      <c r="G85" s="7"/>
      <c r="H85" s="7">
        <v>70</v>
      </c>
      <c r="I85" s="7">
        <v>90</v>
      </c>
      <c r="J85" s="7">
        <v>116</v>
      </c>
      <c r="K85" s="7">
        <v>199</v>
      </c>
      <c r="L85" s="7">
        <v>269</v>
      </c>
      <c r="M85" s="7">
        <v>272</v>
      </c>
      <c r="N85" s="7">
        <v>252</v>
      </c>
      <c r="O85" s="7">
        <v>329</v>
      </c>
      <c r="P85" s="7">
        <v>366</v>
      </c>
      <c r="Q85" s="7">
        <v>616</v>
      </c>
      <c r="R85" s="7">
        <v>683</v>
      </c>
      <c r="S85" s="7">
        <v>704</v>
      </c>
      <c r="T85" s="7">
        <v>776</v>
      </c>
      <c r="U85" s="7">
        <v>1089</v>
      </c>
      <c r="V85" s="7">
        <v>654</v>
      </c>
      <c r="W85" s="7">
        <v>728</v>
      </c>
      <c r="X85" s="7">
        <v>843</v>
      </c>
      <c r="Y85" s="7">
        <v>795</v>
      </c>
      <c r="Z85" s="7">
        <v>920</v>
      </c>
      <c r="AA85" s="7">
        <v>775</v>
      </c>
      <c r="AB85" s="7">
        <v>963</v>
      </c>
      <c r="AC85" s="7">
        <v>92</v>
      </c>
      <c r="AD85" s="7">
        <v>-586</v>
      </c>
      <c r="AE85" s="7">
        <v>332</v>
      </c>
      <c r="AF85" s="7">
        <v>-15</v>
      </c>
      <c r="AG85" s="7">
        <v>-86</v>
      </c>
      <c r="AH85" s="7">
        <v>-913</v>
      </c>
      <c r="AI85" s="7">
        <v>-3006</v>
      </c>
      <c r="AJ85" s="7">
        <v>-5265</v>
      </c>
      <c r="AK85" s="7">
        <v>18</v>
      </c>
      <c r="AL85" s="7">
        <v>-2047</v>
      </c>
      <c r="AM85" s="7">
        <v>-1258</v>
      </c>
      <c r="AN85" s="7">
        <v>-206</v>
      </c>
      <c r="AO85" s="7">
        <v>-2914</v>
      </c>
      <c r="AP85" s="7">
        <v>-3716</v>
      </c>
      <c r="AQ85" s="7">
        <v>-5042</v>
      </c>
      <c r="AR85" s="7">
        <v>-3590</v>
      </c>
      <c r="AS85" s="7">
        <v>-5025</v>
      </c>
      <c r="AT85" s="7">
        <v>-3571</v>
      </c>
      <c r="AU85" s="7">
        <v>-765</v>
      </c>
      <c r="AV85" s="7">
        <v>-2242</v>
      </c>
      <c r="AW85" s="7">
        <v>485</v>
      </c>
      <c r="AX85" s="7">
        <v>770</v>
      </c>
      <c r="AY85" s="7">
        <v>-2441</v>
      </c>
      <c r="AZ85" s="7">
        <v>655</v>
      </c>
      <c r="BA85" s="7">
        <v>1736</v>
      </c>
      <c r="BB85" s="7">
        <v>-2057</v>
      </c>
      <c r="BC85" s="7">
        <v>218</v>
      </c>
      <c r="BD85" s="7">
        <v>-4012</v>
      </c>
      <c r="BE85" s="7">
        <v>-6637</v>
      </c>
      <c r="BF85" s="7">
        <v>-3415</v>
      </c>
      <c r="BG85" s="7">
        <v>-7861</v>
      </c>
      <c r="BH85" s="7">
        <v>-4316</v>
      </c>
      <c r="BI85" s="7">
        <v>-506</v>
      </c>
      <c r="BJ85" s="7">
        <v>1173</v>
      </c>
      <c r="BK85" s="7">
        <v>-10155</v>
      </c>
      <c r="BL85" s="7">
        <v>2643</v>
      </c>
      <c r="BM85" s="7">
        <v>2190</v>
      </c>
      <c r="BN85" s="7">
        <v>-7140</v>
      </c>
      <c r="BO85" s="7">
        <v>-23450</v>
      </c>
      <c r="BP85" s="7">
        <v>-13254</v>
      </c>
      <c r="BQ85" s="7">
        <v>-163</v>
      </c>
      <c r="BR85" s="7">
        <v>-23692</v>
      </c>
      <c r="BS85" s="7">
        <v>-6610</v>
      </c>
      <c r="BT85" s="7">
        <v>1080</v>
      </c>
      <c r="BU85" s="7">
        <v>1013</v>
      </c>
      <c r="BV85" s="7">
        <v>-7339</v>
      </c>
      <c r="BW85" s="7">
        <v>-1378</v>
      </c>
      <c r="BX85" s="7">
        <v>-1587</v>
      </c>
      <c r="BY85" s="7">
        <v>-29473</v>
      </c>
      <c r="BZ85" s="7">
        <v>-7264</v>
      </c>
      <c r="CA85" s="7">
        <v>-19856</v>
      </c>
      <c r="CB85" s="7">
        <v>-4523</v>
      </c>
      <c r="CC85" s="7">
        <v>655</v>
      </c>
      <c r="CD85" s="7">
        <v>-49</v>
      </c>
      <c r="CE85" s="7">
        <v>-32543</v>
      </c>
      <c r="CF85" s="7">
        <v>-118459</v>
      </c>
      <c r="CG85" s="7">
        <v>2730</v>
      </c>
      <c r="CH85" s="7">
        <v>-3504</v>
      </c>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row>
    <row r="86" spans="1:166">
      <c r="A86" s="7" t="s">
        <v>436</v>
      </c>
      <c r="B86" s="7" t="s">
        <v>88</v>
      </c>
      <c r="C86" s="7">
        <v>1000000</v>
      </c>
      <c r="D86" s="7" t="s">
        <v>89</v>
      </c>
      <c r="E86" s="7" t="s">
        <v>437</v>
      </c>
      <c r="F86" s="8" t="s">
        <v>438</v>
      </c>
      <c r="G86" s="7"/>
      <c r="H86" s="7">
        <v>370</v>
      </c>
      <c r="I86" s="7">
        <v>-50</v>
      </c>
      <c r="J86" s="7">
        <v>75</v>
      </c>
      <c r="K86" s="7">
        <v>-32</v>
      </c>
      <c r="L86" s="7">
        <v>542</v>
      </c>
      <c r="M86" s="7">
        <v>314</v>
      </c>
      <c r="N86" s="7">
        <v>850</v>
      </c>
      <c r="O86" s="7">
        <v>547</v>
      </c>
      <c r="P86" s="7">
        <v>-152</v>
      </c>
      <c r="Q86" s="7">
        <v>439</v>
      </c>
      <c r="R86" s="7">
        <v>844</v>
      </c>
      <c r="S86" s="7">
        <v>421</v>
      </c>
      <c r="T86" s="7">
        <v>1744</v>
      </c>
      <c r="U86" s="7">
        <v>1012</v>
      </c>
      <c r="V86" s="7">
        <v>1105</v>
      </c>
      <c r="W86" s="7">
        <v>1101</v>
      </c>
      <c r="X86" s="7">
        <v>1801</v>
      </c>
      <c r="Y86" s="7">
        <v>1933</v>
      </c>
      <c r="Z86" s="7">
        <v>1609</v>
      </c>
      <c r="AA86" s="7">
        <v>2695</v>
      </c>
      <c r="AB86" s="7">
        <v>1815</v>
      </c>
      <c r="AC86" s="7">
        <v>1682</v>
      </c>
      <c r="AD86" s="7">
        <v>1215</v>
      </c>
      <c r="AE86" s="7">
        <v>3661</v>
      </c>
      <c r="AF86" s="7">
        <v>659</v>
      </c>
      <c r="AG86" s="7">
        <v>358</v>
      </c>
      <c r="AH86" s="7">
        <v>2217</v>
      </c>
      <c r="AI86" s="7">
        <v>4208</v>
      </c>
      <c r="AJ86" s="7">
        <v>88245</v>
      </c>
      <c r="AK86" s="7">
        <v>-150248</v>
      </c>
      <c r="AL86" s="7">
        <v>-13668</v>
      </c>
      <c r="AM86" s="7">
        <v>1122</v>
      </c>
      <c r="AN86" s="7">
        <v>881</v>
      </c>
      <c r="AO86" s="7">
        <v>2024</v>
      </c>
      <c r="AP86" s="7">
        <v>2347</v>
      </c>
      <c r="AQ86" s="7">
        <v>4555</v>
      </c>
      <c r="AR86" s="7">
        <v>41592</v>
      </c>
      <c r="AS86" s="7">
        <v>-106</v>
      </c>
      <c r="AT86" s="7">
        <v>-46679</v>
      </c>
      <c r="AU86" s="7">
        <v>28542</v>
      </c>
      <c r="AV86" s="7">
        <v>-42153</v>
      </c>
      <c r="AW86" s="7">
        <v>-30097</v>
      </c>
      <c r="AX86" s="7">
        <v>71</v>
      </c>
      <c r="AY86" s="7">
        <v>-12482</v>
      </c>
      <c r="AZ86" s="7">
        <v>-2418</v>
      </c>
      <c r="BA86" s="7">
        <v>-12609</v>
      </c>
      <c r="BB86" s="7">
        <v>-36031</v>
      </c>
      <c r="BC86" s="7">
        <v>-11590</v>
      </c>
      <c r="BD86" s="7">
        <v>-14426</v>
      </c>
      <c r="BE86" s="7">
        <v>-11397</v>
      </c>
      <c r="BF86" s="7">
        <v>-17124</v>
      </c>
      <c r="BG86" s="7">
        <v>6901</v>
      </c>
      <c r="BH86" s="7">
        <v>-76826</v>
      </c>
      <c r="BI86" s="7">
        <v>-57939</v>
      </c>
      <c r="BJ86" s="7">
        <v>372524</v>
      </c>
      <c r="BK86" s="7">
        <v>-82103</v>
      </c>
      <c r="BL86" s="7">
        <v>-9743</v>
      </c>
      <c r="BM86" s="7">
        <v>-1951</v>
      </c>
      <c r="BN86" s="7">
        <v>-86430</v>
      </c>
      <c r="BO86" s="7">
        <v>1065</v>
      </c>
      <c r="BP86" s="7">
        <v>-82441</v>
      </c>
      <c r="BQ86" s="7">
        <v>-107039</v>
      </c>
      <c r="BR86" s="7">
        <v>-155234</v>
      </c>
      <c r="BS86" s="7">
        <v>41734</v>
      </c>
      <c r="BT86" s="7">
        <v>-1995730</v>
      </c>
      <c r="BU86" s="7">
        <v>-10140</v>
      </c>
      <c r="BV86" s="7">
        <v>-72213</v>
      </c>
      <c r="BW86" s="7">
        <v>-467522</v>
      </c>
      <c r="BX86" s="7">
        <v>-25474</v>
      </c>
      <c r="BY86" s="7">
        <v>-21949</v>
      </c>
      <c r="BZ86" s="7">
        <v>-107786</v>
      </c>
      <c r="CA86" s="7">
        <v>-135917</v>
      </c>
      <c r="CB86" s="7">
        <v>321080</v>
      </c>
      <c r="CC86" s="7">
        <v>-158633</v>
      </c>
      <c r="CD86" s="7">
        <v>31971</v>
      </c>
      <c r="CE86" s="7">
        <v>-178056</v>
      </c>
      <c r="CF86" s="7">
        <v>303719</v>
      </c>
      <c r="CG86" s="7">
        <v>-168860</v>
      </c>
      <c r="CH86" s="7">
        <v>-53521</v>
      </c>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row>
    <row r="87" spans="1:166">
      <c r="A87" s="7" t="s">
        <v>439</v>
      </c>
      <c r="B87" s="7" t="s">
        <v>88</v>
      </c>
      <c r="C87" s="7">
        <v>1000000</v>
      </c>
      <c r="D87" s="7" t="s">
        <v>89</v>
      </c>
      <c r="E87" s="7" t="s">
        <v>440</v>
      </c>
      <c r="F87" s="8" t="s">
        <v>441</v>
      </c>
      <c r="G87" s="7"/>
      <c r="H87" s="7">
        <v>6133</v>
      </c>
      <c r="I87" s="7">
        <v>4435</v>
      </c>
      <c r="J87" s="7">
        <v>6281</v>
      </c>
      <c r="K87" s="7">
        <v>5640</v>
      </c>
      <c r="L87" s="7">
        <v>5808</v>
      </c>
      <c r="M87" s="7">
        <v>21582</v>
      </c>
      <c r="N87" s="7">
        <v>-149</v>
      </c>
      <c r="O87" s="7">
        <v>433</v>
      </c>
      <c r="P87" s="7">
        <v>54336</v>
      </c>
      <c r="Q87" s="7">
        <v>55796</v>
      </c>
      <c r="R87" s="7">
        <v>28773</v>
      </c>
      <c r="S87" s="7">
        <v>-15392</v>
      </c>
      <c r="T87" s="7">
        <v>84606</v>
      </c>
      <c r="U87" s="7">
        <v>43307</v>
      </c>
      <c r="V87" s="7">
        <v>12475</v>
      </c>
      <c r="W87" s="7">
        <v>73732</v>
      </c>
      <c r="X87" s="7">
        <v>4746</v>
      </c>
      <c r="Y87" s="7">
        <v>12945</v>
      </c>
      <c r="Z87" s="7">
        <v>15128</v>
      </c>
      <c r="AA87" s="7">
        <v>12236</v>
      </c>
      <c r="AB87" s="7">
        <v>15286</v>
      </c>
      <c r="AC87" s="7">
        <v>17768</v>
      </c>
      <c r="AD87" s="7">
        <v>18215</v>
      </c>
      <c r="AE87" s="7">
        <v>17868</v>
      </c>
      <c r="AF87" s="7">
        <v>19199</v>
      </c>
      <c r="AG87" s="7">
        <v>19561</v>
      </c>
      <c r="AH87" s="7">
        <v>5241</v>
      </c>
      <c r="AI87" s="7">
        <v>21831</v>
      </c>
      <c r="AJ87" s="7">
        <v>6639</v>
      </c>
      <c r="AK87" s="7">
        <v>53675</v>
      </c>
      <c r="AL87" s="7">
        <v>46025</v>
      </c>
      <c r="AM87" s="7">
        <v>36838</v>
      </c>
      <c r="AN87" s="7">
        <v>45538</v>
      </c>
      <c r="AO87" s="7">
        <v>41939</v>
      </c>
      <c r="AP87" s="7">
        <v>95194</v>
      </c>
      <c r="AQ87" s="7">
        <v>43876</v>
      </c>
      <c r="AR87" s="7">
        <v>66653</v>
      </c>
      <c r="AS87" s="7">
        <v>79841</v>
      </c>
      <c r="AT87" s="7">
        <v>-54362</v>
      </c>
      <c r="AU87" s="7">
        <v>65941</v>
      </c>
      <c r="AV87" s="7">
        <v>5558</v>
      </c>
      <c r="AW87" s="7">
        <v>40156</v>
      </c>
      <c r="AX87" s="7">
        <v>35496</v>
      </c>
      <c r="AY87" s="7">
        <v>79653</v>
      </c>
      <c r="AZ87" s="7">
        <v>69725</v>
      </c>
      <c r="BA87" s="7">
        <v>102162</v>
      </c>
      <c r="BB87" s="7">
        <v>226521</v>
      </c>
      <c r="BC87" s="7">
        <v>-20975</v>
      </c>
      <c r="BD87" s="7">
        <v>-61437</v>
      </c>
      <c r="BE87" s="7">
        <v>93458</v>
      </c>
      <c r="BF87" s="7">
        <v>85776</v>
      </c>
      <c r="BG87" s="7">
        <v>181679</v>
      </c>
      <c r="BH87" s="7">
        <v>25630</v>
      </c>
      <c r="BI87" s="7">
        <v>9344</v>
      </c>
      <c r="BJ87" s="7">
        <v>-238309</v>
      </c>
      <c r="BK87" s="7">
        <v>-41672</v>
      </c>
      <c r="BL87" s="7">
        <v>-13785</v>
      </c>
      <c r="BM87" s="7">
        <v>288793</v>
      </c>
      <c r="BN87" s="7">
        <v>42105</v>
      </c>
      <c r="BO87" s="7">
        <v>1408</v>
      </c>
      <c r="BP87" s="7">
        <v>-153214</v>
      </c>
      <c r="BQ87" s="7">
        <v>-311596</v>
      </c>
      <c r="BR87" s="7">
        <v>499821</v>
      </c>
      <c r="BS87" s="7">
        <v>-111054</v>
      </c>
      <c r="BT87" s="7">
        <v>139530</v>
      </c>
      <c r="BU87" s="7">
        <v>469624</v>
      </c>
      <c r="BV87" s="7">
        <v>667086</v>
      </c>
      <c r="BW87" s="7">
        <v>333305</v>
      </c>
      <c r="BX87" s="7">
        <v>530207</v>
      </c>
      <c r="BY87" s="7">
        <v>147222</v>
      </c>
      <c r="BZ87" s="7">
        <v>145622</v>
      </c>
      <c r="CA87" s="7">
        <v>-409821</v>
      </c>
      <c r="CB87" s="7">
        <v>79739</v>
      </c>
      <c r="CC87" s="7">
        <v>-146832</v>
      </c>
      <c r="CD87" s="7">
        <v>137592</v>
      </c>
      <c r="CE87" s="7">
        <v>198165</v>
      </c>
      <c r="CF87" s="7">
        <v>-167475</v>
      </c>
      <c r="CG87" s="7">
        <v>-43360</v>
      </c>
      <c r="CH87" s="7">
        <v>135172</v>
      </c>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row>
    <row r="88" spans="1:166">
      <c r="A88" s="7" t="s">
        <v>442</v>
      </c>
      <c r="B88" s="7" t="s">
        <v>88</v>
      </c>
      <c r="C88" s="7">
        <v>1000000</v>
      </c>
      <c r="D88" s="7" t="s">
        <v>89</v>
      </c>
      <c r="E88" s="7" t="s">
        <v>443</v>
      </c>
      <c r="F88" s="8" t="s">
        <v>444</v>
      </c>
      <c r="G88" s="7"/>
      <c r="H88" s="7">
        <v>-5263</v>
      </c>
      <c r="I88" s="7">
        <v>-5899</v>
      </c>
      <c r="J88" s="7">
        <v>-2152</v>
      </c>
      <c r="K88" s="7">
        <v>1856</v>
      </c>
      <c r="L88" s="7">
        <v>-4965</v>
      </c>
      <c r="M88" s="7">
        <v>-1199</v>
      </c>
      <c r="N88" s="7">
        <v>981</v>
      </c>
      <c r="O88" s="7">
        <v>-997</v>
      </c>
      <c r="P88" s="7">
        <v>-318</v>
      </c>
      <c r="Q88" s="7">
        <v>-1736</v>
      </c>
      <c r="R88" s="7">
        <v>-2693</v>
      </c>
      <c r="S88" s="7">
        <v>-1539</v>
      </c>
      <c r="T88" s="7">
        <v>-255</v>
      </c>
      <c r="U88" s="7">
        <v>-277</v>
      </c>
      <c r="V88" s="7">
        <v>-173</v>
      </c>
      <c r="W88" s="7">
        <v>271</v>
      </c>
      <c r="X88" s="7">
        <v>26</v>
      </c>
      <c r="Y88" s="7">
        <v>54</v>
      </c>
      <c r="Z88" s="7">
        <v>-494</v>
      </c>
      <c r="AA88" s="7">
        <v>-1245</v>
      </c>
      <c r="AB88" s="7">
        <v>-2107</v>
      </c>
      <c r="AC88" s="7">
        <v>-1554</v>
      </c>
      <c r="AD88" s="7">
        <v>-3651</v>
      </c>
      <c r="AE88" s="7">
        <v>-5870</v>
      </c>
      <c r="AF88" s="7">
        <v>-6552</v>
      </c>
      <c r="AG88" s="7">
        <v>-4584</v>
      </c>
      <c r="AH88" s="7">
        <v>-6610</v>
      </c>
      <c r="AI88" s="7">
        <v>-19569</v>
      </c>
      <c r="AJ88" s="7">
        <v>-38221</v>
      </c>
      <c r="AK88" s="7">
        <v>-10544</v>
      </c>
      <c r="AL88" s="7">
        <v>-14113</v>
      </c>
      <c r="AM88" s="7">
        <v>-15698</v>
      </c>
      <c r="AN88" s="7">
        <v>-23709</v>
      </c>
      <c r="AO88" s="7">
        <v>-40138</v>
      </c>
      <c r="AP88" s="7">
        <v>-42133</v>
      </c>
      <c r="AQ88" s="7">
        <v>-24626</v>
      </c>
      <c r="AR88" s="7">
        <v>-7505</v>
      </c>
      <c r="AS88" s="7">
        <v>-7445</v>
      </c>
      <c r="AT88" s="7">
        <v>-3979</v>
      </c>
      <c r="AU88" s="7">
        <v>21</v>
      </c>
      <c r="AV88" s="7">
        <v>7061</v>
      </c>
      <c r="AW88" s="7">
        <v>-16239</v>
      </c>
      <c r="AX88" s="7">
        <v>-22174</v>
      </c>
      <c r="AY88" s="7">
        <v>-16348</v>
      </c>
      <c r="AZ88" s="7">
        <v>-12892</v>
      </c>
      <c r="BA88" s="7">
        <v>4927</v>
      </c>
      <c r="BB88" s="7">
        <v>-2821</v>
      </c>
      <c r="BC88" s="7">
        <v>-4021</v>
      </c>
      <c r="BD88" s="7">
        <v>-12436</v>
      </c>
      <c r="BE88" s="7">
        <v>-18284</v>
      </c>
      <c r="BF88" s="7">
        <v>3071</v>
      </c>
      <c r="BG88" s="7">
        <v>14090</v>
      </c>
      <c r="BH88" s="7">
        <v>15743</v>
      </c>
      <c r="BI88" s="7">
        <v>-3954</v>
      </c>
      <c r="BJ88" s="7">
        <v>-16809</v>
      </c>
      <c r="BK88" s="7">
        <v>8044</v>
      </c>
      <c r="BL88" s="7">
        <v>8866</v>
      </c>
      <c r="BM88" s="7">
        <v>-14471</v>
      </c>
      <c r="BN88" s="7">
        <v>-40211</v>
      </c>
      <c r="BO88" s="7">
        <v>-36030</v>
      </c>
      <c r="BP88" s="7">
        <v>-31941</v>
      </c>
      <c r="BQ88" s="7">
        <v>-43630</v>
      </c>
      <c r="BR88" s="7">
        <v>-34830</v>
      </c>
      <c r="BS88" s="7">
        <v>2617</v>
      </c>
      <c r="BT88" s="7">
        <v>-47593</v>
      </c>
      <c r="BU88" s="7">
        <v>-68008</v>
      </c>
      <c r="BV88" s="7">
        <v>-11449</v>
      </c>
      <c r="BW88" s="7">
        <v>13894</v>
      </c>
      <c r="BX88" s="7">
        <v>1830</v>
      </c>
      <c r="BY88" s="7">
        <v>57911</v>
      </c>
      <c r="BZ88" s="7">
        <v>5227</v>
      </c>
      <c r="CA88" s="7">
        <v>-47588</v>
      </c>
      <c r="CB88" s="7">
        <v>-51012</v>
      </c>
      <c r="CC88" s="7">
        <v>540</v>
      </c>
      <c r="CD88" s="7">
        <v>-19127</v>
      </c>
      <c r="CE88" s="7">
        <v>-256375</v>
      </c>
      <c r="CF88" s="7">
        <v>-161468</v>
      </c>
      <c r="CG88" s="7">
        <v>32987</v>
      </c>
      <c r="CH88" s="7">
        <v>-8915</v>
      </c>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row>
    <row r="89" spans="1:166">
      <c r="A89" s="7" t="s">
        <v>433</v>
      </c>
      <c r="B89" s="7" t="s">
        <v>88</v>
      </c>
      <c r="C89" s="7">
        <v>1000000</v>
      </c>
      <c r="D89" s="7" t="s">
        <v>89</v>
      </c>
      <c r="E89" s="7" t="s">
        <v>445</v>
      </c>
      <c r="F89" s="8" t="s">
        <v>446</v>
      </c>
      <c r="G89" s="7"/>
      <c r="H89" s="7">
        <v>10492</v>
      </c>
      <c r="I89" s="7">
        <v>27024</v>
      </c>
      <c r="J89" s="7">
        <v>14684</v>
      </c>
      <c r="K89" s="7">
        <v>4183</v>
      </c>
      <c r="L89" s="7">
        <v>13094</v>
      </c>
      <c r="M89" s="7">
        <v>22305</v>
      </c>
      <c r="N89" s="7">
        <v>8538</v>
      </c>
      <c r="O89" s="7">
        <v>5286</v>
      </c>
      <c r="P89" s="7">
        <v>1947</v>
      </c>
      <c r="Q89" s="7">
        <v>20135</v>
      </c>
      <c r="R89" s="7">
        <v>29422</v>
      </c>
      <c r="S89" s="7">
        <v>14656</v>
      </c>
      <c r="T89" s="7">
        <v>4241</v>
      </c>
      <c r="U89" s="7">
        <v>7765</v>
      </c>
      <c r="V89" s="7">
        <v>-1595</v>
      </c>
      <c r="W89" s="7">
        <v>1812</v>
      </c>
      <c r="X89" s="7">
        <v>3008</v>
      </c>
      <c r="Y89" s="7">
        <v>2486</v>
      </c>
      <c r="Z89" s="7">
        <v>11599</v>
      </c>
      <c r="AA89" s="7">
        <v>15000</v>
      </c>
      <c r="AB89" s="7">
        <v>23071</v>
      </c>
      <c r="AC89" s="7">
        <v>24266</v>
      </c>
      <c r="AD89" s="7">
        <v>38028</v>
      </c>
      <c r="AE89" s="7">
        <v>50338</v>
      </c>
      <c r="AF89" s="7">
        <v>56420</v>
      </c>
      <c r="AG89" s="7">
        <v>64384</v>
      </c>
      <c r="AH89" s="7">
        <v>61417</v>
      </c>
      <c r="AI89" s="7">
        <v>109533</v>
      </c>
      <c r="AJ89" s="7">
        <v>241739</v>
      </c>
      <c r="AK89" s="7">
        <v>150492</v>
      </c>
      <c r="AL89" s="7">
        <v>148589</v>
      </c>
      <c r="AM89" s="7">
        <v>170618</v>
      </c>
      <c r="AN89" s="7">
        <v>230746</v>
      </c>
      <c r="AO89" s="7">
        <v>304105</v>
      </c>
      <c r="AP89" s="7">
        <v>340982</v>
      </c>
      <c r="AQ89" s="7">
        <v>315584</v>
      </c>
      <c r="AR89" s="7">
        <v>151375</v>
      </c>
      <c r="AS89" s="7">
        <v>55763</v>
      </c>
      <c r="AT89" s="7">
        <v>111886</v>
      </c>
      <c r="AU89" s="7">
        <v>77884</v>
      </c>
      <c r="AV89" s="7">
        <v>76305</v>
      </c>
      <c r="AW89" s="7">
        <v>153245</v>
      </c>
      <c r="AX89" s="7">
        <v>223097</v>
      </c>
      <c r="AY89" s="7">
        <v>161064</v>
      </c>
      <c r="AZ89" s="7">
        <v>1537</v>
      </c>
      <c r="BA89" s="7">
        <v>-247782</v>
      </c>
      <c r="BB89" s="7">
        <v>-256794</v>
      </c>
      <c r="BC89" s="7">
        <v>-20554</v>
      </c>
      <c r="BD89" s="7">
        <v>196681</v>
      </c>
      <c r="BE89" s="7">
        <v>126143</v>
      </c>
      <c r="BF89" s="7">
        <v>203256</v>
      </c>
      <c r="BG89" s="7">
        <v>711171</v>
      </c>
      <c r="BH89" s="7">
        <v>297500</v>
      </c>
      <c r="BI89" s="7">
        <v>197939</v>
      </c>
      <c r="BJ89" s="7">
        <v>536490</v>
      </c>
      <c r="BK89" s="7">
        <v>-282718</v>
      </c>
      <c r="BL89" s="7">
        <v>384108</v>
      </c>
      <c r="BM89" s="7">
        <v>143039</v>
      </c>
      <c r="BN89" s="7">
        <v>1241638</v>
      </c>
      <c r="BO89" s="7">
        <v>1085332</v>
      </c>
      <c r="BP89" s="7">
        <v>1219345</v>
      </c>
      <c r="BQ89" s="7">
        <v>788084</v>
      </c>
      <c r="BR89" s="7">
        <v>-1106569</v>
      </c>
      <c r="BS89" s="7">
        <v>-2615275</v>
      </c>
      <c r="BT89" s="7">
        <v>841476</v>
      </c>
      <c r="BU89" s="7">
        <v>560915</v>
      </c>
      <c r="BV89" s="7">
        <v>396033</v>
      </c>
      <c r="BW89" s="7">
        <v>1131268</v>
      </c>
      <c r="BX89" s="7">
        <v>750882</v>
      </c>
      <c r="BY89" s="7">
        <v>463067</v>
      </c>
      <c r="BZ89" s="7">
        <v>647238</v>
      </c>
      <c r="CA89" s="7">
        <v>717404</v>
      </c>
      <c r="CB89" s="7">
        <v>174344</v>
      </c>
      <c r="CC89" s="7">
        <v>764077</v>
      </c>
      <c r="CD89" s="7">
        <v>617993</v>
      </c>
      <c r="CE89" s="7">
        <v>2780222</v>
      </c>
      <c r="CF89" s="7">
        <v>293154</v>
      </c>
      <c r="CG89" s="7">
        <v>-850273</v>
      </c>
      <c r="CH89" s="7">
        <v>-80467</v>
      </c>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row>
    <row r="90" spans="1:166">
      <c r="A90" s="7" t="s">
        <v>447</v>
      </c>
      <c r="B90" s="7" t="s">
        <v>88</v>
      </c>
      <c r="C90" s="7">
        <v>1000000</v>
      </c>
      <c r="D90" s="7" t="s">
        <v>89</v>
      </c>
      <c r="E90" s="7" t="s">
        <v>448</v>
      </c>
      <c r="F90" s="8" t="s">
        <v>449</v>
      </c>
      <c r="G90" s="7"/>
      <c r="H90" s="7">
        <v>14016</v>
      </c>
      <c r="I90" s="7">
        <v>25939</v>
      </c>
      <c r="J90" s="7">
        <v>8767</v>
      </c>
      <c r="K90" s="7">
        <v>2124</v>
      </c>
      <c r="L90" s="7">
        <v>13792</v>
      </c>
      <c r="M90" s="7">
        <v>15751</v>
      </c>
      <c r="N90" s="7">
        <v>6890</v>
      </c>
      <c r="O90" s="7">
        <v>2478</v>
      </c>
      <c r="P90" s="7">
        <v>1435</v>
      </c>
      <c r="Q90" s="7">
        <v>14553</v>
      </c>
      <c r="R90" s="7">
        <v>20540</v>
      </c>
      <c r="S90" s="7">
        <v>9046</v>
      </c>
      <c r="T90" s="7">
        <v>1295</v>
      </c>
      <c r="U90" s="7">
        <v>3756</v>
      </c>
      <c r="V90" s="7">
        <v>-2723</v>
      </c>
      <c r="W90" s="7">
        <v>2032</v>
      </c>
      <c r="X90" s="7">
        <v>1444</v>
      </c>
      <c r="Y90" s="7">
        <v>1039</v>
      </c>
      <c r="Z90" s="7">
        <v>8695</v>
      </c>
      <c r="AA90" s="7">
        <v>11577</v>
      </c>
      <c r="AB90" s="7">
        <v>15700</v>
      </c>
      <c r="AC90" s="7">
        <v>15067</v>
      </c>
      <c r="AD90" s="7">
        <v>27666</v>
      </c>
      <c r="AE90" s="7">
        <v>37452</v>
      </c>
      <c r="AF90" s="7">
        <v>41140</v>
      </c>
      <c r="AG90" s="7">
        <v>52878</v>
      </c>
      <c r="AH90" s="7">
        <v>49502</v>
      </c>
      <c r="AI90" s="7">
        <v>83915</v>
      </c>
      <c r="AJ90" s="7">
        <v>156039</v>
      </c>
      <c r="AK90" s="7">
        <v>90229</v>
      </c>
      <c r="AL90" s="7">
        <v>101069</v>
      </c>
      <c r="AM90" s="7">
        <v>115437</v>
      </c>
      <c r="AN90" s="7">
        <v>156319</v>
      </c>
      <c r="AO90" s="7">
        <v>196066</v>
      </c>
      <c r="AP90" s="7">
        <v>200040</v>
      </c>
      <c r="AQ90" s="7">
        <v>221830</v>
      </c>
      <c r="AR90" s="7">
        <v>92645</v>
      </c>
      <c r="AS90" s="7">
        <v>26848</v>
      </c>
      <c r="AT90" s="7">
        <v>78843</v>
      </c>
      <c r="AU90" s="7">
        <v>47573</v>
      </c>
      <c r="AV90" s="7">
        <v>37380</v>
      </c>
      <c r="AW90" s="7">
        <v>92562</v>
      </c>
      <c r="AX90" s="7">
        <v>146566</v>
      </c>
      <c r="AY90" s="7">
        <v>98558</v>
      </c>
      <c r="AZ90" s="7">
        <v>-79289</v>
      </c>
      <c r="BA90" s="7">
        <v>-273905</v>
      </c>
      <c r="BB90" s="7">
        <v>-288735</v>
      </c>
      <c r="BC90" s="7">
        <v>-51817</v>
      </c>
      <c r="BD90" s="7">
        <v>138373</v>
      </c>
      <c r="BE90" s="7">
        <v>68324</v>
      </c>
      <c r="BF90" s="7">
        <v>186672</v>
      </c>
      <c r="BG90" s="7">
        <v>728509</v>
      </c>
      <c r="BH90" s="7">
        <v>335467</v>
      </c>
      <c r="BI90" s="7">
        <v>167127</v>
      </c>
      <c r="BJ90" s="7">
        <v>504388</v>
      </c>
      <c r="BK90" s="7">
        <v>-212412</v>
      </c>
      <c r="BL90" s="7">
        <v>398871</v>
      </c>
      <c r="BM90" s="7">
        <v>145157</v>
      </c>
      <c r="BN90" s="7">
        <v>1118693</v>
      </c>
      <c r="BO90" s="7">
        <v>993682</v>
      </c>
      <c r="BP90" s="7">
        <v>1119507</v>
      </c>
      <c r="BQ90" s="7">
        <v>681923</v>
      </c>
      <c r="BR90" s="7">
        <v>-1143967</v>
      </c>
      <c r="BS90" s="7">
        <v>-2610861</v>
      </c>
      <c r="BT90" s="7">
        <v>740376</v>
      </c>
      <c r="BU90" s="7">
        <v>439115</v>
      </c>
      <c r="BV90" s="7">
        <v>345213</v>
      </c>
      <c r="BW90" s="7">
        <v>1078606</v>
      </c>
      <c r="BX90" s="7">
        <v>765739</v>
      </c>
      <c r="BY90" s="7">
        <v>587693</v>
      </c>
      <c r="BZ90" s="7">
        <v>590671</v>
      </c>
      <c r="CA90" s="7">
        <v>616096</v>
      </c>
      <c r="CB90" s="7">
        <v>61064</v>
      </c>
      <c r="CC90" s="7">
        <v>729073</v>
      </c>
      <c r="CD90" s="7">
        <v>416567</v>
      </c>
      <c r="CE90" s="7">
        <v>2169447</v>
      </c>
      <c r="CF90" s="7">
        <v>-144693</v>
      </c>
      <c r="CG90" s="7">
        <v>-1016905</v>
      </c>
      <c r="CH90" s="7">
        <v>-290384</v>
      </c>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row>
    <row r="91" spans="1:166">
      <c r="A91" s="7" t="s">
        <v>450</v>
      </c>
      <c r="B91" s="7" t="s">
        <v>88</v>
      </c>
      <c r="C91" s="7">
        <v>1000000</v>
      </c>
      <c r="D91" s="7" t="s">
        <v>89</v>
      </c>
      <c r="E91" s="7" t="s">
        <v>451</v>
      </c>
      <c r="F91" s="8" t="s">
        <v>452</v>
      </c>
      <c r="G91" s="7"/>
      <c r="H91" s="7">
        <v>3892</v>
      </c>
      <c r="I91" s="7">
        <v>3068</v>
      </c>
      <c r="J91" s="7">
        <v>5157</v>
      </c>
      <c r="K91" s="7">
        <v>-510</v>
      </c>
      <c r="L91" s="7">
        <v>6192</v>
      </c>
      <c r="M91" s="7">
        <v>2973</v>
      </c>
      <c r="N91" s="7">
        <v>395</v>
      </c>
      <c r="O91" s="7">
        <v>2816</v>
      </c>
      <c r="P91" s="7">
        <v>25</v>
      </c>
      <c r="Q91" s="7">
        <v>5465</v>
      </c>
      <c r="R91" s="7">
        <v>8634</v>
      </c>
      <c r="S91" s="7">
        <v>5308</v>
      </c>
      <c r="T91" s="7">
        <v>1945</v>
      </c>
      <c r="U91" s="7">
        <v>3302</v>
      </c>
      <c r="V91" s="7">
        <v>414</v>
      </c>
      <c r="W91" s="7">
        <v>-832</v>
      </c>
      <c r="X91" s="7">
        <v>569</v>
      </c>
      <c r="Y91" s="7">
        <v>274</v>
      </c>
      <c r="Z91" s="7">
        <v>1214</v>
      </c>
      <c r="AA91" s="7">
        <v>955</v>
      </c>
      <c r="AB91" s="7">
        <v>5348</v>
      </c>
      <c r="AC91" s="7">
        <v>6672</v>
      </c>
      <c r="AD91" s="7">
        <v>8842</v>
      </c>
      <c r="AE91" s="7">
        <v>9023</v>
      </c>
      <c r="AF91" s="7">
        <v>12846</v>
      </c>
      <c r="AG91" s="7">
        <v>8793</v>
      </c>
      <c r="AH91" s="7">
        <v>8135</v>
      </c>
      <c r="AI91" s="7">
        <v>13543</v>
      </c>
      <c r="AJ91" s="7">
        <v>64898</v>
      </c>
      <c r="AK91" s="7">
        <v>55399</v>
      </c>
      <c r="AL91" s="7">
        <v>38646</v>
      </c>
      <c r="AM91" s="7">
        <v>45282</v>
      </c>
      <c r="AN91" s="7">
        <v>52389</v>
      </c>
      <c r="AO91" s="7">
        <v>71791</v>
      </c>
      <c r="AP91" s="7">
        <v>105656</v>
      </c>
      <c r="AQ91" s="7">
        <v>74321</v>
      </c>
      <c r="AR91" s="7">
        <v>43785</v>
      </c>
      <c r="AS91" s="7">
        <v>13130</v>
      </c>
      <c r="AT91" s="7">
        <v>16961</v>
      </c>
      <c r="AU91" s="7">
        <v>27699</v>
      </c>
      <c r="AV91" s="7">
        <v>39389</v>
      </c>
      <c r="AW91" s="7">
        <v>37270</v>
      </c>
      <c r="AX91" s="7">
        <v>51927</v>
      </c>
      <c r="AY91" s="7">
        <v>48703</v>
      </c>
      <c r="AZ91" s="7">
        <v>60209</v>
      </c>
      <c r="BA91" s="7">
        <v>24902</v>
      </c>
      <c r="BB91" s="7">
        <v>19856</v>
      </c>
      <c r="BC91" s="7">
        <v>20250</v>
      </c>
      <c r="BD91" s="7">
        <v>29641</v>
      </c>
      <c r="BE91" s="7">
        <v>34796</v>
      </c>
      <c r="BF91" s="7">
        <v>1461</v>
      </c>
      <c r="BG91" s="7">
        <v>-25177</v>
      </c>
      <c r="BH91" s="7">
        <v>-34212</v>
      </c>
      <c r="BI91" s="7">
        <v>-19778</v>
      </c>
      <c r="BJ91" s="7">
        <v>-5596</v>
      </c>
      <c r="BK91" s="7">
        <v>-31970</v>
      </c>
      <c r="BL91" s="7">
        <v>-39362</v>
      </c>
      <c r="BM91" s="7">
        <v>-47764</v>
      </c>
      <c r="BN91" s="7">
        <v>73511</v>
      </c>
      <c r="BO91" s="7">
        <v>23949</v>
      </c>
      <c r="BP91" s="7">
        <v>74825</v>
      </c>
      <c r="BQ91" s="7">
        <v>11443</v>
      </c>
      <c r="BR91" s="7">
        <v>83282</v>
      </c>
      <c r="BS91" s="7">
        <v>-31419</v>
      </c>
      <c r="BT91" s="7">
        <v>21269</v>
      </c>
      <c r="BU91" s="7">
        <v>59775</v>
      </c>
      <c r="BV91" s="7">
        <v>19406</v>
      </c>
      <c r="BW91" s="7">
        <v>-25784</v>
      </c>
      <c r="BX91" s="7">
        <v>-17511</v>
      </c>
      <c r="BY91" s="7">
        <v>-65487</v>
      </c>
      <c r="BZ91" s="7">
        <v>-28791</v>
      </c>
      <c r="CA91" s="7">
        <v>22791</v>
      </c>
      <c r="CB91" s="7">
        <v>57414</v>
      </c>
      <c r="CC91" s="7">
        <v>8112</v>
      </c>
      <c r="CD91" s="7">
        <v>36671</v>
      </c>
      <c r="CE91" s="7">
        <v>340032</v>
      </c>
      <c r="CF91" s="7">
        <v>335170</v>
      </c>
      <c r="CG91" s="7">
        <v>134593</v>
      </c>
      <c r="CH91" s="7">
        <v>94209</v>
      </c>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row>
    <row r="92" spans="1:166">
      <c r="A92" s="7" t="s">
        <v>453</v>
      </c>
      <c r="B92" s="7" t="s">
        <v>88</v>
      </c>
      <c r="C92" s="7">
        <v>1000000</v>
      </c>
      <c r="D92" s="7" t="s">
        <v>89</v>
      </c>
      <c r="E92" s="7" t="s">
        <v>454</v>
      </c>
      <c r="F92" s="8" t="s">
        <v>455</v>
      </c>
      <c r="G92" s="7"/>
      <c r="H92" s="7">
        <v>338</v>
      </c>
      <c r="I92" s="7">
        <v>650</v>
      </c>
      <c r="J92" s="7">
        <v>212</v>
      </c>
      <c r="K92" s="7">
        <v>-35</v>
      </c>
      <c r="L92" s="7">
        <v>537</v>
      </c>
      <c r="M92" s="7">
        <v>326</v>
      </c>
      <c r="N92" s="7">
        <v>125</v>
      </c>
      <c r="O92" s="7">
        <v>225</v>
      </c>
      <c r="P92" s="7">
        <v>163</v>
      </c>
      <c r="Q92" s="7">
        <v>441</v>
      </c>
      <c r="R92" s="7">
        <v>587</v>
      </c>
      <c r="S92" s="7">
        <v>498</v>
      </c>
      <c r="T92" s="7">
        <v>318</v>
      </c>
      <c r="U92" s="7">
        <v>590</v>
      </c>
      <c r="V92" s="7">
        <v>272</v>
      </c>
      <c r="W92" s="7">
        <v>252</v>
      </c>
      <c r="X92" s="7">
        <v>107</v>
      </c>
      <c r="Y92" s="7">
        <v>447</v>
      </c>
      <c r="Z92" s="7">
        <v>504</v>
      </c>
      <c r="AA92" s="7">
        <v>697</v>
      </c>
      <c r="AB92" s="7">
        <v>752</v>
      </c>
      <c r="AC92" s="7">
        <v>1568</v>
      </c>
      <c r="AD92" s="7">
        <v>1972</v>
      </c>
      <c r="AE92" s="7">
        <v>2940</v>
      </c>
      <c r="AF92" s="7">
        <v>3171</v>
      </c>
      <c r="AG92" s="7">
        <v>2140</v>
      </c>
      <c r="AH92" s="7">
        <v>2639</v>
      </c>
      <c r="AI92" s="7">
        <v>5618</v>
      </c>
      <c r="AJ92" s="7">
        <v>8718</v>
      </c>
      <c r="AK92" s="7">
        <v>5724</v>
      </c>
      <c r="AL92" s="7">
        <v>5513</v>
      </c>
      <c r="AM92" s="7">
        <v>5893</v>
      </c>
      <c r="AN92" s="7">
        <v>8640</v>
      </c>
      <c r="AO92" s="7">
        <v>11384</v>
      </c>
      <c r="AP92" s="7">
        <v>13823</v>
      </c>
      <c r="AQ92" s="7">
        <v>14046</v>
      </c>
      <c r="AR92" s="7">
        <v>11252</v>
      </c>
      <c r="AS92" s="7">
        <v>10206</v>
      </c>
      <c r="AT92" s="7">
        <v>8357</v>
      </c>
      <c r="AU92" s="7">
        <v>6373</v>
      </c>
      <c r="AV92" s="7">
        <v>5667</v>
      </c>
      <c r="AW92" s="7">
        <v>14443</v>
      </c>
      <c r="AX92" s="7">
        <v>12981</v>
      </c>
      <c r="AY92" s="7">
        <v>12843</v>
      </c>
      <c r="AZ92" s="7">
        <v>12181</v>
      </c>
      <c r="BA92" s="7">
        <v>11924</v>
      </c>
      <c r="BB92" s="7">
        <v>9354</v>
      </c>
      <c r="BC92" s="7">
        <v>7474</v>
      </c>
      <c r="BD92" s="7">
        <v>17733</v>
      </c>
      <c r="BE92" s="7">
        <v>17007</v>
      </c>
      <c r="BF92" s="7">
        <v>8027</v>
      </c>
      <c r="BG92" s="7">
        <v>12627</v>
      </c>
      <c r="BH92" s="7">
        <v>11108</v>
      </c>
      <c r="BI92" s="7">
        <v>27539</v>
      </c>
      <c r="BJ92" s="7">
        <v>23357</v>
      </c>
      <c r="BK92" s="7">
        <v>-13618</v>
      </c>
      <c r="BL92" s="7">
        <v>-4312</v>
      </c>
      <c r="BM92" s="7">
        <v>21454</v>
      </c>
      <c r="BN92" s="7">
        <v>10802</v>
      </c>
      <c r="BO92" s="7">
        <v>29770</v>
      </c>
      <c r="BP92" s="7">
        <v>19645</v>
      </c>
      <c r="BQ92" s="7">
        <v>32287</v>
      </c>
      <c r="BR92" s="7">
        <v>13071</v>
      </c>
      <c r="BS92" s="7">
        <v>-1933</v>
      </c>
      <c r="BT92" s="7">
        <v>23568</v>
      </c>
      <c r="BU92" s="7">
        <v>31073</v>
      </c>
      <c r="BV92" s="7">
        <v>17962</v>
      </c>
      <c r="BW92" s="7">
        <v>42842</v>
      </c>
      <c r="BX92" s="7">
        <v>20560</v>
      </c>
      <c r="BY92" s="7">
        <v>-8050</v>
      </c>
      <c r="BZ92" s="7">
        <v>30003</v>
      </c>
      <c r="CA92" s="7">
        <v>63182</v>
      </c>
      <c r="CB92" s="7">
        <v>31832</v>
      </c>
      <c r="CC92" s="7">
        <v>28355</v>
      </c>
      <c r="CD92" s="7">
        <v>138987</v>
      </c>
      <c r="CE92" s="7">
        <v>49416</v>
      </c>
      <c r="CF92" s="7">
        <v>83552</v>
      </c>
      <c r="CG92" s="7">
        <v>64583</v>
      </c>
      <c r="CH92" s="7">
        <v>91300</v>
      </c>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row>
    <row r="93" spans="1:166">
      <c r="A93" s="7" t="s">
        <v>456</v>
      </c>
      <c r="B93" s="7" t="s">
        <v>88</v>
      </c>
      <c r="C93" s="7">
        <v>1000000</v>
      </c>
      <c r="D93" s="7" t="s">
        <v>89</v>
      </c>
      <c r="E93" s="7" t="s">
        <v>457</v>
      </c>
      <c r="F93" s="8" t="s">
        <v>458</v>
      </c>
      <c r="G93" s="7"/>
      <c r="H93" s="7">
        <v>-7754</v>
      </c>
      <c r="I93" s="7">
        <v>-2634</v>
      </c>
      <c r="J93" s="7">
        <v>548</v>
      </c>
      <c r="K93" s="7">
        <v>2604</v>
      </c>
      <c r="L93" s="7">
        <v>-7427</v>
      </c>
      <c r="M93" s="7">
        <v>3255</v>
      </c>
      <c r="N93" s="7">
        <v>1128</v>
      </c>
      <c r="O93" s="7">
        <v>-233</v>
      </c>
      <c r="P93" s="7">
        <v>324</v>
      </c>
      <c r="Q93" s="7">
        <v>-324</v>
      </c>
      <c r="R93" s="7">
        <v>-339</v>
      </c>
      <c r="S93" s="7">
        <v>-196</v>
      </c>
      <c r="T93" s="7">
        <v>683</v>
      </c>
      <c r="U93" s="7">
        <v>117</v>
      </c>
      <c r="V93" s="7">
        <v>442</v>
      </c>
      <c r="W93" s="7">
        <v>361</v>
      </c>
      <c r="X93" s="7">
        <v>890</v>
      </c>
      <c r="Y93" s="7">
        <v>726</v>
      </c>
      <c r="Z93" s="7">
        <v>1186</v>
      </c>
      <c r="AA93" s="7">
        <v>1773</v>
      </c>
      <c r="AB93" s="7">
        <v>1272</v>
      </c>
      <c r="AC93" s="7">
        <v>960</v>
      </c>
      <c r="AD93" s="7">
        <v>-451</v>
      </c>
      <c r="AE93" s="7">
        <v>923</v>
      </c>
      <c r="AF93" s="7">
        <v>-736</v>
      </c>
      <c r="AG93" s="7">
        <v>574</v>
      </c>
      <c r="AH93" s="7">
        <v>1143</v>
      </c>
      <c r="AI93" s="7">
        <v>6457</v>
      </c>
      <c r="AJ93" s="7">
        <v>12084</v>
      </c>
      <c r="AK93" s="7">
        <v>-859</v>
      </c>
      <c r="AL93" s="7">
        <v>3362</v>
      </c>
      <c r="AM93" s="7">
        <v>4009</v>
      </c>
      <c r="AN93" s="7">
        <v>13398</v>
      </c>
      <c r="AO93" s="7">
        <v>24865</v>
      </c>
      <c r="AP93" s="7">
        <v>21464</v>
      </c>
      <c r="AQ93" s="7">
        <v>5387</v>
      </c>
      <c r="AR93" s="7">
        <v>3694</v>
      </c>
      <c r="AS93" s="7">
        <v>5579</v>
      </c>
      <c r="AT93" s="7">
        <v>7727</v>
      </c>
      <c r="AU93" s="7">
        <v>-3759</v>
      </c>
      <c r="AV93" s="7">
        <v>-6131</v>
      </c>
      <c r="AW93" s="7">
        <v>8971</v>
      </c>
      <c r="AX93" s="7">
        <v>11623</v>
      </c>
      <c r="AY93" s="7">
        <v>960</v>
      </c>
      <c r="AZ93" s="7">
        <v>8438</v>
      </c>
      <c r="BA93" s="7">
        <v>-10703</v>
      </c>
      <c r="BB93" s="7">
        <v>2731</v>
      </c>
      <c r="BC93" s="7">
        <v>3540</v>
      </c>
      <c r="BD93" s="7">
        <v>10934</v>
      </c>
      <c r="BE93" s="7">
        <v>6016</v>
      </c>
      <c r="BF93" s="7">
        <v>7098</v>
      </c>
      <c r="BG93" s="7">
        <v>-4788</v>
      </c>
      <c r="BH93" s="7">
        <v>-14863</v>
      </c>
      <c r="BI93" s="7">
        <v>23053</v>
      </c>
      <c r="BJ93" s="7">
        <v>14343</v>
      </c>
      <c r="BK93" s="7">
        <v>-24716</v>
      </c>
      <c r="BL93" s="7">
        <v>28913</v>
      </c>
      <c r="BM93" s="7">
        <v>24192</v>
      </c>
      <c r="BN93" s="7">
        <v>38633</v>
      </c>
      <c r="BO93" s="7">
        <v>37934</v>
      </c>
      <c r="BP93" s="7">
        <v>5370</v>
      </c>
      <c r="BQ93" s="7">
        <v>62431</v>
      </c>
      <c r="BR93" s="7">
        <v>-58954</v>
      </c>
      <c r="BS93" s="7">
        <v>28938</v>
      </c>
      <c r="BT93" s="7">
        <v>56263</v>
      </c>
      <c r="BU93" s="7">
        <v>30951</v>
      </c>
      <c r="BV93" s="7">
        <v>13451</v>
      </c>
      <c r="BW93" s="7">
        <v>35604</v>
      </c>
      <c r="BX93" s="7">
        <v>-17907</v>
      </c>
      <c r="BY93" s="7">
        <v>-51089</v>
      </c>
      <c r="BZ93" s="7">
        <v>55356</v>
      </c>
      <c r="CA93" s="7">
        <v>15334</v>
      </c>
      <c r="CB93" s="7">
        <v>24033</v>
      </c>
      <c r="CC93" s="7">
        <v>-1464</v>
      </c>
      <c r="CD93" s="7">
        <v>25779</v>
      </c>
      <c r="CE93" s="7">
        <v>221338</v>
      </c>
      <c r="CF93" s="7">
        <v>19127</v>
      </c>
      <c r="CG93" s="7">
        <v>-32542</v>
      </c>
      <c r="CH93" s="7">
        <v>24408</v>
      </c>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row>
    <row r="94" spans="1:166">
      <c r="A94" s="7" t="s">
        <v>283</v>
      </c>
      <c r="B94" s="7" t="s">
        <v>88</v>
      </c>
      <c r="C94" s="7">
        <v>1000000</v>
      </c>
      <c r="D94" s="7" t="s">
        <v>89</v>
      </c>
      <c r="E94" s="7" t="s">
        <v>459</v>
      </c>
      <c r="F94" s="8" t="s">
        <v>460</v>
      </c>
      <c r="G94" s="7"/>
      <c r="H94" s="7">
        <v>-230</v>
      </c>
      <c r="I94" s="7">
        <v>389</v>
      </c>
      <c r="J94" s="7">
        <v>538</v>
      </c>
      <c r="K94" s="7">
        <v>416</v>
      </c>
      <c r="L94" s="7">
        <v>466</v>
      </c>
      <c r="M94" s="7">
        <v>683</v>
      </c>
      <c r="N94" s="7">
        <v>885</v>
      </c>
      <c r="O94" s="7">
        <v>796</v>
      </c>
      <c r="P94" s="7">
        <v>701</v>
      </c>
      <c r="Q94" s="7">
        <v>942</v>
      </c>
      <c r="R94" s="7">
        <v>1160</v>
      </c>
      <c r="S94" s="7">
        <v>448</v>
      </c>
      <c r="T94" s="7">
        <v>834</v>
      </c>
      <c r="U94" s="7">
        <v>1047</v>
      </c>
      <c r="V94" s="7">
        <v>-901</v>
      </c>
      <c r="W94" s="7">
        <v>198</v>
      </c>
      <c r="X94" s="7">
        <v>-297</v>
      </c>
      <c r="Y94" s="7">
        <v>3302</v>
      </c>
      <c r="Z94" s="7">
        <v>1631</v>
      </c>
      <c r="AA94" s="7">
        <v>7203</v>
      </c>
      <c r="AB94" s="7">
        <v>-3927</v>
      </c>
      <c r="AC94" s="7">
        <v>5192</v>
      </c>
      <c r="AD94" s="7">
        <v>4417</v>
      </c>
      <c r="AE94" s="7">
        <v>224</v>
      </c>
      <c r="AF94" s="7">
        <v>3961</v>
      </c>
      <c r="AG94" s="7">
        <v>9242</v>
      </c>
      <c r="AH94" s="7">
        <v>25084</v>
      </c>
      <c r="AI94" s="7">
        <v>636</v>
      </c>
      <c r="AJ94" s="7">
        <v>-17032</v>
      </c>
      <c r="AK94" s="7">
        <v>16811</v>
      </c>
      <c r="AL94" s="7">
        <v>72401</v>
      </c>
      <c r="AM94" s="7">
        <v>3792</v>
      </c>
      <c r="AN94" s="7">
        <v>23705</v>
      </c>
      <c r="AO94" s="7">
        <v>35095</v>
      </c>
      <c r="AP94" s="7">
        <v>55294</v>
      </c>
      <c r="AQ94" s="7">
        <v>-1184</v>
      </c>
      <c r="AR94" s="7">
        <v>20807</v>
      </c>
      <c r="AS94" s="7">
        <v>54604</v>
      </c>
      <c r="AT94" s="7">
        <v>-16836</v>
      </c>
      <c r="AU94" s="7">
        <v>134365</v>
      </c>
      <c r="AV94" s="7">
        <v>139642</v>
      </c>
      <c r="AW94" s="7">
        <v>22214</v>
      </c>
      <c r="AX94" s="7">
        <v>102125</v>
      </c>
      <c r="AY94" s="7">
        <v>134195</v>
      </c>
      <c r="AZ94" s="7">
        <v>-139425</v>
      </c>
      <c r="BA94" s="7">
        <v>122329</v>
      </c>
      <c r="BB94" s="7">
        <v>-63570</v>
      </c>
      <c r="BC94" s="7">
        <v>166093</v>
      </c>
      <c r="BD94" s="7">
        <v>-5089</v>
      </c>
      <c r="BE94" s="7">
        <v>273029</v>
      </c>
      <c r="BF94" s="7">
        <v>241613</v>
      </c>
      <c r="BG94" s="7">
        <v>361108</v>
      </c>
      <c r="BH94" s="7">
        <v>478735</v>
      </c>
      <c r="BI94" s="7">
        <v>644818</v>
      </c>
      <c r="BJ94" s="7">
        <v>-476721</v>
      </c>
      <c r="BK94" s="7">
        <v>-700168</v>
      </c>
      <c r="BL94" s="7">
        <v>-736436</v>
      </c>
      <c r="BM94" s="7">
        <v>714926</v>
      </c>
      <c r="BN94" s="7">
        <v>357704</v>
      </c>
      <c r="BO94" s="7">
        <v>242327</v>
      </c>
      <c r="BP94" s="7">
        <v>644311</v>
      </c>
      <c r="BQ94" s="7">
        <v>353903</v>
      </c>
      <c r="BR94" s="7">
        <v>-2540995</v>
      </c>
      <c r="BS94" s="7">
        <v>930501</v>
      </c>
      <c r="BT94" s="7">
        <v>270881</v>
      </c>
      <c r="BU94" s="7">
        <v>-575681</v>
      </c>
      <c r="BV94" s="7">
        <v>450509</v>
      </c>
      <c r="BW94" s="7">
        <v>935197</v>
      </c>
      <c r="BX94" s="7">
        <v>-72640</v>
      </c>
      <c r="BY94" s="7">
        <v>-466660</v>
      </c>
      <c r="BZ94" s="7">
        <v>183979</v>
      </c>
      <c r="CA94" s="7">
        <v>1316900</v>
      </c>
      <c r="CB94" s="7">
        <v>-1308121</v>
      </c>
      <c r="CC94" s="7">
        <v>1525683</v>
      </c>
      <c r="CD94" s="7">
        <v>726236</v>
      </c>
      <c r="CE94" s="7">
        <v>1668614</v>
      </c>
      <c r="CF94" s="7">
        <v>-2431534</v>
      </c>
      <c r="CG94" s="7">
        <v>1472661</v>
      </c>
      <c r="CH94" s="7">
        <v>931855</v>
      </c>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row>
    <row r="95" spans="1:166">
      <c r="A95" s="7" t="s">
        <v>298</v>
      </c>
      <c r="B95" s="7" t="s">
        <v>88</v>
      </c>
      <c r="C95" s="7">
        <v>1000000</v>
      </c>
      <c r="D95" s="7" t="s">
        <v>89</v>
      </c>
      <c r="E95" s="7" t="s">
        <v>461</v>
      </c>
      <c r="F95" s="8" t="s">
        <v>462</v>
      </c>
      <c r="G95" s="7"/>
      <c r="H95" s="7">
        <v>0</v>
      </c>
      <c r="I95" s="7">
        <v>0</v>
      </c>
      <c r="J95" s="7">
        <v>0</v>
      </c>
      <c r="K95" s="7">
        <v>0</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c r="AF95" s="7">
        <v>0</v>
      </c>
      <c r="AG95" s="7">
        <v>0</v>
      </c>
      <c r="AH95" s="7">
        <v>0</v>
      </c>
      <c r="AI95" s="7">
        <v>0</v>
      </c>
      <c r="AJ95" s="7">
        <v>0</v>
      </c>
      <c r="AK95" s="7">
        <v>0</v>
      </c>
      <c r="AL95" s="7">
        <v>0</v>
      </c>
      <c r="AM95" s="7">
        <v>0</v>
      </c>
      <c r="AN95" s="7">
        <v>0</v>
      </c>
      <c r="AO95" s="7">
        <v>0</v>
      </c>
      <c r="AP95" s="7">
        <v>0</v>
      </c>
      <c r="AQ95" s="7">
        <v>0</v>
      </c>
      <c r="AR95" s="7">
        <v>0</v>
      </c>
      <c r="AS95" s="7">
        <v>0</v>
      </c>
      <c r="AT95" s="7">
        <v>0</v>
      </c>
      <c r="AU95" s="7">
        <v>0</v>
      </c>
      <c r="AV95" s="7">
        <v>0</v>
      </c>
      <c r="AW95" s="7">
        <v>0</v>
      </c>
      <c r="AX95" s="7">
        <v>0</v>
      </c>
      <c r="AY95" s="7">
        <v>0</v>
      </c>
      <c r="AZ95" s="7">
        <v>0</v>
      </c>
      <c r="BA95" s="7">
        <v>0</v>
      </c>
      <c r="BB95" s="7">
        <v>-1</v>
      </c>
      <c r="BC95" s="7">
        <v>5</v>
      </c>
      <c r="BD95" s="7">
        <v>-23</v>
      </c>
      <c r="BE95" s="7">
        <v>38</v>
      </c>
      <c r="BF95" s="7">
        <v>-16</v>
      </c>
      <c r="BG95" s="7">
        <v>28</v>
      </c>
      <c r="BH95" s="7">
        <v>16</v>
      </c>
      <c r="BI95" s="7">
        <v>-73</v>
      </c>
      <c r="BJ95" s="7">
        <v>12</v>
      </c>
      <c r="BK95" s="7">
        <v>50</v>
      </c>
      <c r="BL95" s="7">
        <v>49</v>
      </c>
      <c r="BM95" s="7">
        <v>9</v>
      </c>
      <c r="BN95" s="7">
        <v>-15</v>
      </c>
      <c r="BO95" s="7">
        <v>-50</v>
      </c>
      <c r="BP95" s="7">
        <v>-53</v>
      </c>
      <c r="BQ95" s="7">
        <v>-35</v>
      </c>
      <c r="BR95" s="7">
        <v>-257</v>
      </c>
      <c r="BS95" s="7">
        <v>730</v>
      </c>
      <c r="BT95" s="7">
        <v>-3273</v>
      </c>
      <c r="BU95" s="7">
        <v>5048</v>
      </c>
      <c r="BV95" s="7">
        <v>412</v>
      </c>
      <c r="BW95" s="7">
        <v>-4572</v>
      </c>
      <c r="BX95" s="7">
        <v>3375</v>
      </c>
      <c r="BY95" s="7">
        <v>-858</v>
      </c>
      <c r="BZ95" s="7">
        <v>-687</v>
      </c>
      <c r="CA95" s="7">
        <v>609</v>
      </c>
      <c r="CB95" s="7">
        <v>-2414</v>
      </c>
      <c r="CC95" s="7">
        <v>5052</v>
      </c>
      <c r="CD95" s="7">
        <v>2484</v>
      </c>
      <c r="CE95" s="7">
        <v>-5676</v>
      </c>
      <c r="CF95" s="7">
        <v>-21969</v>
      </c>
      <c r="CG95" s="7">
        <v>5148</v>
      </c>
      <c r="CH95" s="7">
        <v>-2645</v>
      </c>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row>
    <row r="96" spans="1:166">
      <c r="A96" s="7" t="s">
        <v>463</v>
      </c>
      <c r="B96" s="7" t="s">
        <v>88</v>
      </c>
      <c r="C96" s="7">
        <v>1000000</v>
      </c>
      <c r="D96" s="7" t="s">
        <v>89</v>
      </c>
      <c r="E96" s="7" t="s">
        <v>464</v>
      </c>
      <c r="F96" s="8" t="s">
        <v>465</v>
      </c>
      <c r="G96" s="7"/>
      <c r="H96" s="7">
        <v>-17</v>
      </c>
      <c r="I96" s="7">
        <v>27</v>
      </c>
      <c r="J96" s="7">
        <v>38</v>
      </c>
      <c r="K96" s="7">
        <v>28</v>
      </c>
      <c r="L96" s="7">
        <v>33</v>
      </c>
      <c r="M96" s="7">
        <v>48</v>
      </c>
      <c r="N96" s="7">
        <v>35</v>
      </c>
      <c r="O96" s="7">
        <v>30</v>
      </c>
      <c r="P96" s="7">
        <v>28</v>
      </c>
      <c r="Q96" s="7">
        <v>36</v>
      </c>
      <c r="R96" s="7">
        <v>46</v>
      </c>
      <c r="S96" s="7">
        <v>18</v>
      </c>
      <c r="T96" s="7">
        <v>33</v>
      </c>
      <c r="U96" s="7">
        <v>41</v>
      </c>
      <c r="V96" s="7">
        <v>-35</v>
      </c>
      <c r="W96" s="7">
        <v>8</v>
      </c>
      <c r="X96" s="7">
        <v>-12</v>
      </c>
      <c r="Y96" s="7">
        <v>-1</v>
      </c>
      <c r="Z96" s="7">
        <v>0</v>
      </c>
      <c r="AA96" s="7">
        <v>220</v>
      </c>
      <c r="AB96" s="7">
        <v>-68</v>
      </c>
      <c r="AC96" s="7">
        <v>67</v>
      </c>
      <c r="AD96" s="7">
        <v>103</v>
      </c>
      <c r="AE96" s="7">
        <v>130</v>
      </c>
      <c r="AF96" s="7">
        <v>138</v>
      </c>
      <c r="AG96" s="7">
        <v>209</v>
      </c>
      <c r="AH96" s="7">
        <v>722</v>
      </c>
      <c r="AI96" s="7">
        <v>327</v>
      </c>
      <c r="AJ96" s="7">
        <v>0</v>
      </c>
      <c r="AK96" s="7">
        <v>0</v>
      </c>
      <c r="AL96" s="7">
        <v>2219</v>
      </c>
      <c r="AM96" s="7">
        <v>438</v>
      </c>
      <c r="AN96" s="7">
        <v>907</v>
      </c>
      <c r="AO96" s="7">
        <v>937</v>
      </c>
      <c r="AP96" s="7">
        <v>1196</v>
      </c>
      <c r="AQ96" s="7">
        <v>497</v>
      </c>
      <c r="AR96" s="7">
        <v>2079</v>
      </c>
      <c r="AS96" s="7">
        <v>127</v>
      </c>
      <c r="AT96" s="7">
        <v>-180</v>
      </c>
      <c r="AU96" s="7">
        <v>-337</v>
      </c>
      <c r="AV96" s="7">
        <v>1044</v>
      </c>
      <c r="AW96" s="7">
        <v>-312</v>
      </c>
      <c r="AX96" s="7">
        <v>-21</v>
      </c>
      <c r="AY96" s="7">
        <v>98</v>
      </c>
      <c r="AZ96" s="7">
        <v>-1165</v>
      </c>
      <c r="BA96" s="7">
        <v>-226</v>
      </c>
      <c r="BB96" s="7">
        <v>572</v>
      </c>
      <c r="BC96" s="7">
        <v>-74</v>
      </c>
      <c r="BD96" s="7">
        <v>-11805</v>
      </c>
      <c r="BE96" s="7">
        <v>-5892</v>
      </c>
      <c r="BF96" s="7">
        <v>1</v>
      </c>
      <c r="BG96" s="7">
        <v>-8</v>
      </c>
      <c r="BH96" s="7">
        <v>-37</v>
      </c>
      <c r="BI96" s="7">
        <v>-615</v>
      </c>
      <c r="BJ96" s="7">
        <v>-1</v>
      </c>
      <c r="BK96" s="7">
        <v>-3543</v>
      </c>
      <c r="BL96" s="7">
        <v>-23</v>
      </c>
      <c r="BM96" s="7">
        <v>4181</v>
      </c>
      <c r="BN96" s="7">
        <v>-7214</v>
      </c>
      <c r="BO96" s="7">
        <v>9977</v>
      </c>
      <c r="BP96" s="7">
        <v>7378</v>
      </c>
      <c r="BQ96" s="7">
        <v>21074</v>
      </c>
      <c r="BR96" s="7">
        <v>17487</v>
      </c>
      <c r="BS96" s="7">
        <v>2083</v>
      </c>
      <c r="BT96" s="7">
        <v>4576</v>
      </c>
      <c r="BU96" s="7">
        <v>-9616</v>
      </c>
      <c r="BV96" s="7">
        <v>22688</v>
      </c>
      <c r="BW96" s="7">
        <v>-1045</v>
      </c>
      <c r="BX96" s="7">
        <v>6616</v>
      </c>
      <c r="BY96" s="7">
        <v>3714</v>
      </c>
      <c r="BZ96" s="7">
        <v>-14565</v>
      </c>
      <c r="CA96" s="7">
        <v>8857</v>
      </c>
      <c r="CB96" s="7">
        <v>-745</v>
      </c>
      <c r="CC96" s="7">
        <v>-7196</v>
      </c>
      <c r="CD96" s="7">
        <v>-293</v>
      </c>
      <c r="CE96" s="7">
        <v>-375</v>
      </c>
      <c r="CF96" s="7">
        <v>1458</v>
      </c>
      <c r="CG96" s="7">
        <v>-7718</v>
      </c>
      <c r="CH96" s="7">
        <v>726</v>
      </c>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row>
    <row r="97" spans="1:166">
      <c r="A97" s="7" t="s">
        <v>331</v>
      </c>
      <c r="B97" s="7" t="s">
        <v>88</v>
      </c>
      <c r="C97" s="7">
        <v>1000000</v>
      </c>
      <c r="D97" s="7" t="s">
        <v>89</v>
      </c>
      <c r="E97" s="7" t="s">
        <v>466</v>
      </c>
      <c r="F97" s="8" t="s">
        <v>467</v>
      </c>
      <c r="G97" s="7"/>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3306</v>
      </c>
      <c r="Z97" s="7">
        <v>1631</v>
      </c>
      <c r="AA97" s="7">
        <v>1258</v>
      </c>
      <c r="AB97" s="7">
        <v>-2094</v>
      </c>
      <c r="AC97" s="7">
        <v>3344</v>
      </c>
      <c r="AD97" s="7">
        <v>1619</v>
      </c>
      <c r="AE97" s="7">
        <v>-3065</v>
      </c>
      <c r="AF97" s="7">
        <v>353</v>
      </c>
      <c r="AG97" s="7">
        <v>3526</v>
      </c>
      <c r="AH97" s="7">
        <v>5559</v>
      </c>
      <c r="AI97" s="7">
        <v>-8037</v>
      </c>
      <c r="AJ97" s="7">
        <v>-16763</v>
      </c>
      <c r="AK97" s="7">
        <v>16661</v>
      </c>
      <c r="AL97" s="7">
        <v>11530</v>
      </c>
      <c r="AM97" s="7">
        <v>-8065</v>
      </c>
      <c r="AN97" s="7">
        <v>765</v>
      </c>
      <c r="AO97" s="7">
        <v>8953</v>
      </c>
      <c r="AP97" s="7">
        <v>22571</v>
      </c>
      <c r="AQ97" s="7">
        <v>-11279</v>
      </c>
      <c r="AR97" s="7">
        <v>16599</v>
      </c>
      <c r="AS97" s="7">
        <v>22322</v>
      </c>
      <c r="AT97" s="7">
        <v>2702</v>
      </c>
      <c r="AU97" s="7">
        <v>45434</v>
      </c>
      <c r="AV97" s="7">
        <v>31420</v>
      </c>
      <c r="AW97" s="7">
        <v>4515</v>
      </c>
      <c r="AX97" s="7">
        <v>32142</v>
      </c>
      <c r="AY97" s="7">
        <v>62389</v>
      </c>
      <c r="AZ97" s="7">
        <v>-18928</v>
      </c>
      <c r="BA97" s="7">
        <v>72748</v>
      </c>
      <c r="BB97" s="7">
        <v>14282</v>
      </c>
      <c r="BC97" s="7">
        <v>24651</v>
      </c>
      <c r="BD97" s="7">
        <v>-6697</v>
      </c>
      <c r="BE97" s="7">
        <v>125600</v>
      </c>
      <c r="BF97" s="7">
        <v>101894</v>
      </c>
      <c r="BG97" s="7">
        <v>201270</v>
      </c>
      <c r="BH97" s="7">
        <v>256961</v>
      </c>
      <c r="BI97" s="7">
        <v>295489</v>
      </c>
      <c r="BJ97" s="7">
        <v>-198447</v>
      </c>
      <c r="BK97" s="7">
        <v>-224848</v>
      </c>
      <c r="BL97" s="7">
        <v>-300500</v>
      </c>
      <c r="BM97" s="7">
        <v>243684</v>
      </c>
      <c r="BN97" s="7">
        <v>99923</v>
      </c>
      <c r="BO97" s="7">
        <v>30899</v>
      </c>
      <c r="BP97" s="7">
        <v>129293</v>
      </c>
      <c r="BQ97" s="7">
        <v>33753</v>
      </c>
      <c r="BR97" s="7">
        <v>-443387</v>
      </c>
      <c r="BS97" s="7">
        <v>171056</v>
      </c>
      <c r="BT97" s="7">
        <v>105506</v>
      </c>
      <c r="BU97" s="7">
        <v>-53</v>
      </c>
      <c r="BV97" s="7">
        <v>125889</v>
      </c>
      <c r="BW97" s="7">
        <v>308981</v>
      </c>
      <c r="BX97" s="7">
        <v>156652</v>
      </c>
      <c r="BY97" s="7">
        <v>-11711</v>
      </c>
      <c r="BZ97" s="7">
        <v>146064</v>
      </c>
      <c r="CA97" s="7">
        <v>326205</v>
      </c>
      <c r="CB97" s="7">
        <v>-118742</v>
      </c>
      <c r="CC97" s="7">
        <v>517677</v>
      </c>
      <c r="CD97" s="7">
        <v>361446</v>
      </c>
      <c r="CE97" s="7">
        <v>703077</v>
      </c>
      <c r="CF97" s="7">
        <v>-611078</v>
      </c>
      <c r="CG97" s="7">
        <v>603361</v>
      </c>
      <c r="CH97" s="7">
        <v>667459</v>
      </c>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row>
    <row r="98" spans="1:166">
      <c r="A98" s="7" t="s">
        <v>334</v>
      </c>
      <c r="B98" s="7" t="s">
        <v>88</v>
      </c>
      <c r="C98" s="7">
        <v>1000000</v>
      </c>
      <c r="D98" s="7" t="s">
        <v>89</v>
      </c>
      <c r="E98" s="7" t="s">
        <v>468</v>
      </c>
      <c r="F98" s="8" t="s">
        <v>469</v>
      </c>
      <c r="G98" s="7"/>
      <c r="H98" s="7">
        <v>0</v>
      </c>
      <c r="I98" s="7">
        <v>0</v>
      </c>
      <c r="J98" s="7">
        <v>0</v>
      </c>
      <c r="K98" s="7">
        <v>0</v>
      </c>
      <c r="L98" s="7">
        <v>0</v>
      </c>
      <c r="M98" s="7">
        <v>0</v>
      </c>
      <c r="N98" s="7">
        <v>0</v>
      </c>
      <c r="O98" s="7">
        <v>0</v>
      </c>
      <c r="P98" s="7">
        <v>0</v>
      </c>
      <c r="Q98" s="7">
        <v>0</v>
      </c>
      <c r="R98" s="7">
        <v>0</v>
      </c>
      <c r="S98" s="7">
        <v>0</v>
      </c>
      <c r="T98" s="7">
        <v>0</v>
      </c>
      <c r="U98" s="7">
        <v>0</v>
      </c>
      <c r="V98" s="7">
        <v>0</v>
      </c>
      <c r="W98" s="7">
        <v>0</v>
      </c>
      <c r="X98" s="7">
        <v>-6</v>
      </c>
      <c r="Y98" s="7">
        <v>19</v>
      </c>
      <c r="Z98" s="7">
        <v>13</v>
      </c>
      <c r="AA98" s="7">
        <v>26</v>
      </c>
      <c r="AB98" s="7">
        <v>-46</v>
      </c>
      <c r="AC98" s="7">
        <v>86</v>
      </c>
      <c r="AD98" s="7">
        <v>32</v>
      </c>
      <c r="AE98" s="7">
        <v>-155</v>
      </c>
      <c r="AF98" s="7">
        <v>-78</v>
      </c>
      <c r="AG98" s="7">
        <v>95</v>
      </c>
      <c r="AH98" s="7">
        <v>43</v>
      </c>
      <c r="AI98" s="7">
        <v>-192</v>
      </c>
      <c r="AJ98" s="7">
        <v>-269</v>
      </c>
      <c r="AK98" s="7">
        <v>148</v>
      </c>
      <c r="AL98" s="7">
        <v>106</v>
      </c>
      <c r="AM98" s="7">
        <v>-45</v>
      </c>
      <c r="AN98" s="7">
        <v>4</v>
      </c>
      <c r="AO98" s="7">
        <v>92</v>
      </c>
      <c r="AP98" s="7">
        <v>174</v>
      </c>
      <c r="AQ98" s="7">
        <v>-139</v>
      </c>
      <c r="AR98" s="7">
        <v>333</v>
      </c>
      <c r="AS98" s="7">
        <v>235</v>
      </c>
      <c r="AT98" s="7">
        <v>-155</v>
      </c>
      <c r="AU98" s="7">
        <v>-61</v>
      </c>
      <c r="AV98" s="7">
        <v>1120</v>
      </c>
      <c r="AW98" s="7">
        <v>-179</v>
      </c>
      <c r="AX98" s="7">
        <v>544</v>
      </c>
      <c r="AY98" s="7">
        <v>2522</v>
      </c>
      <c r="AZ98" s="7">
        <v>-999</v>
      </c>
      <c r="BA98" s="7">
        <v>2696</v>
      </c>
      <c r="BB98" s="7">
        <v>1284</v>
      </c>
      <c r="BC98" s="7">
        <v>1825</v>
      </c>
      <c r="BD98" s="7">
        <v>-799</v>
      </c>
      <c r="BE98" s="7">
        <v>9959</v>
      </c>
      <c r="BF98" s="7">
        <v>7811</v>
      </c>
      <c r="BG98" s="7">
        <v>10198</v>
      </c>
      <c r="BH98" s="7">
        <v>8577</v>
      </c>
      <c r="BI98" s="7">
        <v>19838</v>
      </c>
      <c r="BJ98" s="7">
        <v>-9622</v>
      </c>
      <c r="BK98" s="7">
        <v>-13385</v>
      </c>
      <c r="BL98" s="7">
        <v>-17866</v>
      </c>
      <c r="BM98" s="7">
        <v>18170</v>
      </c>
      <c r="BN98" s="7">
        <v>11941</v>
      </c>
      <c r="BO98" s="7">
        <v>8139</v>
      </c>
      <c r="BP98" s="7">
        <v>15177</v>
      </c>
      <c r="BQ98" s="7">
        <v>9711</v>
      </c>
      <c r="BR98" s="7">
        <v>-55183</v>
      </c>
      <c r="BS98" s="7">
        <v>20438</v>
      </c>
      <c r="BT98" s="7">
        <v>15646</v>
      </c>
      <c r="BU98" s="7">
        <v>-5923</v>
      </c>
      <c r="BV98" s="7">
        <v>19110</v>
      </c>
      <c r="BW98" s="7">
        <v>27868</v>
      </c>
      <c r="BX98" s="7">
        <v>8546</v>
      </c>
      <c r="BY98" s="7">
        <v>-6436</v>
      </c>
      <c r="BZ98" s="7">
        <v>13159</v>
      </c>
      <c r="CA98" s="7">
        <v>36591</v>
      </c>
      <c r="CB98" s="7">
        <v>-21788</v>
      </c>
      <c r="CC98" s="7">
        <v>50682</v>
      </c>
      <c r="CD98" s="7">
        <v>37318</v>
      </c>
      <c r="CE98" s="7">
        <v>43903</v>
      </c>
      <c r="CF98" s="7">
        <v>-76169</v>
      </c>
      <c r="CG98" s="7">
        <v>47413</v>
      </c>
      <c r="CH98" s="7">
        <v>37395</v>
      </c>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row>
    <row r="99" spans="1:166">
      <c r="A99" s="7" t="s">
        <v>337</v>
      </c>
      <c r="B99" s="7" t="s">
        <v>88</v>
      </c>
      <c r="C99" s="7">
        <v>1000000</v>
      </c>
      <c r="D99" s="7" t="s">
        <v>89</v>
      </c>
      <c r="E99" s="7" t="s">
        <v>470</v>
      </c>
      <c r="F99" s="8" t="s">
        <v>471</v>
      </c>
      <c r="G99" s="7"/>
      <c r="H99" s="7">
        <v>-213</v>
      </c>
      <c r="I99" s="7">
        <v>363</v>
      </c>
      <c r="J99" s="7">
        <v>500</v>
      </c>
      <c r="K99" s="7">
        <v>387</v>
      </c>
      <c r="L99" s="7">
        <v>434</v>
      </c>
      <c r="M99" s="7">
        <v>635</v>
      </c>
      <c r="N99" s="7">
        <v>849</v>
      </c>
      <c r="O99" s="7">
        <v>766</v>
      </c>
      <c r="P99" s="7">
        <v>674</v>
      </c>
      <c r="Q99" s="7">
        <v>905</v>
      </c>
      <c r="R99" s="7">
        <v>1114</v>
      </c>
      <c r="S99" s="7">
        <v>429</v>
      </c>
      <c r="T99" s="7">
        <v>801</v>
      </c>
      <c r="U99" s="7">
        <v>1005</v>
      </c>
      <c r="V99" s="7">
        <v>-867</v>
      </c>
      <c r="W99" s="7">
        <v>190</v>
      </c>
      <c r="X99" s="7">
        <v>-280</v>
      </c>
      <c r="Y99" s="7">
        <v>-22</v>
      </c>
      <c r="Z99" s="7">
        <v>-14</v>
      </c>
      <c r="AA99" s="7">
        <v>5699</v>
      </c>
      <c r="AB99" s="7">
        <v>-1718</v>
      </c>
      <c r="AC99" s="7">
        <v>1695</v>
      </c>
      <c r="AD99" s="7">
        <v>2662</v>
      </c>
      <c r="AE99" s="7">
        <v>3315</v>
      </c>
      <c r="AF99" s="7">
        <v>3548</v>
      </c>
      <c r="AG99" s="7">
        <v>5412</v>
      </c>
      <c r="AH99" s="7">
        <v>18760</v>
      </c>
      <c r="AI99" s="7">
        <v>8538</v>
      </c>
      <c r="AJ99" s="7">
        <v>0</v>
      </c>
      <c r="AK99" s="7">
        <v>0</v>
      </c>
      <c r="AL99" s="7">
        <v>58546</v>
      </c>
      <c r="AM99" s="7">
        <v>11466</v>
      </c>
      <c r="AN99" s="7">
        <v>22030</v>
      </c>
      <c r="AO99" s="7">
        <v>25113</v>
      </c>
      <c r="AP99" s="7">
        <v>31353</v>
      </c>
      <c r="AQ99" s="7">
        <v>9736</v>
      </c>
      <c r="AR99" s="7">
        <v>1797</v>
      </c>
      <c r="AS99" s="7">
        <v>31920</v>
      </c>
      <c r="AT99" s="7">
        <v>-19204</v>
      </c>
      <c r="AU99" s="7">
        <v>89328</v>
      </c>
      <c r="AV99" s="7">
        <v>106058</v>
      </c>
      <c r="AW99" s="7">
        <v>18191</v>
      </c>
      <c r="AX99" s="7">
        <v>69460</v>
      </c>
      <c r="AY99" s="7">
        <v>69186</v>
      </c>
      <c r="AZ99" s="7">
        <v>-118333</v>
      </c>
      <c r="BA99" s="7">
        <v>47110</v>
      </c>
      <c r="BB99" s="7">
        <v>-79708</v>
      </c>
      <c r="BC99" s="7">
        <v>139691</v>
      </c>
      <c r="BD99" s="7">
        <v>14213</v>
      </c>
      <c r="BE99" s="7">
        <v>143362</v>
      </c>
      <c r="BF99" s="7">
        <v>131907</v>
      </c>
      <c r="BG99" s="7">
        <v>149649</v>
      </c>
      <c r="BH99" s="7">
        <v>213235</v>
      </c>
      <c r="BI99" s="7">
        <v>330104</v>
      </c>
      <c r="BJ99" s="7">
        <v>-268651</v>
      </c>
      <c r="BK99" s="7">
        <v>-458391</v>
      </c>
      <c r="BL99" s="7">
        <v>-418047</v>
      </c>
      <c r="BM99" s="7">
        <v>448894</v>
      </c>
      <c r="BN99" s="7">
        <v>253053</v>
      </c>
      <c r="BO99" s="7">
        <v>193315</v>
      </c>
      <c r="BP99" s="7">
        <v>492462</v>
      </c>
      <c r="BQ99" s="7">
        <v>289365</v>
      </c>
      <c r="BR99" s="7">
        <v>-2059911</v>
      </c>
      <c r="BS99" s="7">
        <v>736923</v>
      </c>
      <c r="BT99" s="7">
        <v>148547</v>
      </c>
      <c r="BU99" s="7">
        <v>-565075</v>
      </c>
      <c r="BV99" s="7">
        <v>282598</v>
      </c>
      <c r="BW99" s="7">
        <v>603690</v>
      </c>
      <c r="BX99" s="7">
        <v>-247731</v>
      </c>
      <c r="BY99" s="7">
        <v>-451668</v>
      </c>
      <c r="BZ99" s="7">
        <v>40079</v>
      </c>
      <c r="CA99" s="7">
        <v>944746</v>
      </c>
      <c r="CB99" s="7">
        <v>-1164938</v>
      </c>
      <c r="CC99" s="7">
        <v>960421</v>
      </c>
      <c r="CD99" s="7">
        <v>325961</v>
      </c>
      <c r="CE99" s="7">
        <v>926925</v>
      </c>
      <c r="CF99" s="7">
        <v>-1727891</v>
      </c>
      <c r="CG99" s="7">
        <v>825392</v>
      </c>
      <c r="CH99" s="7">
        <v>228757</v>
      </c>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row>
    <row r="100" spans="1:166">
      <c r="A100" s="7" t="s">
        <v>358</v>
      </c>
      <c r="B100" s="7" t="s">
        <v>88</v>
      </c>
      <c r="C100" s="7">
        <v>1000000</v>
      </c>
      <c r="D100" s="7" t="s">
        <v>89</v>
      </c>
      <c r="E100" s="7" t="s">
        <v>472</v>
      </c>
      <c r="F100" s="8" t="s">
        <v>473</v>
      </c>
      <c r="G100" s="7"/>
      <c r="H100" s="7">
        <v>0</v>
      </c>
      <c r="I100" s="7">
        <v>0</v>
      </c>
      <c r="J100" s="7">
        <v>0</v>
      </c>
      <c r="K100" s="7">
        <v>0</v>
      </c>
      <c r="L100" s="7">
        <v>0</v>
      </c>
      <c r="M100" s="7">
        <v>0</v>
      </c>
      <c r="N100" s="7">
        <v>0</v>
      </c>
      <c r="O100" s="7">
        <v>0</v>
      </c>
      <c r="P100" s="7">
        <v>0</v>
      </c>
      <c r="Q100" s="7">
        <v>0</v>
      </c>
      <c r="R100" s="7">
        <v>0</v>
      </c>
      <c r="S100" s="7">
        <v>0</v>
      </c>
      <c r="T100" s="7">
        <v>0</v>
      </c>
      <c r="U100" s="7">
        <v>0</v>
      </c>
      <c r="V100" s="7">
        <v>0</v>
      </c>
      <c r="W100" s="7">
        <v>0</v>
      </c>
      <c r="X100" s="7">
        <v>0</v>
      </c>
      <c r="Y100" s="7">
        <v>0</v>
      </c>
      <c r="Z100" s="7">
        <v>0</v>
      </c>
      <c r="AA100" s="7">
        <v>0</v>
      </c>
      <c r="AB100" s="7">
        <v>0</v>
      </c>
      <c r="AC100" s="7">
        <v>0</v>
      </c>
      <c r="AD100" s="7">
        <v>0</v>
      </c>
      <c r="AE100" s="7">
        <v>0</v>
      </c>
      <c r="AF100" s="7">
        <v>0</v>
      </c>
      <c r="AG100" s="7">
        <v>0</v>
      </c>
      <c r="AH100" s="7">
        <v>0</v>
      </c>
      <c r="AI100" s="7">
        <v>0</v>
      </c>
      <c r="AJ100" s="7">
        <v>0</v>
      </c>
      <c r="AK100" s="7">
        <v>0</v>
      </c>
      <c r="AL100" s="7">
        <v>0</v>
      </c>
      <c r="AM100" s="7">
        <v>0</v>
      </c>
      <c r="AN100" s="7">
        <v>0</v>
      </c>
      <c r="AO100" s="7">
        <v>0</v>
      </c>
      <c r="AP100" s="7">
        <v>0</v>
      </c>
      <c r="AQ100" s="7">
        <v>0</v>
      </c>
      <c r="AR100" s="7">
        <v>0</v>
      </c>
      <c r="AS100" s="7">
        <v>0</v>
      </c>
      <c r="AT100" s="7">
        <v>0</v>
      </c>
      <c r="AU100" s="7">
        <v>0</v>
      </c>
      <c r="AV100" s="7">
        <v>0</v>
      </c>
      <c r="AW100" s="7">
        <v>0</v>
      </c>
      <c r="AX100" s="7">
        <v>0</v>
      </c>
      <c r="AY100" s="7">
        <v>0</v>
      </c>
      <c r="AZ100" s="7">
        <v>0</v>
      </c>
      <c r="BA100" s="7">
        <v>0</v>
      </c>
      <c r="BB100" s="7">
        <v>1</v>
      </c>
      <c r="BC100" s="7">
        <v>-5</v>
      </c>
      <c r="BD100" s="7">
        <v>23</v>
      </c>
      <c r="BE100" s="7">
        <v>-38</v>
      </c>
      <c r="BF100" s="7">
        <v>16</v>
      </c>
      <c r="BG100" s="7">
        <v>-28</v>
      </c>
      <c r="BH100" s="7">
        <v>-16</v>
      </c>
      <c r="BI100" s="7">
        <v>73</v>
      </c>
      <c r="BJ100" s="7">
        <v>-12</v>
      </c>
      <c r="BK100" s="7">
        <v>-50</v>
      </c>
      <c r="BL100" s="7">
        <v>-49</v>
      </c>
      <c r="BM100" s="7">
        <v>-9</v>
      </c>
      <c r="BN100" s="7">
        <v>15</v>
      </c>
      <c r="BO100" s="7">
        <v>50</v>
      </c>
      <c r="BP100" s="7">
        <v>53</v>
      </c>
      <c r="BQ100" s="7">
        <v>35</v>
      </c>
      <c r="BR100" s="7">
        <v>257</v>
      </c>
      <c r="BS100" s="7">
        <v>-730</v>
      </c>
      <c r="BT100" s="7">
        <v>-121</v>
      </c>
      <c r="BU100" s="7">
        <v>-62</v>
      </c>
      <c r="BV100" s="7">
        <v>-188</v>
      </c>
      <c r="BW100" s="7">
        <v>275</v>
      </c>
      <c r="BX100" s="7">
        <v>-98</v>
      </c>
      <c r="BY100" s="7">
        <v>299</v>
      </c>
      <c r="BZ100" s="7">
        <v>-71</v>
      </c>
      <c r="CA100" s="7">
        <v>-108</v>
      </c>
      <c r="CB100" s="7">
        <v>506</v>
      </c>
      <c r="CC100" s="7">
        <v>-953</v>
      </c>
      <c r="CD100" s="7">
        <v>-680</v>
      </c>
      <c r="CE100" s="7">
        <v>760</v>
      </c>
      <c r="CF100" s="7">
        <v>4115</v>
      </c>
      <c r="CG100" s="7">
        <v>-935</v>
      </c>
      <c r="CH100" s="7">
        <v>163</v>
      </c>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row>
    <row r="101" spans="1:166">
      <c r="A101" s="7" t="s">
        <v>361</v>
      </c>
      <c r="B101" s="7" t="s">
        <v>88</v>
      </c>
      <c r="C101" s="7">
        <v>1000000</v>
      </c>
      <c r="D101" s="7" t="s">
        <v>89</v>
      </c>
      <c r="E101" s="7" t="s">
        <v>474</v>
      </c>
      <c r="F101" s="8" t="s">
        <v>475</v>
      </c>
      <c r="G101" s="7"/>
      <c r="H101" s="7">
        <v>-7410</v>
      </c>
      <c r="I101" s="7">
        <v>-3195</v>
      </c>
      <c r="J101" s="7">
        <v>-1833</v>
      </c>
      <c r="K101" s="7">
        <v>8565</v>
      </c>
      <c r="L101" s="7">
        <v>21929</v>
      </c>
      <c r="M101" s="7">
        <v>19010</v>
      </c>
      <c r="N101" s="7">
        <v>-3229</v>
      </c>
      <c r="O101" s="7">
        <v>-4175</v>
      </c>
      <c r="P101" s="7">
        <v>49274</v>
      </c>
      <c r="Q101" s="7">
        <v>46054</v>
      </c>
      <c r="R101" s="7">
        <v>22021</v>
      </c>
      <c r="S101" s="7">
        <v>-24381</v>
      </c>
      <c r="T101" s="7">
        <v>74964</v>
      </c>
      <c r="U101" s="7">
        <v>34593</v>
      </c>
      <c r="V101" s="7">
        <v>1556</v>
      </c>
      <c r="W101" s="7">
        <v>66941</v>
      </c>
      <c r="X101" s="7">
        <v>-11110</v>
      </c>
      <c r="Y101" s="7">
        <v>38785</v>
      </c>
      <c r="Z101" s="7">
        <v>75779</v>
      </c>
      <c r="AA101" s="7">
        <v>74517</v>
      </c>
      <c r="AB101" s="7">
        <v>-73185</v>
      </c>
      <c r="AC101" s="7">
        <v>156087</v>
      </c>
      <c r="AD101" s="7">
        <v>126360</v>
      </c>
      <c r="AE101" s="7">
        <v>-136875</v>
      </c>
      <c r="AF101" s="7">
        <v>-6062</v>
      </c>
      <c r="AG101" s="7">
        <v>99998</v>
      </c>
      <c r="AH101" s="7">
        <v>191955</v>
      </c>
      <c r="AI101" s="7">
        <v>-217511</v>
      </c>
      <c r="AJ101" s="7">
        <v>-240483</v>
      </c>
      <c r="AK101" s="7">
        <v>169772</v>
      </c>
      <c r="AL101" s="7">
        <v>154308</v>
      </c>
      <c r="AM101" s="7">
        <v>-100056</v>
      </c>
      <c r="AN101" s="7">
        <v>29422</v>
      </c>
      <c r="AO101" s="7">
        <v>165848</v>
      </c>
      <c r="AP101" s="7">
        <v>309174</v>
      </c>
      <c r="AQ101" s="7">
        <v>-82176</v>
      </c>
      <c r="AR101" s="7">
        <v>128357</v>
      </c>
      <c r="AS101" s="7">
        <v>185642</v>
      </c>
      <c r="AT101" s="7">
        <v>6157</v>
      </c>
      <c r="AU101" s="7">
        <v>390915</v>
      </c>
      <c r="AV101" s="7">
        <v>398607</v>
      </c>
      <c r="AW101" s="7">
        <v>127544</v>
      </c>
      <c r="AX101" s="7">
        <v>442276</v>
      </c>
      <c r="AY101" s="7">
        <v>680573</v>
      </c>
      <c r="AZ101" s="7">
        <v>-125038</v>
      </c>
      <c r="BA101" s="7">
        <v>987934</v>
      </c>
      <c r="BB101" s="7">
        <v>307734</v>
      </c>
      <c r="BC101" s="7">
        <v>403213</v>
      </c>
      <c r="BD101" s="7">
        <v>-48314</v>
      </c>
      <c r="BE101" s="7">
        <v>1603307</v>
      </c>
      <c r="BF101" s="7">
        <v>951084</v>
      </c>
      <c r="BG101" s="7">
        <v>2113425</v>
      </c>
      <c r="BH101" s="7">
        <v>2750540</v>
      </c>
      <c r="BI101" s="7">
        <v>3635616</v>
      </c>
      <c r="BJ101" s="7">
        <v>-2178207</v>
      </c>
      <c r="BK101" s="7">
        <v>-1638510</v>
      </c>
      <c r="BL101" s="7">
        <v>-3040776</v>
      </c>
      <c r="BM101" s="7">
        <v>2608448</v>
      </c>
      <c r="BN101" s="7">
        <v>1564679</v>
      </c>
      <c r="BO101" s="7">
        <v>756240</v>
      </c>
      <c r="BP101" s="7">
        <v>2237400</v>
      </c>
      <c r="BQ101" s="7">
        <v>1423714</v>
      </c>
      <c r="BR101" s="7">
        <v>-6033315</v>
      </c>
      <c r="BS101" s="7">
        <v>2772961</v>
      </c>
      <c r="BT101" s="7">
        <v>2062185</v>
      </c>
      <c r="BU101" s="7">
        <v>234528</v>
      </c>
      <c r="BV101" s="7">
        <v>2134842</v>
      </c>
      <c r="BW101" s="7">
        <v>5819740</v>
      </c>
      <c r="BX101" s="7">
        <v>3025393</v>
      </c>
      <c r="BY101" s="7">
        <v>-606809</v>
      </c>
      <c r="BZ101" s="7">
        <v>2066359</v>
      </c>
      <c r="CA101" s="7">
        <v>5085002</v>
      </c>
      <c r="CB101" s="7">
        <v>-1899502</v>
      </c>
      <c r="CC101" s="7">
        <v>8516965</v>
      </c>
      <c r="CD101" s="7">
        <v>9541605</v>
      </c>
      <c r="CE101" s="7">
        <v>12431552</v>
      </c>
      <c r="CF101" s="7">
        <v>-13568909</v>
      </c>
      <c r="CG101" s="7">
        <v>11872051</v>
      </c>
      <c r="CH101" s="7">
        <v>13449618</v>
      </c>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row>
    <row r="102" spans="1:166">
      <c r="A102" s="7" t="s">
        <v>394</v>
      </c>
      <c r="B102" s="7" t="s">
        <v>88</v>
      </c>
      <c r="C102" s="7">
        <v>1000000</v>
      </c>
      <c r="D102" s="7" t="s">
        <v>89</v>
      </c>
      <c r="E102" s="7" t="s">
        <v>476</v>
      </c>
      <c r="F102" s="8" t="s">
        <v>477</v>
      </c>
      <c r="G102" s="7"/>
      <c r="H102" s="7">
        <v>1</v>
      </c>
      <c r="I102" s="7">
        <v>49</v>
      </c>
      <c r="J102" s="7">
        <v>75</v>
      </c>
      <c r="K102" s="7">
        <v>49</v>
      </c>
      <c r="L102" s="7">
        <v>168</v>
      </c>
      <c r="M102" s="7">
        <v>78</v>
      </c>
      <c r="N102" s="7">
        <v>23</v>
      </c>
      <c r="O102" s="7">
        <v>21</v>
      </c>
      <c r="P102" s="7">
        <v>40</v>
      </c>
      <c r="Q102" s="7">
        <v>37</v>
      </c>
      <c r="R102" s="7">
        <v>23</v>
      </c>
      <c r="S102" s="7">
        <v>15</v>
      </c>
      <c r="T102" s="7">
        <v>48</v>
      </c>
      <c r="U102" s="7">
        <v>39</v>
      </c>
      <c r="V102" s="7">
        <v>2</v>
      </c>
      <c r="W102" s="7">
        <v>3</v>
      </c>
      <c r="X102" s="7">
        <v>-8</v>
      </c>
      <c r="Y102" s="7">
        <v>8</v>
      </c>
      <c r="Z102" s="7">
        <v>-3</v>
      </c>
      <c r="AA102" s="7">
        <v>-6</v>
      </c>
      <c r="AB102" s="7">
        <v>-3</v>
      </c>
      <c r="AC102" s="7">
        <v>11</v>
      </c>
      <c r="AD102" s="7">
        <v>-8</v>
      </c>
      <c r="AE102" s="7">
        <v>-7</v>
      </c>
      <c r="AF102" s="7">
        <v>14</v>
      </c>
      <c r="AG102" s="7">
        <v>6</v>
      </c>
      <c r="AH102" s="7">
        <v>27</v>
      </c>
      <c r="AI102" s="7">
        <v>53</v>
      </c>
      <c r="AJ102" s="7">
        <v>1</v>
      </c>
      <c r="AK102" s="7">
        <v>0</v>
      </c>
      <c r="AL102" s="7">
        <v>603</v>
      </c>
      <c r="AM102" s="7">
        <v>773</v>
      </c>
      <c r="AN102" s="7">
        <v>1060</v>
      </c>
      <c r="AO102" s="7">
        <v>1431</v>
      </c>
      <c r="AP102" s="7">
        <v>3916</v>
      </c>
      <c r="AQ102" s="7">
        <v>2214</v>
      </c>
      <c r="AR102" s="7">
        <v>-8110</v>
      </c>
      <c r="AS102" s="7">
        <v>-1</v>
      </c>
      <c r="AT102" s="7">
        <v>2</v>
      </c>
      <c r="AU102" s="7">
        <v>0</v>
      </c>
      <c r="AV102" s="7">
        <v>-1</v>
      </c>
      <c r="AW102" s="7">
        <v>-6236</v>
      </c>
      <c r="AX102" s="7">
        <v>1</v>
      </c>
      <c r="AY102" s="7">
        <v>0</v>
      </c>
      <c r="AZ102" s="7">
        <v>1</v>
      </c>
      <c r="BA102" s="7">
        <v>-2</v>
      </c>
      <c r="BB102" s="7">
        <v>1290</v>
      </c>
      <c r="BC102" s="7">
        <v>0</v>
      </c>
      <c r="BD102" s="7">
        <v>-11548</v>
      </c>
      <c r="BE102" s="7">
        <v>0</v>
      </c>
      <c r="BF102" s="7">
        <v>-2</v>
      </c>
      <c r="BG102" s="7">
        <v>-1148</v>
      </c>
      <c r="BH102" s="7">
        <v>-1</v>
      </c>
      <c r="BI102" s="7">
        <v>0</v>
      </c>
      <c r="BJ102" s="7">
        <v>1</v>
      </c>
      <c r="BK102" s="7">
        <v>0</v>
      </c>
      <c r="BL102" s="7">
        <v>-7075</v>
      </c>
      <c r="BM102" s="7">
        <v>-815</v>
      </c>
      <c r="BN102" s="7">
        <v>-2653</v>
      </c>
      <c r="BO102" s="7">
        <v>12704</v>
      </c>
      <c r="BP102" s="7">
        <v>3576</v>
      </c>
      <c r="BQ102" s="7">
        <v>21270</v>
      </c>
      <c r="BR102" s="7">
        <v>14375</v>
      </c>
      <c r="BS102" s="7">
        <v>-5534</v>
      </c>
      <c r="BT102" s="7">
        <v>8643</v>
      </c>
      <c r="BU102" s="7">
        <v>-12434</v>
      </c>
      <c r="BV102" s="7">
        <v>-24675</v>
      </c>
      <c r="BW102" s="7">
        <v>-218</v>
      </c>
      <c r="BX102" s="7">
        <v>-8284</v>
      </c>
      <c r="BY102" s="7">
        <v>1964</v>
      </c>
      <c r="BZ102" s="7">
        <v>-38325</v>
      </c>
      <c r="CA102" s="7">
        <v>13245</v>
      </c>
      <c r="CB102" s="7">
        <v>9142</v>
      </c>
      <c r="CC102" s="7">
        <v>-8668</v>
      </c>
      <c r="CD102" s="7">
        <v>-5775</v>
      </c>
      <c r="CE102" s="7">
        <v>-6764</v>
      </c>
      <c r="CF102" s="7">
        <v>-19244</v>
      </c>
      <c r="CG102" s="7">
        <v>-6330</v>
      </c>
      <c r="CH102" s="7">
        <v>14974</v>
      </c>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row>
    <row r="103" spans="1:166">
      <c r="A103" s="7" t="s">
        <v>400</v>
      </c>
      <c r="B103" s="7" t="s">
        <v>88</v>
      </c>
      <c r="C103" s="7">
        <v>1000000</v>
      </c>
      <c r="D103" s="7" t="s">
        <v>89</v>
      </c>
      <c r="E103" s="7" t="s">
        <v>478</v>
      </c>
      <c r="F103" s="8" t="s">
        <v>479</v>
      </c>
      <c r="G103" s="7"/>
      <c r="H103" s="7">
        <v>-7410</v>
      </c>
      <c r="I103" s="7">
        <v>-3279</v>
      </c>
      <c r="J103" s="7">
        <v>-1975</v>
      </c>
      <c r="K103" s="7">
        <v>8469</v>
      </c>
      <c r="L103" s="7">
        <v>21571</v>
      </c>
      <c r="M103" s="7">
        <v>18841</v>
      </c>
      <c r="N103" s="7">
        <v>-3321</v>
      </c>
      <c r="O103" s="7">
        <v>-4312</v>
      </c>
      <c r="P103" s="7">
        <v>49175</v>
      </c>
      <c r="Q103" s="7">
        <v>47663</v>
      </c>
      <c r="R103" s="7">
        <v>21901</v>
      </c>
      <c r="S103" s="7">
        <v>-25067</v>
      </c>
      <c r="T103" s="7">
        <v>76955</v>
      </c>
      <c r="U103" s="7">
        <v>35409</v>
      </c>
      <c r="V103" s="7">
        <v>1644</v>
      </c>
      <c r="W103" s="7">
        <v>70387</v>
      </c>
      <c r="X103" s="7">
        <v>-13729</v>
      </c>
      <c r="Y103" s="7">
        <v>41806</v>
      </c>
      <c r="Z103" s="7">
        <v>79031</v>
      </c>
      <c r="AA103" s="7">
        <v>77885</v>
      </c>
      <c r="AB103" s="7">
        <v>-77180</v>
      </c>
      <c r="AC103" s="7">
        <v>161933</v>
      </c>
      <c r="AD103" s="7">
        <v>131088</v>
      </c>
      <c r="AE103" s="7">
        <v>-141481</v>
      </c>
      <c r="AF103" s="7">
        <v>-8376</v>
      </c>
      <c r="AG103" s="7">
        <v>110110</v>
      </c>
      <c r="AH103" s="7">
        <v>197886</v>
      </c>
      <c r="AI103" s="7">
        <v>-231209</v>
      </c>
      <c r="AJ103" s="7">
        <v>-255926</v>
      </c>
      <c r="AK103" s="7">
        <v>187325</v>
      </c>
      <c r="AL103" s="7">
        <v>161960</v>
      </c>
      <c r="AM103" s="7">
        <v>-110975</v>
      </c>
      <c r="AN103" s="7">
        <v>37264</v>
      </c>
      <c r="AO103" s="7">
        <v>166246</v>
      </c>
      <c r="AP103" s="7">
        <v>321312</v>
      </c>
      <c r="AQ103" s="7">
        <v>-107434</v>
      </c>
      <c r="AR103" s="7">
        <v>158904</v>
      </c>
      <c r="AS103" s="7">
        <v>223921</v>
      </c>
      <c r="AT103" s="7">
        <v>1992</v>
      </c>
      <c r="AU103" s="7">
        <v>448047</v>
      </c>
      <c r="AV103" s="7">
        <v>408921</v>
      </c>
      <c r="AW103" s="7">
        <v>121263</v>
      </c>
      <c r="AX103" s="7">
        <v>400956</v>
      </c>
      <c r="AY103" s="7">
        <v>704654</v>
      </c>
      <c r="AZ103" s="7">
        <v>-119783</v>
      </c>
      <c r="BA103" s="7">
        <v>1024493</v>
      </c>
      <c r="BB103" s="7">
        <v>336001</v>
      </c>
      <c r="BC103" s="7">
        <v>461573</v>
      </c>
      <c r="BD103" s="7">
        <v>16</v>
      </c>
      <c r="BE103" s="7">
        <v>1670173</v>
      </c>
      <c r="BF103" s="7">
        <v>998334</v>
      </c>
      <c r="BG103" s="7">
        <v>2101024</v>
      </c>
      <c r="BH103" s="7">
        <v>2662343</v>
      </c>
      <c r="BI103" s="7">
        <v>3597440</v>
      </c>
      <c r="BJ103" s="7">
        <v>-1984966</v>
      </c>
      <c r="BK103" s="7">
        <v>-1412984</v>
      </c>
      <c r="BL103" s="7">
        <v>-2667172</v>
      </c>
      <c r="BM103" s="7">
        <v>2664088</v>
      </c>
      <c r="BN103" s="7">
        <v>1650488</v>
      </c>
      <c r="BO103" s="7">
        <v>941143</v>
      </c>
      <c r="BP103" s="7">
        <v>2223229</v>
      </c>
      <c r="BQ103" s="7">
        <v>1432076</v>
      </c>
      <c r="BR103" s="7">
        <v>-5445935</v>
      </c>
      <c r="BS103" s="7">
        <v>2724306</v>
      </c>
      <c r="BT103" s="7">
        <v>2070095</v>
      </c>
      <c r="BU103" s="7">
        <v>378317</v>
      </c>
      <c r="BV103" s="7">
        <v>2144593</v>
      </c>
      <c r="BW103" s="7">
        <v>5453902</v>
      </c>
      <c r="BX103" s="7">
        <v>2931577</v>
      </c>
      <c r="BY103" s="7">
        <v>-479202</v>
      </c>
      <c r="BZ103" s="7">
        <v>1949679</v>
      </c>
      <c r="CA103" s="7">
        <v>4508313</v>
      </c>
      <c r="CB103" s="7">
        <v>-1473147</v>
      </c>
      <c r="CC103" s="7">
        <v>7480838</v>
      </c>
      <c r="CD103" s="7">
        <v>8791906</v>
      </c>
      <c r="CE103" s="7">
        <v>10553626</v>
      </c>
      <c r="CF103" s="7">
        <v>-11621171</v>
      </c>
      <c r="CG103" s="7">
        <v>10293669</v>
      </c>
      <c r="CH103" s="7">
        <v>11383083</v>
      </c>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row>
    <row r="104" spans="1:166">
      <c r="A104" s="7" t="s">
        <v>403</v>
      </c>
      <c r="B104" s="7" t="s">
        <v>88</v>
      </c>
      <c r="C104" s="7">
        <v>1000000</v>
      </c>
      <c r="D104" s="7" t="s">
        <v>89</v>
      </c>
      <c r="E104" s="7" t="s">
        <v>480</v>
      </c>
      <c r="F104" s="8" t="s">
        <v>481</v>
      </c>
      <c r="G104" s="7"/>
      <c r="H104" s="7">
        <v>0</v>
      </c>
      <c r="I104" s="7">
        <v>41</v>
      </c>
      <c r="J104" s="7">
        <v>74</v>
      </c>
      <c r="K104" s="7">
        <v>49</v>
      </c>
      <c r="L104" s="7">
        <v>202</v>
      </c>
      <c r="M104" s="7">
        <v>99</v>
      </c>
      <c r="N104" s="7">
        <v>103</v>
      </c>
      <c r="O104" s="7">
        <v>133</v>
      </c>
      <c r="P104" s="7">
        <v>122</v>
      </c>
      <c r="Q104" s="7">
        <v>143</v>
      </c>
      <c r="R104" s="7">
        <v>145</v>
      </c>
      <c r="S104" s="7">
        <v>113</v>
      </c>
      <c r="T104" s="7">
        <v>142</v>
      </c>
      <c r="U104" s="7">
        <v>181</v>
      </c>
      <c r="V104" s="7">
        <v>4</v>
      </c>
      <c r="W104" s="7">
        <v>-148</v>
      </c>
      <c r="X104" s="7">
        <v>92</v>
      </c>
      <c r="Y104" s="7">
        <v>-56</v>
      </c>
      <c r="Z104" s="7">
        <v>-107</v>
      </c>
      <c r="AA104" s="7">
        <v>-55</v>
      </c>
      <c r="AB104" s="7">
        <v>152</v>
      </c>
      <c r="AC104" s="7">
        <v>-34</v>
      </c>
      <c r="AD104" s="7">
        <v>-94</v>
      </c>
      <c r="AE104" s="7">
        <v>167</v>
      </c>
      <c r="AF104" s="7">
        <v>78</v>
      </c>
      <c r="AG104" s="7">
        <v>-175</v>
      </c>
      <c r="AH104" s="7">
        <v>-131</v>
      </c>
      <c r="AI104" s="7">
        <v>28</v>
      </c>
      <c r="AJ104" s="7">
        <v>136</v>
      </c>
      <c r="AK104" s="7">
        <v>-3</v>
      </c>
      <c r="AL104" s="7">
        <v>345</v>
      </c>
      <c r="AM104" s="7">
        <v>3381</v>
      </c>
      <c r="AN104" s="7">
        <v>4549</v>
      </c>
      <c r="AO104" s="7">
        <v>5986</v>
      </c>
      <c r="AP104" s="7">
        <v>15062</v>
      </c>
      <c r="AQ104" s="7">
        <v>10705</v>
      </c>
      <c r="AR104" s="7">
        <v>10842</v>
      </c>
      <c r="AS104" s="7">
        <v>11123</v>
      </c>
      <c r="AT104" s="7">
        <v>-3322</v>
      </c>
      <c r="AU104" s="7">
        <v>22423</v>
      </c>
      <c r="AV104" s="7">
        <v>16608</v>
      </c>
      <c r="AW104" s="7">
        <v>-1085</v>
      </c>
      <c r="AX104" s="7">
        <v>14869</v>
      </c>
      <c r="AY104" s="7">
        <v>64386</v>
      </c>
      <c r="AZ104" s="7">
        <v>-27600</v>
      </c>
      <c r="BA104" s="7">
        <v>86125</v>
      </c>
      <c r="BB104" s="7">
        <v>13641</v>
      </c>
      <c r="BC104" s="7">
        <v>5095</v>
      </c>
      <c r="BD104" s="7">
        <v>-14691</v>
      </c>
      <c r="BE104" s="7">
        <v>149521</v>
      </c>
      <c r="BF104" s="7">
        <v>115117</v>
      </c>
      <c r="BG104" s="7">
        <v>234301</v>
      </c>
      <c r="BH104" s="7">
        <v>287694</v>
      </c>
      <c r="BI104" s="7">
        <v>275187</v>
      </c>
      <c r="BJ104" s="7">
        <v>-232541</v>
      </c>
      <c r="BK104" s="7">
        <v>-317666</v>
      </c>
      <c r="BL104" s="7">
        <v>-516285</v>
      </c>
      <c r="BM104" s="7">
        <v>293794</v>
      </c>
      <c r="BN104" s="7">
        <v>82353</v>
      </c>
      <c r="BO104" s="7">
        <v>-21609</v>
      </c>
      <c r="BP104" s="7">
        <v>170413</v>
      </c>
      <c r="BQ104" s="7">
        <v>41788</v>
      </c>
      <c r="BR104" s="7">
        <v>-1193160</v>
      </c>
      <c r="BS104" s="7">
        <v>301315</v>
      </c>
      <c r="BT104" s="7">
        <v>163226</v>
      </c>
      <c r="BU104" s="7">
        <v>-130744</v>
      </c>
      <c r="BV104" s="7">
        <v>195020</v>
      </c>
      <c r="BW104" s="7">
        <v>691444</v>
      </c>
      <c r="BX104" s="7">
        <v>255218</v>
      </c>
      <c r="BY104" s="7">
        <v>-173111</v>
      </c>
      <c r="BZ104" s="7">
        <v>297277</v>
      </c>
      <c r="CA104" s="7">
        <v>833529</v>
      </c>
      <c r="CB104" s="7">
        <v>-587613</v>
      </c>
      <c r="CC104" s="7">
        <v>1479329</v>
      </c>
      <c r="CD104" s="7">
        <v>1065888</v>
      </c>
      <c r="CE104" s="7">
        <v>2179147</v>
      </c>
      <c r="CF104" s="7">
        <v>-2491897</v>
      </c>
      <c r="CG104" s="7">
        <v>1957421</v>
      </c>
      <c r="CH104" s="7">
        <v>2318812</v>
      </c>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row>
    <row r="105" spans="1:166">
      <c r="A105" s="7" t="s">
        <v>406</v>
      </c>
      <c r="B105" s="7" t="s">
        <v>88</v>
      </c>
      <c r="C105" s="7">
        <v>1000000</v>
      </c>
      <c r="D105" s="7" t="s">
        <v>89</v>
      </c>
      <c r="E105" s="7" t="s">
        <v>482</v>
      </c>
      <c r="F105" s="8" t="s">
        <v>483</v>
      </c>
      <c r="G105" s="7"/>
      <c r="H105" s="7">
        <v>0</v>
      </c>
      <c r="I105" s="7">
        <v>-6</v>
      </c>
      <c r="J105" s="7">
        <v>-7</v>
      </c>
      <c r="K105" s="7">
        <v>-3</v>
      </c>
      <c r="L105" s="7">
        <v>-10</v>
      </c>
      <c r="M105" s="7">
        <v>-8</v>
      </c>
      <c r="N105" s="7">
        <v>-34</v>
      </c>
      <c r="O105" s="7">
        <v>-17</v>
      </c>
      <c r="P105" s="7">
        <v>-60</v>
      </c>
      <c r="Q105" s="7">
        <v>-1786</v>
      </c>
      <c r="R105" s="7">
        <v>-48</v>
      </c>
      <c r="S105" s="7">
        <v>556</v>
      </c>
      <c r="T105" s="7">
        <v>-2180</v>
      </c>
      <c r="U105" s="7">
        <v>-1035</v>
      </c>
      <c r="V105" s="7">
        <v>-95</v>
      </c>
      <c r="W105" s="7">
        <v>-3303</v>
      </c>
      <c r="X105" s="7">
        <v>2534</v>
      </c>
      <c r="Y105" s="7">
        <v>-2970</v>
      </c>
      <c r="Z105" s="7">
        <v>-3144</v>
      </c>
      <c r="AA105" s="7">
        <v>-3306</v>
      </c>
      <c r="AB105" s="7">
        <v>3845</v>
      </c>
      <c r="AC105" s="7">
        <v>-5821</v>
      </c>
      <c r="AD105" s="7">
        <v>-4627</v>
      </c>
      <c r="AE105" s="7">
        <v>4447</v>
      </c>
      <c r="AF105" s="7">
        <v>2224</v>
      </c>
      <c r="AG105" s="7">
        <v>-9944</v>
      </c>
      <c r="AH105" s="7">
        <v>-5825</v>
      </c>
      <c r="AI105" s="7">
        <v>13615</v>
      </c>
      <c r="AJ105" s="7">
        <v>15308</v>
      </c>
      <c r="AK105" s="7">
        <v>-17552</v>
      </c>
      <c r="AL105" s="7">
        <v>-8602</v>
      </c>
      <c r="AM105" s="7">
        <v>6765</v>
      </c>
      <c r="AN105" s="7">
        <v>-13451</v>
      </c>
      <c r="AO105" s="7">
        <v>-7813</v>
      </c>
      <c r="AP105" s="7">
        <v>-31114</v>
      </c>
      <c r="AQ105" s="7">
        <v>12337</v>
      </c>
      <c r="AR105" s="7">
        <v>-33280</v>
      </c>
      <c r="AS105" s="7">
        <v>-49401</v>
      </c>
      <c r="AT105" s="7">
        <v>7484</v>
      </c>
      <c r="AU105" s="7">
        <v>-79557</v>
      </c>
      <c r="AV105" s="7">
        <v>-26918</v>
      </c>
      <c r="AW105" s="7">
        <v>13602</v>
      </c>
      <c r="AX105" s="7">
        <v>26448</v>
      </c>
      <c r="AY105" s="7">
        <v>-88463</v>
      </c>
      <c r="AZ105" s="7">
        <v>22345</v>
      </c>
      <c r="BA105" s="7">
        <v>-122682</v>
      </c>
      <c r="BB105" s="7">
        <v>-43200</v>
      </c>
      <c r="BC105" s="7">
        <v>-63457</v>
      </c>
      <c r="BD105" s="7">
        <v>-22091</v>
      </c>
      <c r="BE105" s="7">
        <v>-216386</v>
      </c>
      <c r="BF105" s="7">
        <v>-162366</v>
      </c>
      <c r="BG105" s="7">
        <v>-220749</v>
      </c>
      <c r="BH105" s="7">
        <v>-199495</v>
      </c>
      <c r="BI105" s="7">
        <v>-237012</v>
      </c>
      <c r="BJ105" s="7">
        <v>39301</v>
      </c>
      <c r="BK105" s="7">
        <v>92140</v>
      </c>
      <c r="BL105" s="7">
        <v>149755</v>
      </c>
      <c r="BM105" s="7">
        <v>-348620</v>
      </c>
      <c r="BN105" s="7">
        <v>-165511</v>
      </c>
      <c r="BO105" s="7">
        <v>-175998</v>
      </c>
      <c r="BP105" s="7">
        <v>-159819</v>
      </c>
      <c r="BQ105" s="7">
        <v>-71421</v>
      </c>
      <c r="BR105" s="7">
        <v>591406</v>
      </c>
      <c r="BS105" s="7">
        <v>-247124</v>
      </c>
      <c r="BT105" s="7">
        <v>-179779</v>
      </c>
      <c r="BU105" s="7">
        <v>-610</v>
      </c>
      <c r="BV105" s="7">
        <v>-180095</v>
      </c>
      <c r="BW105" s="7">
        <v>-325390</v>
      </c>
      <c r="BX105" s="7">
        <v>-153117</v>
      </c>
      <c r="BY105" s="7">
        <v>43540</v>
      </c>
      <c r="BZ105" s="7">
        <v>-142272</v>
      </c>
      <c r="CA105" s="7">
        <v>-270085</v>
      </c>
      <c r="CB105" s="7">
        <v>152118</v>
      </c>
      <c r="CC105" s="7">
        <v>-434536</v>
      </c>
      <c r="CD105" s="7">
        <v>-310414</v>
      </c>
      <c r="CE105" s="7">
        <v>-294462</v>
      </c>
      <c r="CF105" s="7">
        <v>563406</v>
      </c>
      <c r="CG105" s="7">
        <v>-372710</v>
      </c>
      <c r="CH105" s="7">
        <v>-267252</v>
      </c>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row>
    <row r="106" spans="1:166">
      <c r="A106" s="7" t="s">
        <v>424</v>
      </c>
      <c r="B106" s="7" t="s">
        <v>88</v>
      </c>
      <c r="C106" s="7">
        <v>1000000</v>
      </c>
      <c r="D106" s="7" t="s">
        <v>89</v>
      </c>
      <c r="E106" s="7" t="s">
        <v>484</v>
      </c>
      <c r="F106" s="8" t="s">
        <v>485</v>
      </c>
      <c r="G106" s="7"/>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0</v>
      </c>
      <c r="AC106" s="7">
        <v>0</v>
      </c>
      <c r="AD106" s="7">
        <v>0</v>
      </c>
      <c r="AE106" s="7">
        <v>0</v>
      </c>
      <c r="AF106" s="7">
        <v>0</v>
      </c>
      <c r="AG106" s="7">
        <v>0</v>
      </c>
      <c r="AH106" s="7">
        <v>0</v>
      </c>
      <c r="AI106" s="7">
        <v>0</v>
      </c>
      <c r="AJ106" s="7">
        <v>0</v>
      </c>
      <c r="AK106" s="7">
        <v>0</v>
      </c>
      <c r="AL106" s="7">
        <v>0</v>
      </c>
      <c r="AM106" s="7">
        <v>0</v>
      </c>
      <c r="AN106" s="7">
        <v>0</v>
      </c>
      <c r="AO106" s="7">
        <v>0</v>
      </c>
      <c r="AP106" s="7">
        <v>0</v>
      </c>
      <c r="AQ106" s="7">
        <v>0</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0</v>
      </c>
      <c r="BI106" s="7">
        <v>0</v>
      </c>
      <c r="BJ106" s="7">
        <v>0</v>
      </c>
      <c r="BK106" s="7">
        <v>0</v>
      </c>
      <c r="BL106" s="7">
        <v>0</v>
      </c>
      <c r="BM106" s="7">
        <v>0</v>
      </c>
      <c r="BN106" s="7">
        <v>0</v>
      </c>
      <c r="BO106" s="7">
        <v>0</v>
      </c>
      <c r="BP106" s="7">
        <v>0</v>
      </c>
      <c r="BQ106" s="7">
        <v>0</v>
      </c>
      <c r="BR106" s="7">
        <v>0</v>
      </c>
      <c r="BS106" s="7">
        <v>0</v>
      </c>
      <c r="BT106" s="7">
        <v>0</v>
      </c>
      <c r="BU106" s="7">
        <v>-1</v>
      </c>
      <c r="BV106" s="7">
        <v>-1</v>
      </c>
      <c r="BW106" s="7">
        <v>2</v>
      </c>
      <c r="BX106" s="7">
        <v>-1</v>
      </c>
      <c r="BY106" s="7">
        <v>0</v>
      </c>
      <c r="BZ106" s="7">
        <v>-1</v>
      </c>
      <c r="CA106" s="7">
        <v>1</v>
      </c>
      <c r="CB106" s="7">
        <v>-2</v>
      </c>
      <c r="CC106" s="7">
        <v>1</v>
      </c>
      <c r="CD106" s="7">
        <v>0</v>
      </c>
      <c r="CE106" s="7">
        <v>4</v>
      </c>
      <c r="CF106" s="7">
        <v>-3</v>
      </c>
      <c r="CG106" s="7">
        <v>0</v>
      </c>
      <c r="CH106" s="7">
        <v>2</v>
      </c>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c r="FJ106" s="7"/>
    </row>
    <row r="107" spans="1:166">
      <c r="A107" s="7" t="s">
        <v>486</v>
      </c>
      <c r="B107" s="7" t="s">
        <v>88</v>
      </c>
      <c r="C107" s="7">
        <v>1000000</v>
      </c>
      <c r="D107" s="7" t="s">
        <v>89</v>
      </c>
      <c r="E107" s="7" t="s">
        <v>487</v>
      </c>
      <c r="F107" s="8" t="s">
        <v>488</v>
      </c>
      <c r="G107" s="7"/>
      <c r="H107" s="7">
        <v>17672</v>
      </c>
      <c r="I107" s="7">
        <v>30608</v>
      </c>
      <c r="J107" s="7">
        <v>17055</v>
      </c>
      <c r="K107" s="7">
        <v>-3966</v>
      </c>
      <c r="L107" s="7">
        <v>-8369</v>
      </c>
      <c r="M107" s="7">
        <v>3978</v>
      </c>
      <c r="N107" s="7">
        <v>12652</v>
      </c>
      <c r="O107" s="7">
        <v>10257</v>
      </c>
      <c r="P107" s="7">
        <v>-46626</v>
      </c>
      <c r="Q107" s="7">
        <v>-24977</v>
      </c>
      <c r="R107" s="7">
        <v>8561</v>
      </c>
      <c r="S107" s="7">
        <v>39485</v>
      </c>
      <c r="T107" s="7">
        <v>-69889</v>
      </c>
      <c r="U107" s="7">
        <v>-25781</v>
      </c>
      <c r="V107" s="7">
        <v>-4052</v>
      </c>
      <c r="W107" s="7">
        <v>-64931</v>
      </c>
      <c r="X107" s="7">
        <v>13821</v>
      </c>
      <c r="Y107" s="7">
        <v>-32997</v>
      </c>
      <c r="Z107" s="7">
        <v>-62549</v>
      </c>
      <c r="AA107" s="7">
        <v>-52314</v>
      </c>
      <c r="AB107" s="7">
        <v>92329</v>
      </c>
      <c r="AC107" s="7">
        <v>-126629</v>
      </c>
      <c r="AD107" s="7">
        <v>-83915</v>
      </c>
      <c r="AE107" s="7">
        <v>187437</v>
      </c>
      <c r="AF107" s="7">
        <v>66443</v>
      </c>
      <c r="AG107" s="7">
        <v>-26372</v>
      </c>
      <c r="AH107" s="7">
        <v>-105454</v>
      </c>
      <c r="AI107" s="7">
        <v>327680</v>
      </c>
      <c r="AJ107" s="7">
        <v>465190</v>
      </c>
      <c r="AK107" s="7">
        <v>-2469</v>
      </c>
      <c r="AL107" s="7">
        <v>66682</v>
      </c>
      <c r="AM107" s="7">
        <v>274466</v>
      </c>
      <c r="AN107" s="7">
        <v>225029</v>
      </c>
      <c r="AO107" s="7">
        <v>173352</v>
      </c>
      <c r="AP107" s="7">
        <v>87102</v>
      </c>
      <c r="AQ107" s="7">
        <v>396576</v>
      </c>
      <c r="AR107" s="7">
        <v>43825</v>
      </c>
      <c r="AS107" s="7">
        <v>-75275</v>
      </c>
      <c r="AT107" s="7">
        <v>88893</v>
      </c>
      <c r="AU107" s="7">
        <v>-178666</v>
      </c>
      <c r="AV107" s="7">
        <v>-182660</v>
      </c>
      <c r="AW107" s="7">
        <v>47915</v>
      </c>
      <c r="AX107" s="7">
        <v>-117054</v>
      </c>
      <c r="AY107" s="7">
        <v>-385314</v>
      </c>
      <c r="AZ107" s="7">
        <v>-12850</v>
      </c>
      <c r="BA107" s="7">
        <v>-1113387</v>
      </c>
      <c r="BB107" s="7">
        <v>-628098</v>
      </c>
      <c r="BC107" s="7">
        <v>-257674</v>
      </c>
      <c r="BD107" s="7">
        <v>239906</v>
      </c>
      <c r="BE107" s="7">
        <v>-1204135</v>
      </c>
      <c r="BF107" s="7">
        <v>-506215</v>
      </c>
      <c r="BG107" s="7">
        <v>-1041146</v>
      </c>
      <c r="BH107" s="7">
        <v>-1974305</v>
      </c>
      <c r="BI107" s="7">
        <v>-2792859</v>
      </c>
      <c r="BJ107" s="7">
        <v>2237976</v>
      </c>
      <c r="BK107" s="7">
        <v>655624</v>
      </c>
      <c r="BL107" s="7">
        <v>2688448</v>
      </c>
      <c r="BM107" s="7">
        <v>-1750483</v>
      </c>
      <c r="BN107" s="7">
        <v>34663</v>
      </c>
      <c r="BO107" s="7">
        <v>571419</v>
      </c>
      <c r="BP107" s="7">
        <v>-373744</v>
      </c>
      <c r="BQ107" s="7">
        <v>-281727</v>
      </c>
      <c r="BR107" s="7">
        <v>2385751</v>
      </c>
      <c r="BS107" s="7">
        <v>-4457735</v>
      </c>
      <c r="BT107" s="7">
        <v>-949828</v>
      </c>
      <c r="BU107" s="7">
        <v>-249294</v>
      </c>
      <c r="BV107" s="7">
        <v>-1288300</v>
      </c>
      <c r="BW107" s="7">
        <v>-3753275</v>
      </c>
      <c r="BX107" s="7">
        <v>-2347151</v>
      </c>
      <c r="BY107" s="7">
        <v>603216</v>
      </c>
      <c r="BZ107" s="7">
        <v>-1235142</v>
      </c>
      <c r="CA107" s="7">
        <v>-3050698</v>
      </c>
      <c r="CB107" s="7">
        <v>765724</v>
      </c>
      <c r="CC107" s="7">
        <v>-6227205</v>
      </c>
      <c r="CD107" s="7">
        <v>-8197376</v>
      </c>
      <c r="CE107" s="7">
        <v>-7982715</v>
      </c>
      <c r="CF107" s="7">
        <v>11430529</v>
      </c>
      <c r="CG107" s="7">
        <v>-11249664</v>
      </c>
      <c r="CH107" s="7">
        <v>-12598230</v>
      </c>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row>
    <row r="108" spans="1:166">
      <c r="A108" s="7" t="s">
        <v>486</v>
      </c>
      <c r="B108" s="7" t="s">
        <v>88</v>
      </c>
      <c r="C108" s="7">
        <v>1000000</v>
      </c>
      <c r="D108" s="7" t="s">
        <v>89</v>
      </c>
      <c r="E108" s="7" t="s">
        <v>489</v>
      </c>
      <c r="F108" s="8" t="s">
        <v>490</v>
      </c>
      <c r="G108" s="7"/>
      <c r="H108" s="7">
        <v>19885</v>
      </c>
      <c r="I108" s="7">
        <v>37941</v>
      </c>
      <c r="J108" s="7">
        <v>23621</v>
      </c>
      <c r="K108" s="7">
        <v>-1479</v>
      </c>
      <c r="L108" s="7">
        <v>-498</v>
      </c>
      <c r="M108" s="7">
        <v>-7395</v>
      </c>
      <c r="N108" s="7">
        <v>22545</v>
      </c>
      <c r="O108" s="7">
        <v>20496</v>
      </c>
      <c r="P108" s="7">
        <v>-90231</v>
      </c>
      <c r="Q108" s="7">
        <v>-63005</v>
      </c>
      <c r="R108" s="7">
        <v>-2538</v>
      </c>
      <c r="S108" s="7">
        <v>70586</v>
      </c>
      <c r="T108" s="7">
        <v>-140858</v>
      </c>
      <c r="U108" s="7">
        <v>-50781</v>
      </c>
      <c r="V108" s="7">
        <v>412</v>
      </c>
      <c r="W108" s="7">
        <v>-121554</v>
      </c>
      <c r="X108" s="7">
        <v>32555</v>
      </c>
      <c r="Y108" s="7">
        <v>-18682</v>
      </c>
      <c r="Z108" s="7">
        <v>-46612</v>
      </c>
      <c r="AA108" s="7">
        <v>-26268</v>
      </c>
      <c r="AB108" s="7">
        <v>118521</v>
      </c>
      <c r="AC108" s="7">
        <v>-106405</v>
      </c>
      <c r="AD108" s="7">
        <v>-64685</v>
      </c>
      <c r="AE108" s="7">
        <v>208163</v>
      </c>
      <c r="AF108" s="7">
        <v>75942</v>
      </c>
      <c r="AG108" s="7">
        <v>-10826</v>
      </c>
      <c r="AH108" s="7">
        <v>-63223</v>
      </c>
      <c r="AI108" s="7">
        <v>370685</v>
      </c>
      <c r="AJ108" s="7">
        <v>610428</v>
      </c>
      <c r="AK108" s="7">
        <v>-150052</v>
      </c>
      <c r="AL108" s="7">
        <v>78315</v>
      </c>
      <c r="AM108" s="7">
        <v>324705</v>
      </c>
      <c r="AN108" s="7">
        <v>287481</v>
      </c>
      <c r="AO108" s="7">
        <v>254469</v>
      </c>
      <c r="AP108" s="7">
        <v>93720</v>
      </c>
      <c r="AQ108" s="7">
        <v>462113</v>
      </c>
      <c r="AR108" s="7">
        <v>108282</v>
      </c>
      <c r="AS108" s="7">
        <v>-46056</v>
      </c>
      <c r="AT108" s="7">
        <v>245187</v>
      </c>
      <c r="AU108" s="7">
        <v>-64838</v>
      </c>
      <c r="AV108" s="7">
        <v>-138845</v>
      </c>
      <c r="AW108" s="7">
        <v>111852</v>
      </c>
      <c r="AX108" s="7">
        <v>899</v>
      </c>
      <c r="AY108" s="7">
        <v>-362636</v>
      </c>
      <c r="AZ108" s="7">
        <v>20706</v>
      </c>
      <c r="BA108" s="7">
        <v>-1129590</v>
      </c>
      <c r="BB108" s="7">
        <v>-784011</v>
      </c>
      <c r="BC108" s="7">
        <v>-109775</v>
      </c>
      <c r="BD108" s="7">
        <v>474871</v>
      </c>
      <c r="BE108" s="7">
        <v>-1082653</v>
      </c>
      <c r="BF108" s="7">
        <v>-367120</v>
      </c>
      <c r="BG108" s="7">
        <v>-966533</v>
      </c>
      <c r="BH108" s="7">
        <v>-1881662</v>
      </c>
      <c r="BI108" s="7">
        <v>-2625864</v>
      </c>
      <c r="BJ108" s="7">
        <v>3037605</v>
      </c>
      <c r="BK108" s="7">
        <v>755168</v>
      </c>
      <c r="BL108" s="7">
        <v>2914631</v>
      </c>
      <c r="BM108" s="7">
        <v>-1741530</v>
      </c>
      <c r="BN108" s="7">
        <v>277540</v>
      </c>
      <c r="BO108" s="7">
        <v>1035615</v>
      </c>
      <c r="BP108" s="7">
        <v>131374</v>
      </c>
      <c r="BQ108" s="7">
        <v>321811</v>
      </c>
      <c r="BR108" s="7">
        <v>2064395</v>
      </c>
      <c r="BS108" s="7">
        <v>-3971424</v>
      </c>
      <c r="BT108" s="7">
        <v>-2450514</v>
      </c>
      <c r="BU108" s="7">
        <v>-53412</v>
      </c>
      <c r="BV108" s="7">
        <v>-1422740</v>
      </c>
      <c r="BW108" s="7">
        <v>-3911624</v>
      </c>
      <c r="BX108" s="7">
        <v>-2290457</v>
      </c>
      <c r="BY108" s="7">
        <v>892719</v>
      </c>
      <c r="BZ108" s="7">
        <v>-1038978</v>
      </c>
      <c r="CA108" s="7">
        <v>-2422919</v>
      </c>
      <c r="CB108" s="7">
        <v>1620042</v>
      </c>
      <c r="CC108" s="7">
        <v>-5647466</v>
      </c>
      <c r="CD108" s="7">
        <v>-7742418</v>
      </c>
      <c r="CE108" s="7">
        <v>-7471917</v>
      </c>
      <c r="CF108" s="7">
        <v>12533340</v>
      </c>
      <c r="CG108" s="7">
        <v>-10672645</v>
      </c>
      <c r="CH108" s="7">
        <v>-12113459</v>
      </c>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c r="FJ108" s="7"/>
    </row>
    <row r="109" spans="1:166">
      <c r="A109" s="7" t="s">
        <v>491</v>
      </c>
      <c r="B109" s="7" t="s">
        <v>88</v>
      </c>
      <c r="C109" s="7">
        <v>1000000</v>
      </c>
      <c r="D109" s="7" t="s">
        <v>89</v>
      </c>
      <c r="E109" s="7" t="s">
        <v>492</v>
      </c>
      <c r="F109" s="8" t="s">
        <v>493</v>
      </c>
      <c r="G109" s="7">
        <v>286179</v>
      </c>
      <c r="H109" s="7">
        <v>311970</v>
      </c>
      <c r="I109" s="7">
        <v>362918</v>
      </c>
      <c r="J109" s="7">
        <v>396726</v>
      </c>
      <c r="K109" s="7">
        <v>406603</v>
      </c>
      <c r="L109" s="7">
        <v>453833</v>
      </c>
      <c r="M109" s="7">
        <v>502990</v>
      </c>
      <c r="N109" s="7">
        <v>527493</v>
      </c>
      <c r="O109" s="7">
        <v>549516</v>
      </c>
      <c r="P109" s="7">
        <v>564737</v>
      </c>
      <c r="Q109" s="7">
        <v>621122</v>
      </c>
      <c r="R109" s="7">
        <v>679244</v>
      </c>
      <c r="S109" s="7">
        <v>716339</v>
      </c>
      <c r="T109" s="7">
        <v>741003</v>
      </c>
      <c r="U109" s="7">
        <v>781943</v>
      </c>
      <c r="V109" s="7">
        <v>798485</v>
      </c>
      <c r="W109" s="7">
        <v>828196</v>
      </c>
      <c r="X109" s="7">
        <v>862704</v>
      </c>
      <c r="Y109" s="7">
        <v>901521</v>
      </c>
      <c r="Z109" s="7">
        <v>953006</v>
      </c>
      <c r="AA109" s="7">
        <v>1037843</v>
      </c>
      <c r="AB109" s="7">
        <v>1121957</v>
      </c>
      <c r="AC109" s="7">
        <v>1207164</v>
      </c>
      <c r="AD109" s="7">
        <v>1325556</v>
      </c>
      <c r="AE109" s="7">
        <v>1467873</v>
      </c>
      <c r="AF109" s="7">
        <v>1593964</v>
      </c>
      <c r="AG109" s="7">
        <v>1749129</v>
      </c>
      <c r="AH109" s="7">
        <v>1956675</v>
      </c>
      <c r="AI109" s="7">
        <v>2241079</v>
      </c>
      <c r="AJ109" s="7">
        <v>2631821</v>
      </c>
      <c r="AK109" s="7">
        <v>2970197</v>
      </c>
      <c r="AL109" s="7">
        <v>3340677</v>
      </c>
      <c r="AM109" s="7">
        <v>3716619</v>
      </c>
      <c r="AN109" s="7">
        <v>4234674</v>
      </c>
      <c r="AO109" s="7">
        <v>4900531</v>
      </c>
      <c r="AP109" s="7">
        <v>5585840</v>
      </c>
      <c r="AQ109" s="7">
        <v>6268214</v>
      </c>
      <c r="AR109" s="7">
        <v>6617846</v>
      </c>
      <c r="AS109" s="7">
        <v>6982066</v>
      </c>
      <c r="AT109" s="7">
        <v>7543455</v>
      </c>
      <c r="AU109" s="7">
        <v>8139533</v>
      </c>
      <c r="AV109" s="7">
        <v>8601193</v>
      </c>
      <c r="AW109" s="7">
        <v>9148874</v>
      </c>
      <c r="AX109" s="7">
        <v>9978103</v>
      </c>
      <c r="AY109" s="7">
        <v>10591414</v>
      </c>
      <c r="AZ109" s="7">
        <v>10734094</v>
      </c>
      <c r="BA109" s="7">
        <v>10752502</v>
      </c>
      <c r="BB109" s="7">
        <v>10687109</v>
      </c>
      <c r="BC109" s="7">
        <v>11315592</v>
      </c>
      <c r="BD109" s="7">
        <v>11998538</v>
      </c>
      <c r="BE109" s="7">
        <v>12998304</v>
      </c>
      <c r="BF109" s="7">
        <v>14077602</v>
      </c>
      <c r="BG109" s="7">
        <v>15616014</v>
      </c>
      <c r="BH109" s="7">
        <v>17458922</v>
      </c>
      <c r="BI109" s="7">
        <v>19609197</v>
      </c>
      <c r="BJ109" s="7">
        <v>21979140</v>
      </c>
      <c r="BK109" s="7">
        <v>21597229</v>
      </c>
      <c r="BL109" s="7">
        <v>21770725</v>
      </c>
      <c r="BM109" s="7">
        <v>22718470</v>
      </c>
      <c r="BN109" s="7">
        <v>25298918</v>
      </c>
      <c r="BO109" s="7">
        <v>27887456</v>
      </c>
      <c r="BP109" s="7">
        <v>30787001</v>
      </c>
      <c r="BQ109" s="7">
        <v>33410897</v>
      </c>
      <c r="BR109" s="7">
        <v>29748301</v>
      </c>
      <c r="BS109" s="7">
        <v>28237960</v>
      </c>
      <c r="BT109" s="7">
        <v>28279497</v>
      </c>
      <c r="BU109" s="7">
        <v>28985790</v>
      </c>
      <c r="BV109" s="7">
        <v>30534672</v>
      </c>
      <c r="BW109" s="7">
        <v>33694144</v>
      </c>
      <c r="BX109" s="7">
        <v>35544744</v>
      </c>
      <c r="BY109" s="7">
        <v>37114967</v>
      </c>
      <c r="BZ109" s="7">
        <v>39293411</v>
      </c>
      <c r="CA109" s="7">
        <v>42338006</v>
      </c>
      <c r="CB109" s="7">
        <v>43034940</v>
      </c>
      <c r="CC109" s="7">
        <v>48688431</v>
      </c>
      <c r="CD109" s="7">
        <v>50650703</v>
      </c>
      <c r="CE109" s="7">
        <v>57099697</v>
      </c>
      <c r="CF109" s="7">
        <v>58477437</v>
      </c>
      <c r="CG109" s="7">
        <v>61190830</v>
      </c>
      <c r="CH109" s="7">
        <v>63034404</v>
      </c>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row>
    <row r="110" spans="1:166">
      <c r="A110" s="7" t="s">
        <v>433</v>
      </c>
      <c r="B110" s="7" t="s">
        <v>88</v>
      </c>
      <c r="C110" s="7">
        <v>1000000</v>
      </c>
      <c r="D110" s="7" t="s">
        <v>89</v>
      </c>
      <c r="E110" s="7" t="s">
        <v>494</v>
      </c>
      <c r="F110" s="8" t="s">
        <v>495</v>
      </c>
      <c r="G110" s="7">
        <v>217410</v>
      </c>
      <c r="H110" s="7">
        <v>245036</v>
      </c>
      <c r="I110" s="7">
        <v>286870</v>
      </c>
      <c r="J110" s="7">
        <v>314663</v>
      </c>
      <c r="K110" s="7">
        <v>320222</v>
      </c>
      <c r="L110" s="7">
        <v>350202</v>
      </c>
      <c r="M110" s="7">
        <v>390649</v>
      </c>
      <c r="N110" s="7">
        <v>408849</v>
      </c>
      <c r="O110" s="7">
        <v>427039</v>
      </c>
      <c r="P110" s="7">
        <v>436061</v>
      </c>
      <c r="Q110" s="7">
        <v>474122</v>
      </c>
      <c r="R110" s="7">
        <v>526053</v>
      </c>
      <c r="S110" s="7">
        <v>558139</v>
      </c>
      <c r="T110" s="7">
        <v>570439</v>
      </c>
      <c r="U110" s="7">
        <v>595235</v>
      </c>
      <c r="V110" s="7">
        <v>609837</v>
      </c>
      <c r="W110" s="7">
        <v>626707</v>
      </c>
      <c r="X110" s="7">
        <v>649543</v>
      </c>
      <c r="Y110" s="7">
        <v>673043</v>
      </c>
      <c r="Z110" s="7">
        <v>710023</v>
      </c>
      <c r="AA110" s="7">
        <v>761547</v>
      </c>
      <c r="AB110" s="7">
        <v>833092</v>
      </c>
      <c r="AC110" s="7">
        <v>898793</v>
      </c>
      <c r="AD110" s="7">
        <v>980642</v>
      </c>
      <c r="AE110" s="7">
        <v>1084257</v>
      </c>
      <c r="AF110" s="7">
        <v>1183462</v>
      </c>
      <c r="AG110" s="7">
        <v>1289214</v>
      </c>
      <c r="AH110" s="7">
        <v>1404127</v>
      </c>
      <c r="AI110" s="7">
        <v>1597325</v>
      </c>
      <c r="AJ110" s="7">
        <v>1944114</v>
      </c>
      <c r="AK110" s="7">
        <v>2132839</v>
      </c>
      <c r="AL110" s="7">
        <v>2355292</v>
      </c>
      <c r="AM110" s="7">
        <v>2619194</v>
      </c>
      <c r="AN110" s="7">
        <v>2979763</v>
      </c>
      <c r="AO110" s="7">
        <v>3440780</v>
      </c>
      <c r="AP110" s="7">
        <v>3926581</v>
      </c>
      <c r="AQ110" s="7">
        <v>4405193</v>
      </c>
      <c r="AR110" s="7">
        <v>4640163</v>
      </c>
      <c r="AS110" s="7">
        <v>4794609</v>
      </c>
      <c r="AT110" s="7">
        <v>5097458</v>
      </c>
      <c r="AU110" s="7">
        <v>5331604</v>
      </c>
      <c r="AV110" s="7">
        <v>5513361</v>
      </c>
      <c r="AW110" s="7">
        <v>5804924</v>
      </c>
      <c r="AX110" s="7">
        <v>6180698</v>
      </c>
      <c r="AY110" s="7">
        <v>6493857</v>
      </c>
      <c r="AZ110" s="7">
        <v>6649557</v>
      </c>
      <c r="BA110" s="7">
        <v>6493751</v>
      </c>
      <c r="BB110" s="7">
        <v>6343985</v>
      </c>
      <c r="BC110" s="7">
        <v>6481667</v>
      </c>
      <c r="BD110" s="7">
        <v>6891748</v>
      </c>
      <c r="BE110" s="7">
        <v>7271083</v>
      </c>
      <c r="BF110" s="7">
        <v>7715873</v>
      </c>
      <c r="BG110" s="7">
        <v>8735258</v>
      </c>
      <c r="BH110" s="7">
        <v>9355956</v>
      </c>
      <c r="BI110" s="7">
        <v>9920662</v>
      </c>
      <c r="BJ110" s="7">
        <v>10883270</v>
      </c>
      <c r="BK110" s="7">
        <v>10832685</v>
      </c>
      <c r="BL110" s="7">
        <v>11364937</v>
      </c>
      <c r="BM110" s="7">
        <v>11671434</v>
      </c>
      <c r="BN110" s="7">
        <v>13172128</v>
      </c>
      <c r="BO110" s="7">
        <v>14582533</v>
      </c>
      <c r="BP110" s="7">
        <v>16214190</v>
      </c>
      <c r="BQ110" s="7">
        <v>17433190</v>
      </c>
      <c r="BR110" s="7">
        <v>16642693</v>
      </c>
      <c r="BS110" s="7">
        <v>13964445</v>
      </c>
      <c r="BT110" s="7">
        <v>15074104</v>
      </c>
      <c r="BU110" s="7">
        <v>15979377</v>
      </c>
      <c r="BV110" s="7">
        <v>16756344</v>
      </c>
      <c r="BW110" s="7">
        <v>18252815</v>
      </c>
      <c r="BX110" s="7">
        <v>19485228</v>
      </c>
      <c r="BY110" s="7">
        <v>20378838</v>
      </c>
      <c r="BZ110" s="7">
        <v>21417556</v>
      </c>
      <c r="CA110" s="7">
        <v>22566406</v>
      </c>
      <c r="CB110" s="7">
        <v>23316387</v>
      </c>
      <c r="CC110" s="7">
        <v>24637844</v>
      </c>
      <c r="CD110" s="7">
        <v>25437294</v>
      </c>
      <c r="CE110" s="7">
        <v>28859727</v>
      </c>
      <c r="CF110" s="7">
        <v>29971263</v>
      </c>
      <c r="CG110" s="7">
        <v>29754124</v>
      </c>
      <c r="CH110" s="7">
        <v>30336892</v>
      </c>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J110" s="7"/>
    </row>
    <row r="111" spans="1:166">
      <c r="A111" s="7" t="s">
        <v>447</v>
      </c>
      <c r="B111" s="7" t="s">
        <v>88</v>
      </c>
      <c r="C111" s="7">
        <v>1000000</v>
      </c>
      <c r="D111" s="7" t="s">
        <v>89</v>
      </c>
      <c r="E111" s="7" t="s">
        <v>496</v>
      </c>
      <c r="F111" s="8" t="s">
        <v>497</v>
      </c>
      <c r="G111" s="7">
        <v>142811</v>
      </c>
      <c r="H111" s="7">
        <v>159407</v>
      </c>
      <c r="I111" s="7">
        <v>187736</v>
      </c>
      <c r="J111" s="7">
        <v>199450</v>
      </c>
      <c r="K111" s="7">
        <v>203936</v>
      </c>
      <c r="L111" s="7">
        <v>220715</v>
      </c>
      <c r="M111" s="7">
        <v>240645</v>
      </c>
      <c r="N111" s="7">
        <v>251382</v>
      </c>
      <c r="O111" s="7">
        <v>259102</v>
      </c>
      <c r="P111" s="7">
        <v>265003</v>
      </c>
      <c r="Q111" s="7">
        <v>285179</v>
      </c>
      <c r="R111" s="7">
        <v>313564</v>
      </c>
      <c r="S111" s="7">
        <v>330035</v>
      </c>
      <c r="T111" s="7">
        <v>337847</v>
      </c>
      <c r="U111" s="7">
        <v>348117</v>
      </c>
      <c r="V111" s="7">
        <v>352721</v>
      </c>
      <c r="W111" s="7">
        <v>362550</v>
      </c>
      <c r="X111" s="7">
        <v>371962</v>
      </c>
      <c r="Y111" s="7">
        <v>381280</v>
      </c>
      <c r="Z111" s="7">
        <v>399403</v>
      </c>
      <c r="AA111" s="7">
        <v>423994</v>
      </c>
      <c r="AB111" s="7">
        <v>454030</v>
      </c>
      <c r="AC111" s="7">
        <v>483207</v>
      </c>
      <c r="AD111" s="7">
        <v>524866</v>
      </c>
      <c r="AE111" s="7">
        <v>580412</v>
      </c>
      <c r="AF111" s="7">
        <v>638015</v>
      </c>
      <c r="AG111" s="7">
        <v>707036</v>
      </c>
      <c r="AH111" s="7">
        <v>775700</v>
      </c>
      <c r="AI111" s="7">
        <v>883295</v>
      </c>
      <c r="AJ111" s="7">
        <v>1062857</v>
      </c>
      <c r="AK111" s="7">
        <v>1170930</v>
      </c>
      <c r="AL111" s="7">
        <v>1292062</v>
      </c>
      <c r="AM111" s="7">
        <v>1430747</v>
      </c>
      <c r="AN111" s="7">
        <v>1620823</v>
      </c>
      <c r="AO111" s="7">
        <v>1860176</v>
      </c>
      <c r="AP111" s="7">
        <v>2112581</v>
      </c>
      <c r="AQ111" s="7">
        <v>2397012</v>
      </c>
      <c r="AR111" s="7">
        <v>2546254</v>
      </c>
      <c r="AS111" s="7">
        <v>2616850</v>
      </c>
      <c r="AT111" s="7">
        <v>2755196</v>
      </c>
      <c r="AU111" s="7">
        <v>2872856</v>
      </c>
      <c r="AV111" s="7">
        <v>2956923</v>
      </c>
      <c r="AW111" s="7">
        <v>3096102</v>
      </c>
      <c r="AX111" s="7">
        <v>3297032</v>
      </c>
      <c r="AY111" s="7">
        <v>3446477</v>
      </c>
      <c r="AZ111" s="7">
        <v>3436638</v>
      </c>
      <c r="BA111" s="7">
        <v>3209584</v>
      </c>
      <c r="BB111" s="7">
        <v>2955054</v>
      </c>
      <c r="BC111" s="7">
        <v>2947188</v>
      </c>
      <c r="BD111" s="7">
        <v>3127498</v>
      </c>
      <c r="BE111" s="7">
        <v>3249692</v>
      </c>
      <c r="BF111" s="7">
        <v>3495199</v>
      </c>
      <c r="BG111" s="7">
        <v>4290930</v>
      </c>
      <c r="BH111" s="7">
        <v>4708587</v>
      </c>
      <c r="BI111" s="7">
        <v>4952489</v>
      </c>
      <c r="BJ111" s="7">
        <v>5564554</v>
      </c>
      <c r="BK111" s="7">
        <v>5461783</v>
      </c>
      <c r="BL111" s="7">
        <v>5914019</v>
      </c>
      <c r="BM111" s="7">
        <v>6101611</v>
      </c>
      <c r="BN111" s="7">
        <v>7270675</v>
      </c>
      <c r="BO111" s="7">
        <v>8336004</v>
      </c>
      <c r="BP111" s="7">
        <v>9558104</v>
      </c>
      <c r="BQ111" s="7">
        <v>10384792</v>
      </c>
      <c r="BR111" s="7">
        <v>9379546</v>
      </c>
      <c r="BS111" s="7">
        <v>6827264</v>
      </c>
      <c r="BT111" s="7">
        <v>7628727</v>
      </c>
      <c r="BU111" s="7">
        <v>8123907</v>
      </c>
      <c r="BV111" s="7">
        <v>8550079</v>
      </c>
      <c r="BW111" s="7">
        <v>9712711</v>
      </c>
      <c r="BX111" s="7">
        <v>10611914</v>
      </c>
      <c r="BY111" s="7">
        <v>11308154</v>
      </c>
      <c r="BZ111" s="7">
        <v>12000937</v>
      </c>
      <c r="CA111" s="7">
        <v>12696848</v>
      </c>
      <c r="CB111" s="7">
        <v>12907929</v>
      </c>
      <c r="CC111" s="7">
        <v>13843112</v>
      </c>
      <c r="CD111" s="7">
        <v>14258331</v>
      </c>
      <c r="CE111" s="7">
        <v>16516891</v>
      </c>
      <c r="CF111" s="7">
        <v>16525554</v>
      </c>
      <c r="CG111" s="7">
        <v>15770666</v>
      </c>
      <c r="CH111" s="7">
        <v>15740766</v>
      </c>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row>
    <row r="112" spans="1:166">
      <c r="A112" s="7" t="s">
        <v>450</v>
      </c>
      <c r="B112" s="7" t="s">
        <v>88</v>
      </c>
      <c r="C112" s="7">
        <v>1000000</v>
      </c>
      <c r="D112" s="7" t="s">
        <v>89</v>
      </c>
      <c r="E112" s="7" t="s">
        <v>498</v>
      </c>
      <c r="F112" s="8" t="s">
        <v>499</v>
      </c>
      <c r="G112" s="7">
        <v>32465</v>
      </c>
      <c r="H112" s="7">
        <v>39279</v>
      </c>
      <c r="I112" s="7">
        <v>47266</v>
      </c>
      <c r="J112" s="7">
        <v>57163</v>
      </c>
      <c r="K112" s="7">
        <v>59285</v>
      </c>
      <c r="L112" s="7">
        <v>68488</v>
      </c>
      <c r="M112" s="7">
        <v>75392</v>
      </c>
      <c r="N112" s="7">
        <v>79753</v>
      </c>
      <c r="O112" s="7">
        <v>86913</v>
      </c>
      <c r="P112" s="7">
        <v>90164</v>
      </c>
      <c r="Q112" s="7">
        <v>99783</v>
      </c>
      <c r="R112" s="7">
        <v>114101</v>
      </c>
      <c r="S112" s="7">
        <v>125736</v>
      </c>
      <c r="T112" s="7">
        <v>129748</v>
      </c>
      <c r="U112" s="7">
        <v>136600</v>
      </c>
      <c r="V112" s="7">
        <v>142048</v>
      </c>
      <c r="W112" s="7">
        <v>145294</v>
      </c>
      <c r="X112" s="7">
        <v>151692</v>
      </c>
      <c r="Y112" s="7">
        <v>158637</v>
      </c>
      <c r="Z112" s="7">
        <v>168605</v>
      </c>
      <c r="AA112" s="7">
        <v>182462</v>
      </c>
      <c r="AB112" s="7">
        <v>204456</v>
      </c>
      <c r="AC112" s="7">
        <v>225542</v>
      </c>
      <c r="AD112" s="7">
        <v>250075</v>
      </c>
      <c r="AE112" s="7">
        <v>276657</v>
      </c>
      <c r="AF112" s="7">
        <v>303944</v>
      </c>
      <c r="AG112" s="7">
        <v>325368</v>
      </c>
      <c r="AH112" s="7">
        <v>350690</v>
      </c>
      <c r="AI112" s="7">
        <v>389100</v>
      </c>
      <c r="AJ112" s="7">
        <v>479746</v>
      </c>
      <c r="AK112" s="7">
        <v>551086</v>
      </c>
      <c r="AL112" s="7">
        <v>609268</v>
      </c>
      <c r="AM112" s="7">
        <v>687076</v>
      </c>
      <c r="AN112" s="7">
        <v>783664</v>
      </c>
      <c r="AO112" s="7">
        <v>906981</v>
      </c>
      <c r="AP112" s="7">
        <v>1054348</v>
      </c>
      <c r="AQ112" s="7">
        <v>1171874</v>
      </c>
      <c r="AR112" s="7">
        <v>1240519</v>
      </c>
      <c r="AS112" s="7">
        <v>1277332</v>
      </c>
      <c r="AT112" s="7">
        <v>1343028</v>
      </c>
      <c r="AU112" s="7">
        <v>1418255</v>
      </c>
      <c r="AV112" s="7">
        <v>1493379</v>
      </c>
      <c r="AW112" s="7">
        <v>1555118</v>
      </c>
      <c r="AX112" s="7">
        <v>1637331</v>
      </c>
      <c r="AY112" s="7">
        <v>1721471</v>
      </c>
      <c r="AZ112" s="7">
        <v>1816047</v>
      </c>
      <c r="BA112" s="7">
        <v>1864110</v>
      </c>
      <c r="BB112" s="7">
        <v>1918294</v>
      </c>
      <c r="BC112" s="7">
        <v>1997112</v>
      </c>
      <c r="BD112" s="7">
        <v>2109169</v>
      </c>
      <c r="BE112" s="7">
        <v>2251824</v>
      </c>
      <c r="BF112" s="7">
        <v>2371476</v>
      </c>
      <c r="BG112" s="7">
        <v>2480420</v>
      </c>
      <c r="BH112" s="7">
        <v>2586099</v>
      </c>
      <c r="BI112" s="7">
        <v>2724829</v>
      </c>
      <c r="BJ112" s="7">
        <v>2893562</v>
      </c>
      <c r="BK112" s="7">
        <v>2967393</v>
      </c>
      <c r="BL112" s="7">
        <v>2973703</v>
      </c>
      <c r="BM112" s="7">
        <v>2980244</v>
      </c>
      <c r="BN112" s="7">
        <v>3129204</v>
      </c>
      <c r="BO112" s="7">
        <v>3262634</v>
      </c>
      <c r="BP112" s="7">
        <v>3486061</v>
      </c>
      <c r="BQ112" s="7">
        <v>3640080</v>
      </c>
      <c r="BR112" s="7">
        <v>3825487</v>
      </c>
      <c r="BS112" s="7">
        <v>3765496</v>
      </c>
      <c r="BT112" s="7">
        <v>3844060</v>
      </c>
      <c r="BU112" s="7">
        <v>4023175</v>
      </c>
      <c r="BV112" s="7">
        <v>4199753</v>
      </c>
      <c r="BW112" s="7">
        <v>4321474</v>
      </c>
      <c r="BX112" s="7">
        <v>4497223</v>
      </c>
      <c r="BY112" s="7">
        <v>4615911</v>
      </c>
      <c r="BZ112" s="7">
        <v>4734456</v>
      </c>
      <c r="CA112" s="7">
        <v>4921584</v>
      </c>
      <c r="CB112" s="7">
        <v>5167558</v>
      </c>
      <c r="CC112" s="7">
        <v>5319014</v>
      </c>
      <c r="CD112" s="7">
        <v>5399722</v>
      </c>
      <c r="CE112" s="7">
        <v>5828680</v>
      </c>
      <c r="CF112" s="7">
        <v>6272429</v>
      </c>
      <c r="CG112" s="7">
        <v>6539779</v>
      </c>
      <c r="CH112" s="7">
        <v>6779301</v>
      </c>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c r="FJ112" s="7"/>
    </row>
    <row r="113" spans="1:166">
      <c r="A113" s="7" t="s">
        <v>453</v>
      </c>
      <c r="B113" s="7" t="s">
        <v>88</v>
      </c>
      <c r="C113" s="7">
        <v>1000000</v>
      </c>
      <c r="D113" s="7" t="s">
        <v>89</v>
      </c>
      <c r="E113" s="7" t="s">
        <v>500</v>
      </c>
      <c r="F113" s="8" t="s">
        <v>501</v>
      </c>
      <c r="G113" s="7">
        <v>5846</v>
      </c>
      <c r="H113" s="7">
        <v>6662</v>
      </c>
      <c r="I113" s="7">
        <v>7773</v>
      </c>
      <c r="J113" s="7">
        <v>8356</v>
      </c>
      <c r="K113" s="7">
        <v>8555</v>
      </c>
      <c r="L113" s="7">
        <v>9455</v>
      </c>
      <c r="M113" s="7">
        <v>10128</v>
      </c>
      <c r="N113" s="7">
        <v>11026</v>
      </c>
      <c r="O113" s="7">
        <v>12393</v>
      </c>
      <c r="P113" s="7">
        <v>13648</v>
      </c>
      <c r="Q113" s="7">
        <v>15241</v>
      </c>
      <c r="R113" s="7">
        <v>17473</v>
      </c>
      <c r="S113" s="7">
        <v>19457</v>
      </c>
      <c r="T113" s="7">
        <v>21159</v>
      </c>
      <c r="U113" s="7">
        <v>23283</v>
      </c>
      <c r="V113" s="7">
        <v>25168</v>
      </c>
      <c r="W113" s="7">
        <v>27234</v>
      </c>
      <c r="X113" s="7">
        <v>29096</v>
      </c>
      <c r="Y113" s="7">
        <v>31624</v>
      </c>
      <c r="Z113" s="7">
        <v>34152</v>
      </c>
      <c r="AA113" s="7">
        <v>37500</v>
      </c>
      <c r="AB113" s="7">
        <v>41644</v>
      </c>
      <c r="AC113" s="7">
        <v>46791</v>
      </c>
      <c r="AD113" s="7">
        <v>52548</v>
      </c>
      <c r="AE113" s="7">
        <v>59291</v>
      </c>
      <c r="AF113" s="7">
        <v>65365</v>
      </c>
      <c r="AG113" s="7">
        <v>69750</v>
      </c>
      <c r="AH113" s="7">
        <v>75345</v>
      </c>
      <c r="AI113" s="7">
        <v>84044</v>
      </c>
      <c r="AJ113" s="7">
        <v>95674</v>
      </c>
      <c r="AK113" s="7">
        <v>103649</v>
      </c>
      <c r="AL113" s="7">
        <v>113360</v>
      </c>
      <c r="AM113" s="7">
        <v>124876</v>
      </c>
      <c r="AN113" s="7">
        <v>139760</v>
      </c>
      <c r="AO113" s="7">
        <v>159871</v>
      </c>
      <c r="AP113" s="7">
        <v>182934</v>
      </c>
      <c r="AQ113" s="7">
        <v>209699</v>
      </c>
      <c r="AR113" s="7">
        <v>234876</v>
      </c>
      <c r="AS113" s="7">
        <v>260874</v>
      </c>
      <c r="AT113" s="7">
        <v>290589</v>
      </c>
      <c r="AU113" s="7">
        <v>319916</v>
      </c>
      <c r="AV113" s="7">
        <v>348148</v>
      </c>
      <c r="AW113" s="7">
        <v>382179</v>
      </c>
      <c r="AX113" s="7">
        <v>413067</v>
      </c>
      <c r="AY113" s="7">
        <v>449106</v>
      </c>
      <c r="AZ113" s="7">
        <v>487059</v>
      </c>
      <c r="BA113" s="7">
        <v>525147</v>
      </c>
      <c r="BB113" s="7">
        <v>560211</v>
      </c>
      <c r="BC113" s="7">
        <v>594465</v>
      </c>
      <c r="BD113" s="7">
        <v>638916</v>
      </c>
      <c r="BE113" s="7">
        <v>690603</v>
      </c>
      <c r="BF113" s="7">
        <v>744688</v>
      </c>
      <c r="BG113" s="7">
        <v>816120</v>
      </c>
      <c r="BH113" s="7">
        <v>886940</v>
      </c>
      <c r="BI113" s="7">
        <v>984814</v>
      </c>
      <c r="BJ113" s="7">
        <v>1085157</v>
      </c>
      <c r="BK113" s="7">
        <v>1130541</v>
      </c>
      <c r="BL113" s="7">
        <v>1164513</v>
      </c>
      <c r="BM113" s="7">
        <v>1225681</v>
      </c>
      <c r="BN113" s="7">
        <v>1278650</v>
      </c>
      <c r="BO113" s="7">
        <v>1365208</v>
      </c>
      <c r="BP113" s="7">
        <v>1449999</v>
      </c>
      <c r="BQ113" s="7">
        <v>1552430</v>
      </c>
      <c r="BR113" s="7">
        <v>1631698</v>
      </c>
      <c r="BS113" s="7">
        <v>1669582</v>
      </c>
      <c r="BT113" s="7">
        <v>1740922</v>
      </c>
      <c r="BU113" s="7">
        <v>1831473</v>
      </c>
      <c r="BV113" s="7">
        <v>1907266</v>
      </c>
      <c r="BW113" s="7">
        <v>2013748</v>
      </c>
      <c r="BX113" s="7">
        <v>2116253</v>
      </c>
      <c r="BY113" s="7">
        <v>2184292</v>
      </c>
      <c r="BZ113" s="7">
        <v>2324950</v>
      </c>
      <c r="CA113" s="7">
        <v>2496496</v>
      </c>
      <c r="CB113" s="7">
        <v>2661389</v>
      </c>
      <c r="CC113" s="7">
        <v>2825994</v>
      </c>
      <c r="CD113" s="7">
        <v>3104396</v>
      </c>
      <c r="CE113" s="7">
        <v>3337568</v>
      </c>
      <c r="CF113" s="7">
        <v>3655765</v>
      </c>
      <c r="CG113" s="7">
        <v>3947802</v>
      </c>
      <c r="CH113" s="7">
        <v>4242631</v>
      </c>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row>
    <row r="114" spans="1:166">
      <c r="A114" s="7" t="s">
        <v>456</v>
      </c>
      <c r="B114" s="7" t="s">
        <v>88</v>
      </c>
      <c r="C114" s="7">
        <v>1000000</v>
      </c>
      <c r="D114" s="7" t="s">
        <v>89</v>
      </c>
      <c r="E114" s="7" t="s">
        <v>502</v>
      </c>
      <c r="F114" s="8" t="s">
        <v>503</v>
      </c>
      <c r="G114" s="7">
        <v>36288</v>
      </c>
      <c r="H114" s="7">
        <v>39688</v>
      </c>
      <c r="I114" s="7">
        <v>44095</v>
      </c>
      <c r="J114" s="7">
        <v>49694</v>
      </c>
      <c r="K114" s="7">
        <v>48446</v>
      </c>
      <c r="L114" s="7">
        <v>51544</v>
      </c>
      <c r="M114" s="7">
        <v>64484</v>
      </c>
      <c r="N114" s="7">
        <v>66688</v>
      </c>
      <c r="O114" s="7">
        <v>68631</v>
      </c>
      <c r="P114" s="7">
        <v>67246</v>
      </c>
      <c r="Q114" s="7">
        <v>73919</v>
      </c>
      <c r="R114" s="7">
        <v>80915</v>
      </c>
      <c r="S114" s="7">
        <v>82911</v>
      </c>
      <c r="T114" s="7">
        <v>81685</v>
      </c>
      <c r="U114" s="7">
        <v>87235</v>
      </c>
      <c r="V114" s="7">
        <v>89900</v>
      </c>
      <c r="W114" s="7">
        <v>91629</v>
      </c>
      <c r="X114" s="7">
        <v>96793</v>
      </c>
      <c r="Y114" s="7">
        <v>101502</v>
      </c>
      <c r="Z114" s="7">
        <v>107863</v>
      </c>
      <c r="AA114" s="7">
        <v>117591</v>
      </c>
      <c r="AB114" s="7">
        <v>132962</v>
      </c>
      <c r="AC114" s="7">
        <v>143253</v>
      </c>
      <c r="AD114" s="7">
        <v>153153</v>
      </c>
      <c r="AE114" s="7">
        <v>167897</v>
      </c>
      <c r="AF114" s="7">
        <v>176138</v>
      </c>
      <c r="AG114" s="7">
        <v>187060</v>
      </c>
      <c r="AH114" s="7">
        <v>202392</v>
      </c>
      <c r="AI114" s="7">
        <v>240886</v>
      </c>
      <c r="AJ114" s="7">
        <v>305837</v>
      </c>
      <c r="AK114" s="7">
        <v>307174</v>
      </c>
      <c r="AL114" s="7">
        <v>340602</v>
      </c>
      <c r="AM114" s="7">
        <v>376495</v>
      </c>
      <c r="AN114" s="7">
        <v>435516</v>
      </c>
      <c r="AO114" s="7">
        <v>513752</v>
      </c>
      <c r="AP114" s="7">
        <v>576718</v>
      </c>
      <c r="AQ114" s="7">
        <v>626608</v>
      </c>
      <c r="AR114" s="7">
        <v>618514</v>
      </c>
      <c r="AS114" s="7">
        <v>639553</v>
      </c>
      <c r="AT114" s="7">
        <v>708645</v>
      </c>
      <c r="AU114" s="7">
        <v>720577</v>
      </c>
      <c r="AV114" s="7">
        <v>714911</v>
      </c>
      <c r="AW114" s="7">
        <v>771525</v>
      </c>
      <c r="AX114" s="7">
        <v>833268</v>
      </c>
      <c r="AY114" s="7">
        <v>876803</v>
      </c>
      <c r="AZ114" s="7">
        <v>909813</v>
      </c>
      <c r="BA114" s="7">
        <v>894910</v>
      </c>
      <c r="BB114" s="7">
        <v>910426</v>
      </c>
      <c r="BC114" s="7">
        <v>942902</v>
      </c>
      <c r="BD114" s="7">
        <v>1016165</v>
      </c>
      <c r="BE114" s="7">
        <v>1078964</v>
      </c>
      <c r="BF114" s="7">
        <v>1104510</v>
      </c>
      <c r="BG114" s="7">
        <v>1147788</v>
      </c>
      <c r="BH114" s="7">
        <v>1174330</v>
      </c>
      <c r="BI114" s="7">
        <v>1258530</v>
      </c>
      <c r="BJ114" s="7">
        <v>1339997</v>
      </c>
      <c r="BK114" s="7">
        <v>1272968</v>
      </c>
      <c r="BL114" s="7">
        <v>1312702</v>
      </c>
      <c r="BM114" s="7">
        <v>1363898</v>
      </c>
      <c r="BN114" s="7">
        <v>1493599</v>
      </c>
      <c r="BO114" s="7">
        <v>1618687</v>
      </c>
      <c r="BP114" s="7">
        <v>1720026</v>
      </c>
      <c r="BQ114" s="7">
        <v>1855888</v>
      </c>
      <c r="BR114" s="7">
        <v>1805962</v>
      </c>
      <c r="BS114" s="7">
        <v>1702103</v>
      </c>
      <c r="BT114" s="7">
        <v>1860395</v>
      </c>
      <c r="BU114" s="7">
        <v>2000822</v>
      </c>
      <c r="BV114" s="7">
        <v>2099246</v>
      </c>
      <c r="BW114" s="7">
        <v>2204882</v>
      </c>
      <c r="BX114" s="7">
        <v>2259838</v>
      </c>
      <c r="BY114" s="7">
        <v>2270481</v>
      </c>
      <c r="BZ114" s="7">
        <v>2357213</v>
      </c>
      <c r="CA114" s="7">
        <v>2451478</v>
      </c>
      <c r="CB114" s="7">
        <v>2579511</v>
      </c>
      <c r="CC114" s="7">
        <v>2649724</v>
      </c>
      <c r="CD114" s="7">
        <v>2674845</v>
      </c>
      <c r="CE114" s="7">
        <v>3176588</v>
      </c>
      <c r="CF114" s="7">
        <v>3517515</v>
      </c>
      <c r="CG114" s="7">
        <v>3495877</v>
      </c>
      <c r="CH114" s="7">
        <v>3574194</v>
      </c>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row>
    <row r="115" spans="1:166">
      <c r="A115" s="7" t="s">
        <v>283</v>
      </c>
      <c r="B115" s="7" t="s">
        <v>88</v>
      </c>
      <c r="C115" s="7">
        <v>1000000</v>
      </c>
      <c r="D115" s="7" t="s">
        <v>89</v>
      </c>
      <c r="E115" s="7" t="s">
        <v>504</v>
      </c>
      <c r="F115" s="8" t="s">
        <v>505</v>
      </c>
      <c r="G115" s="7">
        <v>68769</v>
      </c>
      <c r="H115" s="7">
        <v>66934</v>
      </c>
      <c r="I115" s="7">
        <v>76048</v>
      </c>
      <c r="J115" s="7">
        <v>82063</v>
      </c>
      <c r="K115" s="7">
        <v>86381</v>
      </c>
      <c r="L115" s="7">
        <v>103631</v>
      </c>
      <c r="M115" s="7">
        <v>112341</v>
      </c>
      <c r="N115" s="7">
        <v>118644</v>
      </c>
      <c r="O115" s="7">
        <v>122477</v>
      </c>
      <c r="P115" s="7">
        <v>128676</v>
      </c>
      <c r="Q115" s="7">
        <v>147000</v>
      </c>
      <c r="R115" s="7">
        <v>153191</v>
      </c>
      <c r="S115" s="7">
        <v>158200</v>
      </c>
      <c r="T115" s="7">
        <v>170564</v>
      </c>
      <c r="U115" s="7">
        <v>186708</v>
      </c>
      <c r="V115" s="7">
        <v>188648</v>
      </c>
      <c r="W115" s="7">
        <v>201489</v>
      </c>
      <c r="X115" s="7">
        <v>213161</v>
      </c>
      <c r="Y115" s="7">
        <v>228478</v>
      </c>
      <c r="Z115" s="7">
        <v>242983</v>
      </c>
      <c r="AA115" s="7">
        <v>276296</v>
      </c>
      <c r="AB115" s="7">
        <v>288865</v>
      </c>
      <c r="AC115" s="7">
        <v>308371</v>
      </c>
      <c r="AD115" s="7">
        <v>344914</v>
      </c>
      <c r="AE115" s="7">
        <v>383616</v>
      </c>
      <c r="AF115" s="7">
        <v>410502</v>
      </c>
      <c r="AG115" s="7">
        <v>459915</v>
      </c>
      <c r="AH115" s="7">
        <v>552548</v>
      </c>
      <c r="AI115" s="7">
        <v>643754</v>
      </c>
      <c r="AJ115" s="7">
        <v>687707</v>
      </c>
      <c r="AK115" s="7">
        <v>837358</v>
      </c>
      <c r="AL115" s="7">
        <v>985385</v>
      </c>
      <c r="AM115" s="7">
        <v>1097425</v>
      </c>
      <c r="AN115" s="7">
        <v>1254911</v>
      </c>
      <c r="AO115" s="7">
        <v>1459751</v>
      </c>
      <c r="AP115" s="7">
        <v>1659259</v>
      </c>
      <c r="AQ115" s="7">
        <v>1863021</v>
      </c>
      <c r="AR115" s="7">
        <v>1977683</v>
      </c>
      <c r="AS115" s="7">
        <v>2187457</v>
      </c>
      <c r="AT115" s="7">
        <v>2445997</v>
      </c>
      <c r="AU115" s="7">
        <v>2807929</v>
      </c>
      <c r="AV115" s="7">
        <v>3087832</v>
      </c>
      <c r="AW115" s="7">
        <v>3343950</v>
      </c>
      <c r="AX115" s="7">
        <v>3797405</v>
      </c>
      <c r="AY115" s="7">
        <v>4097557</v>
      </c>
      <c r="AZ115" s="7">
        <v>4084537</v>
      </c>
      <c r="BA115" s="7">
        <v>4258751</v>
      </c>
      <c r="BB115" s="7">
        <v>4343124</v>
      </c>
      <c r="BC115" s="7">
        <v>4833925</v>
      </c>
      <c r="BD115" s="7">
        <v>5106790</v>
      </c>
      <c r="BE115" s="7">
        <v>5727221</v>
      </c>
      <c r="BF115" s="7">
        <v>6361729</v>
      </c>
      <c r="BG115" s="7">
        <v>6880756</v>
      </c>
      <c r="BH115" s="7">
        <v>8102966</v>
      </c>
      <c r="BI115" s="7">
        <v>9688535</v>
      </c>
      <c r="BJ115" s="7">
        <v>11095870</v>
      </c>
      <c r="BK115" s="7">
        <v>10764544</v>
      </c>
      <c r="BL115" s="7">
        <v>10405788</v>
      </c>
      <c r="BM115" s="7">
        <v>11047036</v>
      </c>
      <c r="BN115" s="7">
        <v>12126790</v>
      </c>
      <c r="BO115" s="7">
        <v>13304923</v>
      </c>
      <c r="BP115" s="7">
        <v>14572811</v>
      </c>
      <c r="BQ115" s="7">
        <v>15977707</v>
      </c>
      <c r="BR115" s="7">
        <v>13105608</v>
      </c>
      <c r="BS115" s="7">
        <v>14273515</v>
      </c>
      <c r="BT115" s="7">
        <v>13205393</v>
      </c>
      <c r="BU115" s="7">
        <v>13006413</v>
      </c>
      <c r="BV115" s="7">
        <v>13778328</v>
      </c>
      <c r="BW115" s="7">
        <v>15441329</v>
      </c>
      <c r="BX115" s="7">
        <v>16059516</v>
      </c>
      <c r="BY115" s="7">
        <v>16736129</v>
      </c>
      <c r="BZ115" s="7">
        <v>17875855</v>
      </c>
      <c r="CA115" s="7">
        <v>19771600</v>
      </c>
      <c r="CB115" s="7">
        <v>19718553</v>
      </c>
      <c r="CC115" s="7">
        <v>24050587</v>
      </c>
      <c r="CD115" s="7">
        <v>25213409</v>
      </c>
      <c r="CE115" s="7">
        <v>28239970</v>
      </c>
      <c r="CF115" s="7">
        <v>28506174</v>
      </c>
      <c r="CG115" s="7">
        <v>31436706</v>
      </c>
      <c r="CH115" s="7">
        <v>32697512</v>
      </c>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row>
    <row r="116" spans="1:166">
      <c r="A116" s="7" t="s">
        <v>286</v>
      </c>
      <c r="B116" s="7" t="s">
        <v>88</v>
      </c>
      <c r="C116" s="7">
        <v>1000000</v>
      </c>
      <c r="D116" s="7" t="s">
        <v>89</v>
      </c>
      <c r="E116" s="7" t="s">
        <v>506</v>
      </c>
      <c r="F116" s="8" t="s">
        <v>507</v>
      </c>
      <c r="G116" s="7">
        <v>19892</v>
      </c>
      <c r="H116" s="7">
        <v>20470</v>
      </c>
      <c r="I116" s="7">
        <v>22385</v>
      </c>
      <c r="J116" s="7">
        <v>22771</v>
      </c>
      <c r="K116" s="7">
        <v>23813</v>
      </c>
      <c r="L116" s="7">
        <v>25179</v>
      </c>
      <c r="M116" s="7">
        <v>26850</v>
      </c>
      <c r="N116" s="7">
        <v>27616</v>
      </c>
      <c r="O116" s="7">
        <v>27564</v>
      </c>
      <c r="P116" s="7">
        <v>29587</v>
      </c>
      <c r="Q116" s="7">
        <v>30411</v>
      </c>
      <c r="R116" s="7">
        <v>30128</v>
      </c>
      <c r="S116" s="7">
        <v>30155</v>
      </c>
      <c r="T116" s="7">
        <v>32132</v>
      </c>
      <c r="U116" s="7">
        <v>30828</v>
      </c>
      <c r="V116" s="7">
        <v>31391</v>
      </c>
      <c r="W116" s="7">
        <v>36009</v>
      </c>
      <c r="X116" s="7">
        <v>40354</v>
      </c>
      <c r="Y116" s="7">
        <v>39845</v>
      </c>
      <c r="Z116" s="7">
        <v>40506</v>
      </c>
      <c r="AA116" s="7">
        <v>42827</v>
      </c>
      <c r="AB116" s="7">
        <v>41859</v>
      </c>
      <c r="AC116" s="7">
        <v>45554</v>
      </c>
      <c r="AD116" s="7">
        <v>48174</v>
      </c>
      <c r="AE116" s="7">
        <v>47947</v>
      </c>
      <c r="AF116" s="7">
        <v>50204</v>
      </c>
      <c r="AG116" s="7">
        <v>53324</v>
      </c>
      <c r="AH116" s="7">
        <v>59000</v>
      </c>
      <c r="AI116" s="7">
        <v>66267</v>
      </c>
      <c r="AJ116" s="7">
        <v>73182</v>
      </c>
      <c r="AK116" s="7">
        <v>85024</v>
      </c>
      <c r="AL116" s="7">
        <v>95189</v>
      </c>
      <c r="AM116" s="7">
        <v>107859</v>
      </c>
      <c r="AN116" s="7">
        <v>119514</v>
      </c>
      <c r="AO116" s="7">
        <v>129567</v>
      </c>
      <c r="AP116" s="7">
        <v>133378</v>
      </c>
      <c r="AQ116" s="7">
        <v>125031</v>
      </c>
      <c r="AR116" s="7">
        <v>141655</v>
      </c>
      <c r="AS116" s="7">
        <v>173940</v>
      </c>
      <c r="AT116" s="7">
        <v>185106</v>
      </c>
      <c r="AU116" s="7">
        <v>211038</v>
      </c>
      <c r="AV116" s="7">
        <v>228729</v>
      </c>
      <c r="AW116" s="7">
        <v>235856</v>
      </c>
      <c r="AX116" s="7">
        <v>249232</v>
      </c>
      <c r="AY116" s="7">
        <v>249240</v>
      </c>
      <c r="AZ116" s="7">
        <v>248448</v>
      </c>
      <c r="BA116" s="7">
        <v>258511</v>
      </c>
      <c r="BB116" s="7">
        <v>250453</v>
      </c>
      <c r="BC116" s="7">
        <v>284502</v>
      </c>
      <c r="BD116" s="7">
        <v>297548</v>
      </c>
      <c r="BE116" s="7">
        <v>305170</v>
      </c>
      <c r="BF116" s="7">
        <v>347179</v>
      </c>
      <c r="BG116" s="7">
        <v>366291</v>
      </c>
      <c r="BH116" s="7">
        <v>386326</v>
      </c>
      <c r="BI116" s="7">
        <v>461131</v>
      </c>
      <c r="BJ116" s="7">
        <v>524072</v>
      </c>
      <c r="BK116" s="7">
        <v>471199</v>
      </c>
      <c r="BL116" s="7">
        <v>473483</v>
      </c>
      <c r="BM116" s="7">
        <v>605378</v>
      </c>
      <c r="BN116" s="7">
        <v>659684</v>
      </c>
      <c r="BO116" s="7">
        <v>780104</v>
      </c>
      <c r="BP116" s="7">
        <v>698931</v>
      </c>
      <c r="BQ116" s="7">
        <v>623189</v>
      </c>
      <c r="BR116" s="7">
        <v>355950</v>
      </c>
      <c r="BS116" s="7">
        <v>624333</v>
      </c>
      <c r="BT116" s="7">
        <v>788906</v>
      </c>
      <c r="BU116" s="7">
        <v>830686</v>
      </c>
      <c r="BV116" s="7">
        <v>889394</v>
      </c>
      <c r="BW116" s="7">
        <v>1041466</v>
      </c>
      <c r="BX116" s="7">
        <v>1064316</v>
      </c>
      <c r="BY116" s="7">
        <v>1103308</v>
      </c>
      <c r="BZ116" s="7">
        <v>1281472</v>
      </c>
      <c r="CA116" s="7">
        <v>1348312</v>
      </c>
      <c r="CB116" s="7">
        <v>1494860</v>
      </c>
      <c r="CC116" s="7">
        <v>1674442</v>
      </c>
      <c r="CD116" s="7">
        <v>2199568</v>
      </c>
      <c r="CE116" s="7">
        <v>2501459</v>
      </c>
      <c r="CF116" s="7">
        <v>2498884</v>
      </c>
      <c r="CG116" s="7">
        <v>2597035</v>
      </c>
      <c r="CH116" s="7">
        <v>2828842</v>
      </c>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c r="FJ116" s="7"/>
    </row>
    <row r="117" spans="1:166">
      <c r="A117" s="7" t="s">
        <v>289</v>
      </c>
      <c r="B117" s="7" t="s">
        <v>88</v>
      </c>
      <c r="C117" s="7">
        <v>1000000</v>
      </c>
      <c r="D117" s="7" t="s">
        <v>89</v>
      </c>
      <c r="E117" s="7" t="s">
        <v>508</v>
      </c>
      <c r="F117" s="8" t="s">
        <v>509</v>
      </c>
      <c r="G117" s="7">
        <v>18959</v>
      </c>
      <c r="H117" s="7">
        <v>19502</v>
      </c>
      <c r="I117" s="7">
        <v>21434</v>
      </c>
      <c r="J117" s="7">
        <v>21861</v>
      </c>
      <c r="K117" s="7">
        <v>22903</v>
      </c>
      <c r="L117" s="7">
        <v>24222</v>
      </c>
      <c r="M117" s="7">
        <v>25859</v>
      </c>
      <c r="N117" s="7">
        <v>26641</v>
      </c>
      <c r="O117" s="7">
        <v>26550</v>
      </c>
      <c r="P117" s="7">
        <v>28329</v>
      </c>
      <c r="Q117" s="7">
        <v>29282</v>
      </c>
      <c r="R117" s="7">
        <v>28990</v>
      </c>
      <c r="S117" s="7">
        <v>29024</v>
      </c>
      <c r="T117" s="7">
        <v>30083</v>
      </c>
      <c r="U117" s="7">
        <v>29196</v>
      </c>
      <c r="V117" s="7">
        <v>28243</v>
      </c>
      <c r="W117" s="7">
        <v>31673</v>
      </c>
      <c r="X117" s="7">
        <v>34564</v>
      </c>
      <c r="Y117" s="7">
        <v>33427</v>
      </c>
      <c r="Z117" s="7">
        <v>32738</v>
      </c>
      <c r="AA117" s="7">
        <v>33053</v>
      </c>
      <c r="AB117" s="7">
        <v>32371</v>
      </c>
      <c r="AC117" s="7">
        <v>34817</v>
      </c>
      <c r="AD117" s="7">
        <v>37531</v>
      </c>
      <c r="AE117" s="7">
        <v>43122</v>
      </c>
      <c r="AF117" s="7">
        <v>44059</v>
      </c>
      <c r="AG117" s="7">
        <v>42581</v>
      </c>
      <c r="AH117" s="7">
        <v>44938</v>
      </c>
      <c r="AI117" s="7">
        <v>46315</v>
      </c>
      <c r="AJ117" s="7">
        <v>47772</v>
      </c>
      <c r="AK117" s="7">
        <v>58272</v>
      </c>
      <c r="AL117" s="7">
        <v>62967</v>
      </c>
      <c r="AM117" s="7">
        <v>66717</v>
      </c>
      <c r="AN117" s="7">
        <v>73015</v>
      </c>
      <c r="AO117" s="7">
        <v>79073</v>
      </c>
      <c r="AP117" s="7">
        <v>78660</v>
      </c>
      <c r="AQ117" s="7">
        <v>57674</v>
      </c>
      <c r="AR117" s="7">
        <v>68019</v>
      </c>
      <c r="AS117" s="7">
        <v>89573</v>
      </c>
      <c r="AT117" s="7">
        <v>102698</v>
      </c>
      <c r="AU117" s="7">
        <v>125714</v>
      </c>
      <c r="AV117" s="7">
        <v>123998</v>
      </c>
      <c r="AW117" s="7">
        <v>133651</v>
      </c>
      <c r="AX117" s="7">
        <v>145405</v>
      </c>
      <c r="AY117" s="7">
        <v>153925</v>
      </c>
      <c r="AZ117" s="7">
        <v>159167</v>
      </c>
      <c r="BA117" s="7">
        <v>164495</v>
      </c>
      <c r="BB117" s="7">
        <v>158671</v>
      </c>
      <c r="BC117" s="7">
        <v>178018</v>
      </c>
      <c r="BD117" s="7">
        <v>185515</v>
      </c>
      <c r="BE117" s="7">
        <v>188079</v>
      </c>
      <c r="BF117" s="7">
        <v>189301</v>
      </c>
      <c r="BG117" s="7">
        <v>178778</v>
      </c>
      <c r="BH117" s="7">
        <v>163220</v>
      </c>
      <c r="BI117" s="7">
        <v>192794</v>
      </c>
      <c r="BJ117" s="7">
        <v>227700</v>
      </c>
      <c r="BK117" s="7">
        <v>174562</v>
      </c>
      <c r="BL117" s="7">
        <v>161595</v>
      </c>
      <c r="BM117" s="7">
        <v>204455</v>
      </c>
      <c r="BN117" s="7">
        <v>235523</v>
      </c>
      <c r="BO117" s="7">
        <v>336173</v>
      </c>
      <c r="BP117" s="7">
        <v>262603</v>
      </c>
      <c r="BQ117" s="7">
        <v>311604</v>
      </c>
      <c r="BR117" s="7">
        <v>179358</v>
      </c>
      <c r="BS117" s="7">
        <v>364004</v>
      </c>
      <c r="BT117" s="7">
        <v>489675</v>
      </c>
      <c r="BU117" s="7">
        <v>582807</v>
      </c>
      <c r="BV117" s="7">
        <v>626691</v>
      </c>
      <c r="BW117" s="7">
        <v>671058</v>
      </c>
      <c r="BX117" s="7">
        <v>790778</v>
      </c>
      <c r="BY117" s="7">
        <v>837876</v>
      </c>
      <c r="BZ117" s="7">
        <v>994846</v>
      </c>
      <c r="CA117" s="7">
        <v>950449</v>
      </c>
      <c r="CB117" s="7">
        <v>1201415</v>
      </c>
      <c r="CC117" s="7">
        <v>1342005</v>
      </c>
      <c r="CD117" s="7">
        <v>1786421</v>
      </c>
      <c r="CE117" s="7">
        <v>2051447</v>
      </c>
      <c r="CF117" s="7">
        <v>1996872</v>
      </c>
      <c r="CG117" s="7">
        <v>1917261</v>
      </c>
      <c r="CH117" s="7">
        <v>2197339</v>
      </c>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row>
    <row r="118" spans="1:166">
      <c r="A118" s="7" t="s">
        <v>292</v>
      </c>
      <c r="B118" s="7" t="s">
        <v>88</v>
      </c>
      <c r="C118" s="7">
        <v>1000000</v>
      </c>
      <c r="D118" s="7" t="s">
        <v>89</v>
      </c>
      <c r="E118" s="7" t="s">
        <v>510</v>
      </c>
      <c r="F118" s="8" t="s">
        <v>511</v>
      </c>
      <c r="G118" s="7">
        <v>900</v>
      </c>
      <c r="H118" s="7">
        <v>900</v>
      </c>
      <c r="I118" s="7">
        <v>900</v>
      </c>
      <c r="J118" s="7">
        <v>900</v>
      </c>
      <c r="K118" s="7">
        <v>900</v>
      </c>
      <c r="L118" s="7">
        <v>900</v>
      </c>
      <c r="M118" s="7">
        <v>900</v>
      </c>
      <c r="N118" s="7">
        <v>900</v>
      </c>
      <c r="O118" s="7">
        <v>900</v>
      </c>
      <c r="P118" s="7">
        <v>1100</v>
      </c>
      <c r="Q118" s="7">
        <v>1000</v>
      </c>
      <c r="R118" s="7">
        <v>1000</v>
      </c>
      <c r="S118" s="7">
        <v>1000</v>
      </c>
      <c r="T118" s="7">
        <v>1900</v>
      </c>
      <c r="U118" s="7">
        <v>1500</v>
      </c>
      <c r="V118" s="7">
        <v>3000</v>
      </c>
      <c r="W118" s="7">
        <v>4100</v>
      </c>
      <c r="X118" s="7">
        <v>5000</v>
      </c>
      <c r="Y118" s="7">
        <v>5687</v>
      </c>
      <c r="Z118" s="7">
        <v>6671</v>
      </c>
      <c r="AA118" s="7">
        <v>8993</v>
      </c>
      <c r="AB118" s="7">
        <v>8603</v>
      </c>
      <c r="AC118" s="7">
        <v>9682</v>
      </c>
      <c r="AD118" s="7">
        <v>9056</v>
      </c>
      <c r="AE118" s="7">
        <v>3652</v>
      </c>
      <c r="AF118" s="7">
        <v>5347</v>
      </c>
      <c r="AG118" s="7">
        <v>9509</v>
      </c>
      <c r="AH118" s="7">
        <v>11890</v>
      </c>
      <c r="AI118" s="7">
        <v>16623</v>
      </c>
      <c r="AJ118" s="7">
        <v>20464</v>
      </c>
      <c r="AK118" s="7">
        <v>24130</v>
      </c>
      <c r="AL118" s="7">
        <v>28783</v>
      </c>
      <c r="AM118" s="7">
        <v>35456</v>
      </c>
      <c r="AN118" s="7">
        <v>38182</v>
      </c>
      <c r="AO118" s="7">
        <v>40414</v>
      </c>
      <c r="AP118" s="7">
        <v>45022</v>
      </c>
      <c r="AQ118" s="7">
        <v>54971</v>
      </c>
      <c r="AR118" s="7">
        <v>63573</v>
      </c>
      <c r="AS118" s="7">
        <v>69974</v>
      </c>
      <c r="AT118" s="7">
        <v>69124</v>
      </c>
      <c r="AU118" s="7">
        <v>69301</v>
      </c>
      <c r="AV118" s="7">
        <v>85530</v>
      </c>
      <c r="AW118" s="7">
        <v>85943</v>
      </c>
      <c r="AX118" s="7">
        <v>82273</v>
      </c>
      <c r="AY118" s="7">
        <v>80610</v>
      </c>
      <c r="AZ118" s="7">
        <v>74564</v>
      </c>
      <c r="BA118" s="7">
        <v>77581</v>
      </c>
      <c r="BB118" s="7">
        <v>75991</v>
      </c>
      <c r="BC118" s="7">
        <v>91982</v>
      </c>
      <c r="BD118" s="7">
        <v>96369</v>
      </c>
      <c r="BE118" s="7">
        <v>99688</v>
      </c>
      <c r="BF118" s="7">
        <v>129670</v>
      </c>
      <c r="BG118" s="7">
        <v>164374</v>
      </c>
      <c r="BH118" s="7">
        <v>192588</v>
      </c>
      <c r="BI118" s="7">
        <v>236877</v>
      </c>
      <c r="BJ118" s="7">
        <v>272343</v>
      </c>
      <c r="BK118" s="7">
        <v>281120</v>
      </c>
      <c r="BL118" s="7">
        <v>291301</v>
      </c>
      <c r="BM118" s="7">
        <v>362778</v>
      </c>
      <c r="BN118" s="7">
        <v>370456</v>
      </c>
      <c r="BO118" s="7">
        <v>380360</v>
      </c>
      <c r="BP118" s="7">
        <v>386992</v>
      </c>
      <c r="BQ118" s="7">
        <v>261335</v>
      </c>
      <c r="BR118" s="7">
        <v>151888</v>
      </c>
      <c r="BS118" s="7">
        <v>228801</v>
      </c>
      <c r="BT118" s="7">
        <v>235240</v>
      </c>
      <c r="BU118" s="7">
        <v>195351</v>
      </c>
      <c r="BV118" s="7">
        <v>209082</v>
      </c>
      <c r="BW118" s="7">
        <v>248237</v>
      </c>
      <c r="BX118" s="7">
        <v>160676</v>
      </c>
      <c r="BY118" s="7">
        <v>171575</v>
      </c>
      <c r="BZ118" s="7">
        <v>189039</v>
      </c>
      <c r="CA118" s="7">
        <v>181313</v>
      </c>
      <c r="CB118" s="7">
        <v>187155</v>
      </c>
      <c r="CC118" s="7">
        <v>201454</v>
      </c>
      <c r="CD118" s="7">
        <v>278135</v>
      </c>
      <c r="CE118" s="7">
        <v>283717</v>
      </c>
      <c r="CF118" s="7">
        <v>301006</v>
      </c>
      <c r="CG118" s="7">
        <v>433998</v>
      </c>
      <c r="CH118" s="7">
        <v>418475</v>
      </c>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c r="FJ118" s="7"/>
    </row>
    <row r="119" spans="1:166">
      <c r="A119" s="7" t="s">
        <v>295</v>
      </c>
      <c r="B119" s="7" t="s">
        <v>88</v>
      </c>
      <c r="C119" s="7">
        <v>1000000</v>
      </c>
      <c r="D119" s="7" t="s">
        <v>89</v>
      </c>
      <c r="E119" s="7" t="s">
        <v>512</v>
      </c>
      <c r="F119" s="8" t="s">
        <v>513</v>
      </c>
      <c r="G119" s="7">
        <v>33</v>
      </c>
      <c r="H119" s="7">
        <v>68</v>
      </c>
      <c r="I119" s="7">
        <v>51</v>
      </c>
      <c r="J119" s="7">
        <v>10</v>
      </c>
      <c r="K119" s="7">
        <v>10</v>
      </c>
      <c r="L119" s="7">
        <v>57</v>
      </c>
      <c r="M119" s="7">
        <v>91</v>
      </c>
      <c r="N119" s="7">
        <v>75</v>
      </c>
      <c r="O119" s="7">
        <v>114</v>
      </c>
      <c r="P119" s="7">
        <v>158</v>
      </c>
      <c r="Q119" s="7">
        <v>129</v>
      </c>
      <c r="R119" s="7">
        <v>138</v>
      </c>
      <c r="S119" s="7">
        <v>131</v>
      </c>
      <c r="T119" s="7">
        <v>149</v>
      </c>
      <c r="U119" s="7">
        <v>132</v>
      </c>
      <c r="V119" s="7">
        <v>148</v>
      </c>
      <c r="W119" s="7">
        <v>236</v>
      </c>
      <c r="X119" s="7">
        <v>790</v>
      </c>
      <c r="Y119" s="7">
        <v>731</v>
      </c>
      <c r="Z119" s="7">
        <v>1097</v>
      </c>
      <c r="AA119" s="7">
        <v>781</v>
      </c>
      <c r="AB119" s="7">
        <v>885</v>
      </c>
      <c r="AC119" s="7">
        <v>1055</v>
      </c>
      <c r="AD119" s="7">
        <v>1587</v>
      </c>
      <c r="AE119" s="7">
        <v>1173</v>
      </c>
      <c r="AF119" s="7">
        <v>798</v>
      </c>
      <c r="AG119" s="7">
        <v>1234</v>
      </c>
      <c r="AH119" s="7">
        <v>2172</v>
      </c>
      <c r="AI119" s="7">
        <v>3329</v>
      </c>
      <c r="AJ119" s="7">
        <v>4946</v>
      </c>
      <c r="AK119" s="7">
        <v>2622</v>
      </c>
      <c r="AL119" s="7">
        <v>3439</v>
      </c>
      <c r="AM119" s="7">
        <v>5686</v>
      </c>
      <c r="AN119" s="7">
        <v>8317</v>
      </c>
      <c r="AO119" s="7">
        <v>10080</v>
      </c>
      <c r="AP119" s="7">
        <v>9696</v>
      </c>
      <c r="AQ119" s="7">
        <v>12386</v>
      </c>
      <c r="AR119" s="7">
        <v>10063</v>
      </c>
      <c r="AS119" s="7">
        <v>14393</v>
      </c>
      <c r="AT119" s="7">
        <v>13284</v>
      </c>
      <c r="AU119" s="7">
        <v>16023</v>
      </c>
      <c r="AV119" s="7">
        <v>19201</v>
      </c>
      <c r="AW119" s="7">
        <v>16262</v>
      </c>
      <c r="AX119" s="7">
        <v>21554</v>
      </c>
      <c r="AY119" s="7">
        <v>14705</v>
      </c>
      <c r="AZ119" s="7">
        <v>14717</v>
      </c>
      <c r="BA119" s="7">
        <v>16435</v>
      </c>
      <c r="BB119" s="7">
        <v>15791</v>
      </c>
      <c r="BC119" s="7">
        <v>14502</v>
      </c>
      <c r="BD119" s="7">
        <v>15664</v>
      </c>
      <c r="BE119" s="7">
        <v>17403</v>
      </c>
      <c r="BF119" s="7">
        <v>28208</v>
      </c>
      <c r="BG119" s="7">
        <v>23139</v>
      </c>
      <c r="BH119" s="7">
        <v>30518</v>
      </c>
      <c r="BI119" s="7">
        <v>31460</v>
      </c>
      <c r="BJ119" s="7">
        <v>24029</v>
      </c>
      <c r="BK119" s="7">
        <v>15517</v>
      </c>
      <c r="BL119" s="7">
        <v>20587</v>
      </c>
      <c r="BM119" s="7">
        <v>38145</v>
      </c>
      <c r="BN119" s="7">
        <v>53705</v>
      </c>
      <c r="BO119" s="7">
        <v>63571</v>
      </c>
      <c r="BP119" s="7">
        <v>49336</v>
      </c>
      <c r="BQ119" s="7">
        <v>50250</v>
      </c>
      <c r="BR119" s="7">
        <v>24704</v>
      </c>
      <c r="BS119" s="7">
        <v>31528</v>
      </c>
      <c r="BT119" s="7">
        <v>63991</v>
      </c>
      <c r="BU119" s="7">
        <v>52528</v>
      </c>
      <c r="BV119" s="7">
        <v>53621</v>
      </c>
      <c r="BW119" s="7">
        <v>122171</v>
      </c>
      <c r="BX119" s="7">
        <v>112862</v>
      </c>
      <c r="BY119" s="7">
        <v>93857</v>
      </c>
      <c r="BZ119" s="7">
        <v>97587</v>
      </c>
      <c r="CA119" s="7">
        <v>216550</v>
      </c>
      <c r="CB119" s="7">
        <v>106290</v>
      </c>
      <c r="CC119" s="7">
        <v>130983</v>
      </c>
      <c r="CD119" s="7">
        <v>135012</v>
      </c>
      <c r="CE119" s="7">
        <v>166295</v>
      </c>
      <c r="CF119" s="7">
        <v>201006</v>
      </c>
      <c r="CG119" s="7">
        <v>245776</v>
      </c>
      <c r="CH119" s="7">
        <v>213028</v>
      </c>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row>
    <row r="120" spans="1:166">
      <c r="A120" s="7" t="s">
        <v>298</v>
      </c>
      <c r="B120" s="7" t="s">
        <v>88</v>
      </c>
      <c r="C120" s="7">
        <v>1000000</v>
      </c>
      <c r="D120" s="7" t="s">
        <v>89</v>
      </c>
      <c r="E120" s="7" t="s">
        <v>514</v>
      </c>
      <c r="F120" s="8" t="s">
        <v>515</v>
      </c>
      <c r="G120" s="7">
        <v>18760</v>
      </c>
      <c r="H120" s="7">
        <v>13124</v>
      </c>
      <c r="I120" s="7">
        <v>12770</v>
      </c>
      <c r="J120" s="7">
        <v>13485</v>
      </c>
      <c r="K120" s="7">
        <v>15447</v>
      </c>
      <c r="L120" s="7">
        <v>18665</v>
      </c>
      <c r="M120" s="7">
        <v>19587</v>
      </c>
      <c r="N120" s="7">
        <v>18655</v>
      </c>
      <c r="O120" s="7">
        <v>20449</v>
      </c>
      <c r="P120" s="7">
        <v>18786</v>
      </c>
      <c r="Q120" s="7">
        <v>23017</v>
      </c>
      <c r="R120" s="7">
        <v>18765</v>
      </c>
      <c r="S120" s="7">
        <v>18303</v>
      </c>
      <c r="T120" s="7">
        <v>18860</v>
      </c>
      <c r="U120" s="7">
        <v>25357</v>
      </c>
      <c r="V120" s="7">
        <v>20038</v>
      </c>
      <c r="W120" s="7">
        <v>18828</v>
      </c>
      <c r="X120" s="7">
        <v>17583</v>
      </c>
      <c r="Y120" s="7">
        <v>21492</v>
      </c>
      <c r="Z120" s="7">
        <v>20855</v>
      </c>
      <c r="AA120" s="7">
        <v>19756</v>
      </c>
      <c r="AB120" s="7">
        <v>18572</v>
      </c>
      <c r="AC120" s="7">
        <v>16871</v>
      </c>
      <c r="AD120" s="7">
        <v>19274</v>
      </c>
      <c r="AE120" s="7">
        <v>17750</v>
      </c>
      <c r="AF120" s="7">
        <v>19056</v>
      </c>
      <c r="AG120" s="7">
        <v>24418</v>
      </c>
      <c r="AH120" s="7">
        <v>26327</v>
      </c>
      <c r="AI120" s="7">
        <v>23431</v>
      </c>
      <c r="AJ120" s="7">
        <v>26740</v>
      </c>
      <c r="AK120" s="7">
        <v>30745</v>
      </c>
      <c r="AL120" s="7">
        <v>39154</v>
      </c>
      <c r="AM120" s="7">
        <v>32988</v>
      </c>
      <c r="AN120" s="7">
        <v>31966</v>
      </c>
      <c r="AO120" s="7">
        <v>29316</v>
      </c>
      <c r="AP120" s="7">
        <v>34396</v>
      </c>
      <c r="AQ120" s="7">
        <v>43236</v>
      </c>
      <c r="AR120" s="7">
        <v>44459</v>
      </c>
      <c r="AS120" s="7">
        <v>64787</v>
      </c>
      <c r="AT120" s="7">
        <v>74011</v>
      </c>
      <c r="AU120" s="7">
        <v>81169</v>
      </c>
      <c r="AV120" s="7">
        <v>77913</v>
      </c>
      <c r="AW120" s="7">
        <v>68768</v>
      </c>
      <c r="AX120" s="7">
        <v>64397</v>
      </c>
      <c r="AY120" s="7">
        <v>107244</v>
      </c>
      <c r="AZ120" s="7">
        <v>79441</v>
      </c>
      <c r="BA120" s="7">
        <v>108051</v>
      </c>
      <c r="BB120" s="7">
        <v>132173</v>
      </c>
      <c r="BC120" s="7">
        <v>142181</v>
      </c>
      <c r="BD120" s="7">
        <v>146524</v>
      </c>
      <c r="BE120" s="7">
        <v>137852</v>
      </c>
      <c r="BF120" s="7">
        <v>138732</v>
      </c>
      <c r="BG120" s="7">
        <v>99247</v>
      </c>
      <c r="BH120" s="7">
        <v>100255</v>
      </c>
      <c r="BI120" s="7">
        <v>105469</v>
      </c>
      <c r="BJ120" s="7">
        <v>124661</v>
      </c>
      <c r="BK120" s="7">
        <v>124868</v>
      </c>
      <c r="BL120" s="7">
        <v>145920</v>
      </c>
      <c r="BM120" s="7">
        <v>157048</v>
      </c>
      <c r="BN120" s="7">
        <v>173582</v>
      </c>
      <c r="BO120" s="7">
        <v>215089</v>
      </c>
      <c r="BP120" s="7">
        <v>213883</v>
      </c>
      <c r="BQ120" s="7">
        <v>152455</v>
      </c>
      <c r="BR120" s="7">
        <v>126993</v>
      </c>
      <c r="BS120" s="7">
        <v>145413</v>
      </c>
      <c r="BT120" s="7">
        <v>216876</v>
      </c>
      <c r="BU120" s="7">
        <v>207993</v>
      </c>
      <c r="BV120" s="7">
        <v>192241</v>
      </c>
      <c r="BW120" s="7">
        <v>184184</v>
      </c>
      <c r="BX120" s="7">
        <v>213614</v>
      </c>
      <c r="BY120" s="7">
        <v>216373</v>
      </c>
      <c r="BZ120" s="7">
        <v>211927</v>
      </c>
      <c r="CA120" s="7">
        <v>243351</v>
      </c>
      <c r="CB120" s="7">
        <v>263220</v>
      </c>
      <c r="CC120" s="7">
        <v>337625</v>
      </c>
      <c r="CD120" s="7">
        <v>377229</v>
      </c>
      <c r="CE120" s="7">
        <v>409561</v>
      </c>
      <c r="CF120" s="7">
        <v>382168</v>
      </c>
      <c r="CG120" s="7">
        <v>400061</v>
      </c>
      <c r="CH120" s="7">
        <v>408501</v>
      </c>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c r="FJ120" s="7"/>
    </row>
    <row r="121" spans="1:166">
      <c r="A121" s="7" t="s">
        <v>301</v>
      </c>
      <c r="B121" s="7" t="s">
        <v>88</v>
      </c>
      <c r="C121" s="7">
        <v>1000000</v>
      </c>
      <c r="D121" s="7" t="s">
        <v>89</v>
      </c>
      <c r="E121" s="7" t="s">
        <v>516</v>
      </c>
      <c r="F121" s="8" t="s">
        <v>517</v>
      </c>
      <c r="G121" s="7">
        <v>0</v>
      </c>
      <c r="H121" s="7">
        <v>32</v>
      </c>
      <c r="I121" s="7">
        <v>129</v>
      </c>
      <c r="J121" s="7">
        <v>180</v>
      </c>
      <c r="K121" s="7">
        <v>265</v>
      </c>
      <c r="L121" s="7">
        <v>143</v>
      </c>
      <c r="M121" s="7">
        <v>90</v>
      </c>
      <c r="N121" s="7">
        <v>195</v>
      </c>
      <c r="O121" s="7">
        <v>204</v>
      </c>
      <c r="P121" s="7">
        <v>291</v>
      </c>
      <c r="Q121" s="7">
        <v>217</v>
      </c>
      <c r="R121" s="7">
        <v>305</v>
      </c>
      <c r="S121" s="7">
        <v>435</v>
      </c>
      <c r="T121" s="7">
        <v>210</v>
      </c>
      <c r="U121" s="7">
        <v>742</v>
      </c>
      <c r="V121" s="7">
        <v>788</v>
      </c>
      <c r="W121" s="7">
        <v>1089</v>
      </c>
      <c r="X121" s="7">
        <v>1304</v>
      </c>
      <c r="Y121" s="7">
        <v>969</v>
      </c>
      <c r="Z121" s="7">
        <v>1694</v>
      </c>
      <c r="AA121" s="7">
        <v>1370</v>
      </c>
      <c r="AB121" s="7">
        <v>2852</v>
      </c>
      <c r="AC121" s="7">
        <v>3952</v>
      </c>
      <c r="AD121" s="7">
        <v>5099</v>
      </c>
      <c r="AE121" s="7">
        <v>7628</v>
      </c>
      <c r="AF121" s="7">
        <v>9389</v>
      </c>
      <c r="AG121" s="7">
        <v>11275</v>
      </c>
      <c r="AH121" s="7">
        <v>14235</v>
      </c>
      <c r="AI121" s="7">
        <v>14876</v>
      </c>
      <c r="AJ121" s="7">
        <v>16520</v>
      </c>
      <c r="AK121" s="7">
        <v>8371</v>
      </c>
      <c r="AL121" s="7">
        <v>10511</v>
      </c>
      <c r="AM121" s="7">
        <v>9390</v>
      </c>
      <c r="AN121" s="7">
        <v>9512</v>
      </c>
      <c r="AO121" s="7">
        <v>9586</v>
      </c>
      <c r="AP121" s="7">
        <v>9132</v>
      </c>
      <c r="AQ121" s="7">
        <v>8199</v>
      </c>
      <c r="AR121" s="7">
        <v>7948</v>
      </c>
      <c r="AS121" s="7">
        <v>12188</v>
      </c>
      <c r="AT121" s="7">
        <v>9742</v>
      </c>
      <c r="AU121" s="7">
        <v>10478</v>
      </c>
      <c r="AV121" s="7">
        <v>10173</v>
      </c>
      <c r="AW121" s="7">
        <v>14966</v>
      </c>
      <c r="AX121" s="7">
        <v>13648</v>
      </c>
      <c r="AY121" s="7">
        <v>14291</v>
      </c>
      <c r="AZ121" s="7">
        <v>13836</v>
      </c>
      <c r="BA121" s="7">
        <v>14695</v>
      </c>
      <c r="BB121" s="7">
        <v>17044</v>
      </c>
      <c r="BC121" s="7">
        <v>19411</v>
      </c>
      <c r="BD121" s="7">
        <v>18826</v>
      </c>
      <c r="BE121" s="7">
        <v>20142</v>
      </c>
      <c r="BF121" s="7">
        <v>31534</v>
      </c>
      <c r="BG121" s="7">
        <v>36145</v>
      </c>
      <c r="BH121" s="7">
        <v>39433</v>
      </c>
      <c r="BI121" s="7">
        <v>47604</v>
      </c>
      <c r="BJ121" s="7">
        <v>57765</v>
      </c>
      <c r="BK121" s="7">
        <v>60169</v>
      </c>
      <c r="BL121" s="7">
        <v>64789</v>
      </c>
      <c r="BM121" s="7">
        <v>75679</v>
      </c>
      <c r="BN121" s="7">
        <v>95023</v>
      </c>
      <c r="BO121" s="7">
        <v>110974</v>
      </c>
      <c r="BP121" s="7">
        <v>122669</v>
      </c>
      <c r="BQ121" s="7">
        <v>69462</v>
      </c>
      <c r="BR121" s="7">
        <v>57286</v>
      </c>
      <c r="BS121" s="7">
        <v>55987</v>
      </c>
      <c r="BT121" s="7">
        <v>123511</v>
      </c>
      <c r="BU121" s="7">
        <v>123604</v>
      </c>
      <c r="BV121" s="7">
        <v>112132</v>
      </c>
      <c r="BW121" s="7">
        <v>106504</v>
      </c>
      <c r="BX121" s="7">
        <v>131589</v>
      </c>
      <c r="BY121" s="7">
        <v>139396</v>
      </c>
      <c r="BZ121" s="7">
        <v>132530</v>
      </c>
      <c r="CA121" s="7">
        <v>123727</v>
      </c>
      <c r="CB121" s="7">
        <v>162126</v>
      </c>
      <c r="CC121" s="7">
        <v>217568</v>
      </c>
      <c r="CD121" s="7">
        <v>250853</v>
      </c>
      <c r="CE121" s="7">
        <v>256252</v>
      </c>
      <c r="CF121" s="7">
        <v>216872</v>
      </c>
      <c r="CG121" s="7">
        <v>209834</v>
      </c>
      <c r="CH121" s="7">
        <v>206558</v>
      </c>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c r="FJ121" s="7"/>
    </row>
    <row r="122" spans="1:166">
      <c r="A122" s="7" t="s">
        <v>304</v>
      </c>
      <c r="B122" s="7" t="s">
        <v>88</v>
      </c>
      <c r="C122" s="7">
        <v>1000000</v>
      </c>
      <c r="D122" s="7" t="s">
        <v>89</v>
      </c>
      <c r="E122" s="7" t="s">
        <v>518</v>
      </c>
      <c r="F122" s="8" t="s">
        <v>519</v>
      </c>
      <c r="G122" s="7">
        <v>18508</v>
      </c>
      <c r="H122" s="7">
        <v>12779</v>
      </c>
      <c r="I122" s="7">
        <v>12291</v>
      </c>
      <c r="J122" s="7">
        <v>12853</v>
      </c>
      <c r="K122" s="7">
        <v>14697</v>
      </c>
      <c r="L122" s="7">
        <v>17870</v>
      </c>
      <c r="M122" s="7">
        <v>18653</v>
      </c>
      <c r="N122" s="7">
        <v>17647</v>
      </c>
      <c r="O122" s="7">
        <v>19240</v>
      </c>
      <c r="P122" s="7">
        <v>17523</v>
      </c>
      <c r="Q122" s="7">
        <v>21281</v>
      </c>
      <c r="R122" s="7">
        <v>16718</v>
      </c>
      <c r="S122" s="7">
        <v>15589</v>
      </c>
      <c r="T122" s="7">
        <v>16092</v>
      </c>
      <c r="U122" s="7">
        <v>21621</v>
      </c>
      <c r="V122" s="7">
        <v>15752</v>
      </c>
      <c r="W122" s="7">
        <v>14096</v>
      </c>
      <c r="X122" s="7">
        <v>12307</v>
      </c>
      <c r="Y122" s="7">
        <v>15128</v>
      </c>
      <c r="Z122" s="7">
        <v>14481</v>
      </c>
      <c r="AA122" s="7">
        <v>12548</v>
      </c>
      <c r="AB122" s="7">
        <v>11054</v>
      </c>
      <c r="AC122" s="7">
        <v>8614</v>
      </c>
      <c r="AD122" s="7">
        <v>8959</v>
      </c>
      <c r="AE122" s="7">
        <v>5646</v>
      </c>
      <c r="AF122" s="7">
        <v>6283</v>
      </c>
      <c r="AG122" s="7">
        <v>9057</v>
      </c>
      <c r="AH122" s="7">
        <v>6881</v>
      </c>
      <c r="AI122" s="7">
        <v>2482</v>
      </c>
      <c r="AJ122" s="7">
        <v>2613</v>
      </c>
      <c r="AK122" s="7">
        <v>14264</v>
      </c>
      <c r="AL122" s="7">
        <v>21547</v>
      </c>
      <c r="AM122" s="7">
        <v>16556</v>
      </c>
      <c r="AN122" s="7">
        <v>15070</v>
      </c>
      <c r="AO122" s="7">
        <v>13472</v>
      </c>
      <c r="AP122" s="7">
        <v>13697</v>
      </c>
      <c r="AQ122" s="7">
        <v>18652</v>
      </c>
      <c r="AR122" s="7">
        <v>21011</v>
      </c>
      <c r="AS122" s="7">
        <v>30144</v>
      </c>
      <c r="AT122" s="7">
        <v>36467</v>
      </c>
      <c r="AU122" s="7">
        <v>41102</v>
      </c>
      <c r="AV122" s="7">
        <v>40325</v>
      </c>
      <c r="AW122" s="7">
        <v>31790</v>
      </c>
      <c r="AX122" s="7">
        <v>27933</v>
      </c>
      <c r="AY122" s="7">
        <v>51432</v>
      </c>
      <c r="AZ122" s="7">
        <v>37649</v>
      </c>
      <c r="BA122" s="7">
        <v>43426</v>
      </c>
      <c r="BB122" s="7">
        <v>60589</v>
      </c>
      <c r="BC122" s="7">
        <v>48839</v>
      </c>
      <c r="BD122" s="7">
        <v>50820</v>
      </c>
      <c r="BE122" s="7">
        <v>57098</v>
      </c>
      <c r="BF122" s="7">
        <v>47095</v>
      </c>
      <c r="BG122" s="7">
        <v>26846</v>
      </c>
      <c r="BH122" s="7">
        <v>23615</v>
      </c>
      <c r="BI122" s="7">
        <v>19420</v>
      </c>
      <c r="BJ122" s="7">
        <v>18105</v>
      </c>
      <c r="BK122" s="7">
        <v>16852</v>
      </c>
      <c r="BL122" s="7">
        <v>31354</v>
      </c>
      <c r="BM122" s="7">
        <v>33690</v>
      </c>
      <c r="BN122" s="7">
        <v>34014</v>
      </c>
      <c r="BO122" s="7">
        <v>52117</v>
      </c>
      <c r="BP122" s="7">
        <v>45463</v>
      </c>
      <c r="BQ122" s="7">
        <v>38319</v>
      </c>
      <c r="BR122" s="7">
        <v>30455</v>
      </c>
      <c r="BS122" s="7">
        <v>42964</v>
      </c>
      <c r="BT122" s="7">
        <v>48024</v>
      </c>
      <c r="BU122" s="7">
        <v>42968</v>
      </c>
      <c r="BV122" s="7">
        <v>39437</v>
      </c>
      <c r="BW122" s="7">
        <v>38822</v>
      </c>
      <c r="BX122" s="7">
        <v>41679</v>
      </c>
      <c r="BY122" s="7">
        <v>37425</v>
      </c>
      <c r="BZ122" s="7">
        <v>41185</v>
      </c>
      <c r="CA122" s="7">
        <v>71295</v>
      </c>
      <c r="CB122" s="7">
        <v>54404</v>
      </c>
      <c r="CC122" s="7">
        <v>63629</v>
      </c>
      <c r="CD122" s="7">
        <v>72901</v>
      </c>
      <c r="CE122" s="7">
        <v>79668</v>
      </c>
      <c r="CF122" s="7">
        <v>88981</v>
      </c>
      <c r="CG122" s="7">
        <v>111424</v>
      </c>
      <c r="CH122" s="7">
        <v>122096</v>
      </c>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c r="FI122" s="7"/>
      <c r="FJ122" s="7"/>
    </row>
    <row r="123" spans="1:166">
      <c r="A123" s="7" t="s">
        <v>307</v>
      </c>
      <c r="B123" s="7" t="s">
        <v>88</v>
      </c>
      <c r="C123" s="7">
        <v>1000000</v>
      </c>
      <c r="D123" s="7" t="s">
        <v>89</v>
      </c>
      <c r="E123" s="7" t="s">
        <v>520</v>
      </c>
      <c r="F123" s="8" t="s">
        <v>521</v>
      </c>
      <c r="G123" s="7">
        <v>0</v>
      </c>
      <c r="H123" s="7">
        <v>0</v>
      </c>
      <c r="I123" s="7">
        <v>0</v>
      </c>
      <c r="J123" s="7">
        <v>0</v>
      </c>
      <c r="K123" s="7">
        <v>0</v>
      </c>
      <c r="L123" s="7">
        <v>0</v>
      </c>
      <c r="M123" s="7">
        <v>0</v>
      </c>
      <c r="N123" s="7">
        <v>0</v>
      </c>
      <c r="O123" s="7">
        <v>0</v>
      </c>
      <c r="P123" s="7">
        <v>0</v>
      </c>
      <c r="Q123" s="7">
        <v>300</v>
      </c>
      <c r="R123" s="7">
        <v>400</v>
      </c>
      <c r="S123" s="7">
        <v>800</v>
      </c>
      <c r="T123" s="7">
        <v>600</v>
      </c>
      <c r="U123" s="7">
        <v>1200</v>
      </c>
      <c r="V123" s="7">
        <v>1116</v>
      </c>
      <c r="W123" s="7">
        <v>1248</v>
      </c>
      <c r="X123" s="7">
        <v>1275</v>
      </c>
      <c r="Y123" s="7">
        <v>1608</v>
      </c>
      <c r="Z123" s="7">
        <v>1000</v>
      </c>
      <c r="AA123" s="7">
        <v>1238</v>
      </c>
      <c r="AB123" s="7">
        <v>1027</v>
      </c>
      <c r="AC123" s="7">
        <v>1005</v>
      </c>
      <c r="AD123" s="7">
        <v>1434</v>
      </c>
      <c r="AE123" s="7">
        <v>1676</v>
      </c>
      <c r="AF123" s="7">
        <v>1209</v>
      </c>
      <c r="AG123" s="7">
        <v>911</v>
      </c>
      <c r="AH123" s="7">
        <v>1036</v>
      </c>
      <c r="AI123" s="7">
        <v>2035</v>
      </c>
      <c r="AJ123" s="7">
        <v>2953</v>
      </c>
      <c r="AK123" s="7">
        <v>3264</v>
      </c>
      <c r="AL123" s="7">
        <v>2868</v>
      </c>
      <c r="AM123" s="7">
        <v>2672</v>
      </c>
      <c r="AN123" s="7">
        <v>2773</v>
      </c>
      <c r="AO123" s="7">
        <v>1800</v>
      </c>
      <c r="AP123" s="7">
        <v>2205</v>
      </c>
      <c r="AQ123" s="7">
        <v>5779</v>
      </c>
      <c r="AR123" s="7">
        <v>3322</v>
      </c>
      <c r="AS123" s="7">
        <v>4187</v>
      </c>
      <c r="AT123" s="7">
        <v>5319</v>
      </c>
      <c r="AU123" s="7">
        <v>4017</v>
      </c>
      <c r="AV123" s="7">
        <v>2360</v>
      </c>
      <c r="AW123" s="7">
        <v>2648</v>
      </c>
      <c r="AX123" s="7">
        <v>6022</v>
      </c>
      <c r="AY123" s="7">
        <v>9170</v>
      </c>
      <c r="AZ123" s="7">
        <v>3285</v>
      </c>
      <c r="BA123" s="7">
        <v>5112</v>
      </c>
      <c r="BB123" s="7">
        <v>8585</v>
      </c>
      <c r="BC123" s="7">
        <v>19059</v>
      </c>
      <c r="BD123" s="7">
        <v>19875</v>
      </c>
      <c r="BE123" s="7">
        <v>23421</v>
      </c>
      <c r="BF123" s="7">
        <v>28480</v>
      </c>
      <c r="BG123" s="7">
        <v>7971</v>
      </c>
      <c r="BH123" s="7">
        <v>10609</v>
      </c>
      <c r="BI123" s="7">
        <v>12416</v>
      </c>
      <c r="BJ123" s="7">
        <v>15423</v>
      </c>
      <c r="BK123" s="7">
        <v>17539</v>
      </c>
      <c r="BL123" s="7">
        <v>16883</v>
      </c>
      <c r="BM123" s="7">
        <v>11230</v>
      </c>
      <c r="BN123" s="7">
        <v>11338</v>
      </c>
      <c r="BO123" s="7">
        <v>17372</v>
      </c>
      <c r="BP123" s="7">
        <v>15154</v>
      </c>
      <c r="BQ123" s="7">
        <v>12773</v>
      </c>
      <c r="BR123" s="7">
        <v>10152</v>
      </c>
      <c r="BS123" s="7">
        <v>14321</v>
      </c>
      <c r="BT123" s="7">
        <v>16008</v>
      </c>
      <c r="BU123" s="7">
        <v>14323</v>
      </c>
      <c r="BV123" s="7">
        <v>13146</v>
      </c>
      <c r="BW123" s="7">
        <v>12941</v>
      </c>
      <c r="BX123" s="7">
        <v>13893</v>
      </c>
      <c r="BY123" s="7">
        <v>12475</v>
      </c>
      <c r="BZ123" s="7">
        <v>13728</v>
      </c>
      <c r="CA123" s="7">
        <v>23765</v>
      </c>
      <c r="CB123" s="7">
        <v>18135</v>
      </c>
      <c r="CC123" s="7">
        <v>21210</v>
      </c>
      <c r="CD123" s="7">
        <v>24300</v>
      </c>
      <c r="CE123" s="7">
        <v>26556</v>
      </c>
      <c r="CF123" s="7">
        <v>29660</v>
      </c>
      <c r="CG123" s="7">
        <v>37141</v>
      </c>
      <c r="CH123" s="7">
        <v>40699</v>
      </c>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row>
    <row r="124" spans="1:166">
      <c r="A124" s="7" t="s">
        <v>310</v>
      </c>
      <c r="B124" s="7" t="s">
        <v>88</v>
      </c>
      <c r="C124" s="7">
        <v>1000000</v>
      </c>
      <c r="D124" s="7" t="s">
        <v>89</v>
      </c>
      <c r="E124" s="7" t="s">
        <v>522</v>
      </c>
      <c r="F124" s="8" t="s">
        <v>523</v>
      </c>
      <c r="G124" s="7">
        <v>252</v>
      </c>
      <c r="H124" s="7">
        <v>313</v>
      </c>
      <c r="I124" s="7">
        <v>350</v>
      </c>
      <c r="J124" s="7">
        <v>452</v>
      </c>
      <c r="K124" s="7">
        <v>485</v>
      </c>
      <c r="L124" s="7">
        <v>652</v>
      </c>
      <c r="M124" s="7">
        <v>844</v>
      </c>
      <c r="N124" s="7">
        <v>813</v>
      </c>
      <c r="O124" s="7">
        <v>1005</v>
      </c>
      <c r="P124" s="7">
        <v>972</v>
      </c>
      <c r="Q124" s="7">
        <v>1219</v>
      </c>
      <c r="R124" s="7">
        <v>1342</v>
      </c>
      <c r="S124" s="7">
        <v>1479</v>
      </c>
      <c r="T124" s="7">
        <v>1958</v>
      </c>
      <c r="U124" s="7">
        <v>1794</v>
      </c>
      <c r="V124" s="7">
        <v>2382</v>
      </c>
      <c r="W124" s="7">
        <v>2395</v>
      </c>
      <c r="X124" s="7">
        <v>2697</v>
      </c>
      <c r="Y124" s="7">
        <v>3787</v>
      </c>
      <c r="Z124" s="7">
        <v>3680</v>
      </c>
      <c r="AA124" s="7">
        <v>4600</v>
      </c>
      <c r="AB124" s="7">
        <v>3639</v>
      </c>
      <c r="AC124" s="7">
        <v>3300</v>
      </c>
      <c r="AD124" s="7">
        <v>3782</v>
      </c>
      <c r="AE124" s="7">
        <v>2800</v>
      </c>
      <c r="AF124" s="7">
        <v>2175</v>
      </c>
      <c r="AG124" s="7">
        <v>3175</v>
      </c>
      <c r="AH124" s="7">
        <v>4175</v>
      </c>
      <c r="AI124" s="7">
        <v>4038</v>
      </c>
      <c r="AJ124" s="7">
        <v>4654</v>
      </c>
      <c r="AK124" s="7">
        <v>4846</v>
      </c>
      <c r="AL124" s="7">
        <v>4228</v>
      </c>
      <c r="AM124" s="7">
        <v>4370</v>
      </c>
      <c r="AN124" s="7">
        <v>4611</v>
      </c>
      <c r="AO124" s="7">
        <v>4458</v>
      </c>
      <c r="AP124" s="7">
        <v>9362</v>
      </c>
      <c r="AQ124" s="7">
        <v>10606</v>
      </c>
      <c r="AR124" s="7">
        <v>12178</v>
      </c>
      <c r="AS124" s="7">
        <v>18268</v>
      </c>
      <c r="AT124" s="7">
        <v>22483</v>
      </c>
      <c r="AU124" s="7">
        <v>25572</v>
      </c>
      <c r="AV124" s="7">
        <v>25055</v>
      </c>
      <c r="AW124" s="7">
        <v>19364</v>
      </c>
      <c r="AX124" s="7">
        <v>16794</v>
      </c>
      <c r="AY124" s="7">
        <v>32351</v>
      </c>
      <c r="AZ124" s="7">
        <v>24671</v>
      </c>
      <c r="BA124" s="7">
        <v>44818</v>
      </c>
      <c r="BB124" s="7">
        <v>45813</v>
      </c>
      <c r="BC124" s="7">
        <v>54708</v>
      </c>
      <c r="BD124" s="7">
        <v>56706</v>
      </c>
      <c r="BE124" s="7">
        <v>36787</v>
      </c>
      <c r="BF124" s="7">
        <v>31017</v>
      </c>
      <c r="BG124" s="7">
        <v>27380</v>
      </c>
      <c r="BH124" s="7">
        <v>25748</v>
      </c>
      <c r="BI124" s="7">
        <v>25002</v>
      </c>
      <c r="BJ124" s="7">
        <v>31938</v>
      </c>
      <c r="BK124" s="7">
        <v>29331</v>
      </c>
      <c r="BL124" s="7">
        <v>32131</v>
      </c>
      <c r="BM124" s="7">
        <v>35404</v>
      </c>
      <c r="BN124" s="7">
        <v>31813</v>
      </c>
      <c r="BO124" s="7">
        <v>32113</v>
      </c>
      <c r="BP124" s="7">
        <v>28131</v>
      </c>
      <c r="BQ124" s="7">
        <v>29188</v>
      </c>
      <c r="BR124" s="7">
        <v>26164</v>
      </c>
      <c r="BS124" s="7">
        <v>27101</v>
      </c>
      <c r="BT124" s="7">
        <v>23935</v>
      </c>
      <c r="BU124" s="7">
        <v>22291</v>
      </c>
      <c r="BV124" s="7">
        <v>22915</v>
      </c>
      <c r="BW124" s="7">
        <v>21167</v>
      </c>
      <c r="BX124" s="7">
        <v>21223</v>
      </c>
      <c r="BY124" s="7">
        <v>22267</v>
      </c>
      <c r="BZ124" s="7">
        <v>19251</v>
      </c>
      <c r="CA124" s="7">
        <v>17247</v>
      </c>
      <c r="CB124" s="7">
        <v>18549</v>
      </c>
      <c r="CC124" s="7">
        <v>24226</v>
      </c>
      <c r="CD124" s="7">
        <v>16282</v>
      </c>
      <c r="CE124" s="7">
        <v>27263</v>
      </c>
      <c r="CF124" s="7">
        <v>28199</v>
      </c>
      <c r="CG124" s="7">
        <v>24907</v>
      </c>
      <c r="CH124" s="7">
        <v>25751</v>
      </c>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c r="FI124" s="7"/>
      <c r="FJ124" s="7"/>
    </row>
    <row r="125" spans="1:166">
      <c r="A125" s="7" t="s">
        <v>313</v>
      </c>
      <c r="B125" s="7" t="s">
        <v>88</v>
      </c>
      <c r="C125" s="7">
        <v>1000000</v>
      </c>
      <c r="D125" s="7" t="s">
        <v>89</v>
      </c>
      <c r="E125" s="7" t="s">
        <v>524</v>
      </c>
      <c r="F125" s="8" t="s">
        <v>525</v>
      </c>
      <c r="G125" s="7">
        <v>0</v>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c r="AF125" s="7">
        <v>0</v>
      </c>
      <c r="AG125" s="7">
        <v>0</v>
      </c>
      <c r="AH125" s="7">
        <v>0</v>
      </c>
      <c r="AI125" s="7">
        <v>0</v>
      </c>
      <c r="AJ125" s="7">
        <v>0</v>
      </c>
      <c r="AK125" s="7">
        <v>0</v>
      </c>
      <c r="AL125" s="7">
        <v>0</v>
      </c>
      <c r="AM125" s="7">
        <v>0</v>
      </c>
      <c r="AN125" s="7">
        <v>0</v>
      </c>
      <c r="AO125" s="7">
        <v>0</v>
      </c>
      <c r="AP125" s="7">
        <v>0</v>
      </c>
      <c r="AQ125" s="7">
        <v>0</v>
      </c>
      <c r="AR125" s="7">
        <v>0</v>
      </c>
      <c r="AS125" s="7">
        <v>0</v>
      </c>
      <c r="AT125" s="7">
        <v>0</v>
      </c>
      <c r="AU125" s="7">
        <v>0</v>
      </c>
      <c r="AV125" s="7">
        <v>0</v>
      </c>
      <c r="AW125" s="7">
        <v>0</v>
      </c>
      <c r="AX125" s="7">
        <v>0</v>
      </c>
      <c r="AY125" s="7">
        <v>0</v>
      </c>
      <c r="AZ125" s="7">
        <v>0</v>
      </c>
      <c r="BA125" s="7">
        <v>0</v>
      </c>
      <c r="BB125" s="7">
        <v>142</v>
      </c>
      <c r="BC125" s="7">
        <v>164</v>
      </c>
      <c r="BD125" s="7">
        <v>297</v>
      </c>
      <c r="BE125" s="7">
        <v>404</v>
      </c>
      <c r="BF125" s="7">
        <v>606</v>
      </c>
      <c r="BG125" s="7">
        <v>905</v>
      </c>
      <c r="BH125" s="7">
        <v>850</v>
      </c>
      <c r="BI125" s="7">
        <v>1027</v>
      </c>
      <c r="BJ125" s="7">
        <v>1430</v>
      </c>
      <c r="BK125" s="7">
        <v>977</v>
      </c>
      <c r="BL125" s="7">
        <v>763</v>
      </c>
      <c r="BM125" s="7">
        <v>1045</v>
      </c>
      <c r="BN125" s="7">
        <v>1394</v>
      </c>
      <c r="BO125" s="7">
        <v>2513</v>
      </c>
      <c r="BP125" s="7">
        <v>2466</v>
      </c>
      <c r="BQ125" s="7">
        <v>2713</v>
      </c>
      <c r="BR125" s="7">
        <v>2936</v>
      </c>
      <c r="BS125" s="7">
        <v>5040</v>
      </c>
      <c r="BT125" s="7">
        <v>5398</v>
      </c>
      <c r="BU125" s="7">
        <v>4807</v>
      </c>
      <c r="BV125" s="7">
        <v>4611</v>
      </c>
      <c r="BW125" s="7">
        <v>4750</v>
      </c>
      <c r="BX125" s="7">
        <v>5230</v>
      </c>
      <c r="BY125" s="7">
        <v>4810</v>
      </c>
      <c r="BZ125" s="7">
        <v>5233</v>
      </c>
      <c r="CA125" s="7">
        <v>7317</v>
      </c>
      <c r="CB125" s="7">
        <v>10006</v>
      </c>
      <c r="CC125" s="7">
        <v>10992</v>
      </c>
      <c r="CD125" s="7">
        <v>12893</v>
      </c>
      <c r="CE125" s="7">
        <v>19822</v>
      </c>
      <c r="CF125" s="7">
        <v>18456</v>
      </c>
      <c r="CG125" s="7">
        <v>16755</v>
      </c>
      <c r="CH125" s="7">
        <v>13397</v>
      </c>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row>
    <row r="126" spans="1:166">
      <c r="A126" s="7" t="s">
        <v>316</v>
      </c>
      <c r="B126" s="7" t="s">
        <v>88</v>
      </c>
      <c r="C126" s="7">
        <v>1000000</v>
      </c>
      <c r="D126" s="7" t="s">
        <v>89</v>
      </c>
      <c r="E126" s="7" t="s">
        <v>526</v>
      </c>
      <c r="F126" s="8" t="s">
        <v>527</v>
      </c>
      <c r="G126" s="7">
        <v>3071</v>
      </c>
      <c r="H126" s="7">
        <v>3602</v>
      </c>
      <c r="I126" s="7">
        <v>4449</v>
      </c>
      <c r="J126" s="7">
        <v>5297</v>
      </c>
      <c r="K126" s="7">
        <v>5905</v>
      </c>
      <c r="L126" s="7">
        <v>7057</v>
      </c>
      <c r="M126" s="7">
        <v>7730</v>
      </c>
      <c r="N126" s="7">
        <v>7636</v>
      </c>
      <c r="O126" s="7">
        <v>7952</v>
      </c>
      <c r="P126" s="7">
        <v>8350</v>
      </c>
      <c r="Q126" s="7">
        <v>9113</v>
      </c>
      <c r="R126" s="7">
        <v>9547</v>
      </c>
      <c r="S126" s="7">
        <v>9697</v>
      </c>
      <c r="T126" s="7">
        <v>9935</v>
      </c>
      <c r="U126" s="7">
        <v>11257</v>
      </c>
      <c r="V126" s="7">
        <v>10839</v>
      </c>
      <c r="W126" s="7">
        <v>10949</v>
      </c>
      <c r="X126" s="7">
        <v>11836</v>
      </c>
      <c r="Y126" s="7">
        <v>12924</v>
      </c>
      <c r="Z126" s="7">
        <v>14332</v>
      </c>
      <c r="AA126" s="7">
        <v>15981</v>
      </c>
      <c r="AB126" s="7">
        <v>16613</v>
      </c>
      <c r="AC126" s="7">
        <v>16915</v>
      </c>
      <c r="AD126" s="7">
        <v>18251</v>
      </c>
      <c r="AE126" s="7">
        <v>21679</v>
      </c>
      <c r="AF126" s="7">
        <v>20381</v>
      </c>
      <c r="AG126" s="7">
        <v>25344</v>
      </c>
      <c r="AH126" s="7">
        <v>30269</v>
      </c>
      <c r="AI126" s="7">
        <v>42545</v>
      </c>
      <c r="AJ126" s="7">
        <v>38796</v>
      </c>
      <c r="AK126" s="7">
        <v>40929</v>
      </c>
      <c r="AL126" s="7">
        <v>45734</v>
      </c>
      <c r="AM126" s="7">
        <v>52933</v>
      </c>
      <c r="AN126" s="7">
        <v>59006</v>
      </c>
      <c r="AO126" s="7">
        <v>68311</v>
      </c>
      <c r="AP126" s="7">
        <v>84297</v>
      </c>
      <c r="AQ126" s="7">
        <v>98176</v>
      </c>
      <c r="AR126" s="7">
        <v>104713</v>
      </c>
      <c r="AS126" s="7">
        <v>106936</v>
      </c>
      <c r="AT126" s="7">
        <v>119841</v>
      </c>
      <c r="AU126" s="7">
        <v>126629</v>
      </c>
      <c r="AV126" s="7">
        <v>130261</v>
      </c>
      <c r="AW126" s="7">
        <v>139634</v>
      </c>
      <c r="AX126" s="7">
        <v>169169</v>
      </c>
      <c r="AY126" s="7">
        <v>167405</v>
      </c>
      <c r="AZ126" s="7">
        <v>163521</v>
      </c>
      <c r="BA126" s="7">
        <v>162733</v>
      </c>
      <c r="BB126" s="7">
        <v>176798</v>
      </c>
      <c r="BC126" s="7">
        <v>185082</v>
      </c>
      <c r="BD126" s="7">
        <v>202648</v>
      </c>
      <c r="BE126" s="7">
        <v>200814</v>
      </c>
      <c r="BF126" s="7">
        <v>198880</v>
      </c>
      <c r="BG126" s="7">
        <v>239045</v>
      </c>
      <c r="BH126" s="7">
        <v>244657</v>
      </c>
      <c r="BI126" s="7">
        <v>272886</v>
      </c>
      <c r="BJ126" s="7">
        <v>266353</v>
      </c>
      <c r="BK126" s="7">
        <v>266696</v>
      </c>
      <c r="BL126" s="7">
        <v>293508</v>
      </c>
      <c r="BM126" s="7">
        <v>276312</v>
      </c>
      <c r="BN126" s="7">
        <v>300624</v>
      </c>
      <c r="BO126" s="7">
        <v>307836</v>
      </c>
      <c r="BP126" s="7">
        <v>278297</v>
      </c>
      <c r="BQ126" s="7">
        <v>259496</v>
      </c>
      <c r="BR126" s="7">
        <v>240805</v>
      </c>
      <c r="BS126" s="7">
        <v>276522</v>
      </c>
      <c r="BT126" s="7">
        <v>261576</v>
      </c>
      <c r="BU126" s="7">
        <v>273885</v>
      </c>
      <c r="BV126" s="7">
        <v>306232</v>
      </c>
      <c r="BW126" s="7">
        <v>279460</v>
      </c>
      <c r="BX126" s="7">
        <v>360666</v>
      </c>
      <c r="BY126" s="7">
        <v>390903</v>
      </c>
      <c r="BZ126" s="7">
        <v>357660</v>
      </c>
      <c r="CA126" s="7">
        <v>295873</v>
      </c>
      <c r="CB126" s="7">
        <v>309369</v>
      </c>
      <c r="CC126" s="7">
        <v>188736</v>
      </c>
      <c r="CD126" s="7">
        <v>152358</v>
      </c>
      <c r="CE126" s="7">
        <v>108187</v>
      </c>
      <c r="CF126" s="7">
        <v>64349</v>
      </c>
      <c r="CG126" s="7">
        <v>111890</v>
      </c>
      <c r="CH126" s="7">
        <v>128559</v>
      </c>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row>
    <row r="127" spans="1:166">
      <c r="A127" s="7" t="s">
        <v>319</v>
      </c>
      <c r="B127" s="7" t="s">
        <v>88</v>
      </c>
      <c r="C127" s="7">
        <v>1000000</v>
      </c>
      <c r="D127" s="7" t="s">
        <v>89</v>
      </c>
      <c r="E127" s="7" t="s">
        <v>528</v>
      </c>
      <c r="F127" s="8" t="s">
        <v>529</v>
      </c>
      <c r="G127" s="7">
        <v>2794</v>
      </c>
      <c r="H127" s="7">
        <v>3321</v>
      </c>
      <c r="I127" s="7">
        <v>4119</v>
      </c>
      <c r="J127" s="7">
        <v>4905</v>
      </c>
      <c r="K127" s="7">
        <v>5477</v>
      </c>
      <c r="L127" s="7">
        <v>6591</v>
      </c>
      <c r="M127" s="7">
        <v>7215</v>
      </c>
      <c r="N127" s="7">
        <v>7051</v>
      </c>
      <c r="O127" s="7">
        <v>7309</v>
      </c>
      <c r="P127" s="7">
        <v>7654</v>
      </c>
      <c r="Q127" s="7">
        <v>8338</v>
      </c>
      <c r="R127" s="7">
        <v>8647</v>
      </c>
      <c r="S127" s="7">
        <v>8670</v>
      </c>
      <c r="T127" s="7">
        <v>8820</v>
      </c>
      <c r="U127" s="7">
        <v>10118</v>
      </c>
      <c r="V127" s="7">
        <v>9623</v>
      </c>
      <c r="W127" s="7">
        <v>9617</v>
      </c>
      <c r="X127" s="7">
        <v>10390</v>
      </c>
      <c r="Y127" s="7">
        <v>11345</v>
      </c>
      <c r="Z127" s="7">
        <v>12590</v>
      </c>
      <c r="AA127" s="7">
        <v>13819</v>
      </c>
      <c r="AB127" s="7">
        <v>14292</v>
      </c>
      <c r="AC127" s="7">
        <v>14351</v>
      </c>
      <c r="AD127" s="7">
        <v>14917</v>
      </c>
      <c r="AE127" s="7">
        <v>17338</v>
      </c>
      <c r="AF127" s="7">
        <v>14896</v>
      </c>
      <c r="AG127" s="7">
        <v>18391</v>
      </c>
      <c r="AH127" s="7">
        <v>20686</v>
      </c>
      <c r="AI127" s="7">
        <v>30418</v>
      </c>
      <c r="AJ127" s="7">
        <v>25761</v>
      </c>
      <c r="AK127" s="7">
        <v>22401</v>
      </c>
      <c r="AL127" s="7">
        <v>24959</v>
      </c>
      <c r="AM127" s="7">
        <v>26476</v>
      </c>
      <c r="AN127" s="7">
        <v>29007</v>
      </c>
      <c r="AO127" s="7">
        <v>31414</v>
      </c>
      <c r="AP127" s="7">
        <v>33288</v>
      </c>
      <c r="AQ127" s="7">
        <v>32106</v>
      </c>
      <c r="AR127" s="7">
        <v>33222</v>
      </c>
      <c r="AS127" s="7">
        <v>38613</v>
      </c>
      <c r="AT127" s="7">
        <v>42297</v>
      </c>
      <c r="AU127" s="7">
        <v>45879</v>
      </c>
      <c r="AV127" s="7">
        <v>52090</v>
      </c>
      <c r="AW127" s="7">
        <v>57390</v>
      </c>
      <c r="AX127" s="7">
        <v>65738</v>
      </c>
      <c r="AY127" s="7">
        <v>66612</v>
      </c>
      <c r="AZ127" s="7">
        <v>69278</v>
      </c>
      <c r="BA127" s="7">
        <v>64608</v>
      </c>
      <c r="BB127" s="7">
        <v>70798</v>
      </c>
      <c r="BC127" s="7">
        <v>79735</v>
      </c>
      <c r="BD127" s="7">
        <v>88799</v>
      </c>
      <c r="BE127" s="7">
        <v>87501</v>
      </c>
      <c r="BF127" s="7">
        <v>81649</v>
      </c>
      <c r="BG127" s="7">
        <v>88971</v>
      </c>
      <c r="BH127" s="7">
        <v>83557</v>
      </c>
      <c r="BI127" s="7">
        <v>81913</v>
      </c>
      <c r="BJ127" s="7">
        <v>85694</v>
      </c>
      <c r="BK127" s="7">
        <v>77033</v>
      </c>
      <c r="BL127" s="7">
        <v>80969</v>
      </c>
      <c r="BM127" s="7">
        <v>65051</v>
      </c>
      <c r="BN127" s="7">
        <v>65633</v>
      </c>
      <c r="BO127" s="7">
        <v>74143</v>
      </c>
      <c r="BP127" s="7">
        <v>63826</v>
      </c>
      <c r="BQ127" s="7">
        <v>57474</v>
      </c>
      <c r="BR127" s="7">
        <v>54120</v>
      </c>
      <c r="BS127" s="7">
        <v>51072</v>
      </c>
      <c r="BT127" s="7">
        <v>66426</v>
      </c>
      <c r="BU127" s="7">
        <v>67923</v>
      </c>
      <c r="BV127" s="7">
        <v>62499</v>
      </c>
      <c r="BW127" s="7">
        <v>60758</v>
      </c>
      <c r="BX127" s="7">
        <v>88117</v>
      </c>
      <c r="BY127" s="7">
        <v>101683</v>
      </c>
      <c r="BZ127" s="7">
        <v>128480</v>
      </c>
      <c r="CA127" s="7">
        <v>75794</v>
      </c>
      <c r="CB127" s="7">
        <v>51065</v>
      </c>
      <c r="CC127" s="7">
        <v>49210</v>
      </c>
      <c r="CD127" s="7">
        <v>36991</v>
      </c>
      <c r="CE127" s="7">
        <v>26733</v>
      </c>
      <c r="CF127" s="7">
        <v>30093</v>
      </c>
      <c r="CG127" s="7">
        <v>27018</v>
      </c>
      <c r="CH127" s="7">
        <v>45871</v>
      </c>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row>
    <row r="128" spans="1:166">
      <c r="A128" s="7" t="s">
        <v>530</v>
      </c>
      <c r="B128" s="7" t="s">
        <v>88</v>
      </c>
      <c r="C128" s="7">
        <v>1000000</v>
      </c>
      <c r="D128" s="7" t="s">
        <v>89</v>
      </c>
      <c r="E128" s="7" t="s">
        <v>531</v>
      </c>
      <c r="F128" s="8" t="s">
        <v>532</v>
      </c>
      <c r="G128" s="7">
        <v>0</v>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309</v>
      </c>
      <c r="AA128" s="7">
        <v>593</v>
      </c>
      <c r="AB128" s="7">
        <v>895</v>
      </c>
      <c r="AC128" s="7">
        <v>670</v>
      </c>
      <c r="AD128" s="7">
        <v>1121</v>
      </c>
      <c r="AE128" s="7">
        <v>3311</v>
      </c>
      <c r="AF128" s="7">
        <v>234</v>
      </c>
      <c r="AG128" s="7">
        <v>1077</v>
      </c>
      <c r="AH128" s="7">
        <v>2688</v>
      </c>
      <c r="AI128" s="7">
        <v>11262</v>
      </c>
      <c r="AJ128" s="7">
        <v>5485</v>
      </c>
      <c r="AK128" s="7">
        <v>1189</v>
      </c>
      <c r="AL128" s="7">
        <v>1459</v>
      </c>
      <c r="AM128" s="7">
        <v>2115</v>
      </c>
      <c r="AN128" s="7">
        <v>2509</v>
      </c>
      <c r="AO128" s="7">
        <v>3116</v>
      </c>
      <c r="AP128" s="7">
        <v>3887</v>
      </c>
      <c r="AQ128" s="7">
        <v>1784</v>
      </c>
      <c r="AR128" s="7">
        <v>2435</v>
      </c>
      <c r="AS128" s="7">
        <v>3248</v>
      </c>
      <c r="AT128" s="7">
        <v>3919</v>
      </c>
      <c r="AU128" s="7">
        <v>3374</v>
      </c>
      <c r="AV128" s="7">
        <v>5073</v>
      </c>
      <c r="AW128" s="7">
        <v>3362</v>
      </c>
      <c r="AX128" s="7">
        <v>4981</v>
      </c>
      <c r="AY128" s="7">
        <v>2783</v>
      </c>
      <c r="AZ128" s="7">
        <v>2137</v>
      </c>
      <c r="BA128" s="7">
        <v>1620</v>
      </c>
      <c r="BB128" s="7">
        <v>5057</v>
      </c>
      <c r="BC128" s="7">
        <v>2506</v>
      </c>
      <c r="BD128" s="7">
        <v>2178</v>
      </c>
      <c r="BE128" s="7">
        <v>2440</v>
      </c>
      <c r="BF128" s="7">
        <v>3904</v>
      </c>
      <c r="BG128" s="7">
        <v>4562</v>
      </c>
      <c r="BH128" s="7">
        <v>4208</v>
      </c>
      <c r="BI128" s="7">
        <v>5793</v>
      </c>
      <c r="BJ128" s="7">
        <v>4204</v>
      </c>
      <c r="BK128" s="7">
        <v>3980</v>
      </c>
      <c r="BL128" s="7">
        <v>6171</v>
      </c>
      <c r="BM128" s="7">
        <v>5986</v>
      </c>
      <c r="BN128" s="7">
        <v>6422</v>
      </c>
      <c r="BO128" s="7">
        <v>14560</v>
      </c>
      <c r="BP128" s="7">
        <v>15533</v>
      </c>
      <c r="BQ128" s="7">
        <v>8050</v>
      </c>
      <c r="BR128" s="7">
        <v>7178</v>
      </c>
      <c r="BS128" s="7">
        <v>7852</v>
      </c>
      <c r="BT128" s="7">
        <v>22034</v>
      </c>
      <c r="BU128" s="7">
        <v>22906</v>
      </c>
      <c r="BV128" s="7">
        <v>18273</v>
      </c>
      <c r="BW128" s="7">
        <v>22643</v>
      </c>
      <c r="BX128" s="7">
        <v>50432</v>
      </c>
      <c r="BY128" s="7">
        <v>64591</v>
      </c>
      <c r="BZ128" s="7">
        <v>90280</v>
      </c>
      <c r="CA128" s="7">
        <v>39551</v>
      </c>
      <c r="CB128" s="7">
        <v>14579</v>
      </c>
      <c r="CC128" s="7">
        <v>13384</v>
      </c>
      <c r="CD128" s="7">
        <v>36991</v>
      </c>
      <c r="CE128" s="7">
        <v>26733</v>
      </c>
      <c r="CF128" s="7">
        <v>30093</v>
      </c>
      <c r="CG128" s="7">
        <v>27018</v>
      </c>
      <c r="CH128" s="7">
        <v>45871</v>
      </c>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row>
    <row r="129" spans="1:166">
      <c r="A129" s="7" t="s">
        <v>533</v>
      </c>
      <c r="B129" s="7" t="s">
        <v>88</v>
      </c>
      <c r="C129" s="7">
        <v>1000000</v>
      </c>
      <c r="D129" s="7" t="s">
        <v>89</v>
      </c>
      <c r="E129" s="7" t="s">
        <v>534</v>
      </c>
      <c r="F129" s="8" t="s">
        <v>535</v>
      </c>
      <c r="G129" s="7">
        <v>2794</v>
      </c>
      <c r="H129" s="7">
        <v>3321</v>
      </c>
      <c r="I129" s="7">
        <v>4119</v>
      </c>
      <c r="J129" s="7">
        <v>4905</v>
      </c>
      <c r="K129" s="7">
        <v>5477</v>
      </c>
      <c r="L129" s="7">
        <v>6591</v>
      </c>
      <c r="M129" s="7">
        <v>7215</v>
      </c>
      <c r="N129" s="7">
        <v>7051</v>
      </c>
      <c r="O129" s="7">
        <v>7309</v>
      </c>
      <c r="P129" s="7">
        <v>7654</v>
      </c>
      <c r="Q129" s="7">
        <v>8338</v>
      </c>
      <c r="R129" s="7">
        <v>8647</v>
      </c>
      <c r="S129" s="7">
        <v>8670</v>
      </c>
      <c r="T129" s="7">
        <v>8820</v>
      </c>
      <c r="U129" s="7">
        <v>10118</v>
      </c>
      <c r="V129" s="7">
        <v>9623</v>
      </c>
      <c r="W129" s="7">
        <v>9617</v>
      </c>
      <c r="X129" s="7">
        <v>10390</v>
      </c>
      <c r="Y129" s="7">
        <v>11345</v>
      </c>
      <c r="Z129" s="7">
        <v>12281</v>
      </c>
      <c r="AA129" s="7">
        <v>13226</v>
      </c>
      <c r="AB129" s="7">
        <v>13397</v>
      </c>
      <c r="AC129" s="7">
        <v>13681</v>
      </c>
      <c r="AD129" s="7">
        <v>13796</v>
      </c>
      <c r="AE129" s="7">
        <v>14027</v>
      </c>
      <c r="AF129" s="7">
        <v>14662</v>
      </c>
      <c r="AG129" s="7">
        <v>17314</v>
      </c>
      <c r="AH129" s="7">
        <v>17998</v>
      </c>
      <c r="AI129" s="7">
        <v>19156</v>
      </c>
      <c r="AJ129" s="7">
        <v>20276</v>
      </c>
      <c r="AK129" s="7">
        <v>21212</v>
      </c>
      <c r="AL129" s="7">
        <v>23500</v>
      </c>
      <c r="AM129" s="7">
        <v>24361</v>
      </c>
      <c r="AN129" s="7">
        <v>26498</v>
      </c>
      <c r="AO129" s="7">
        <v>28298</v>
      </c>
      <c r="AP129" s="7">
        <v>29401</v>
      </c>
      <c r="AQ129" s="7">
        <v>30322</v>
      </c>
      <c r="AR129" s="7">
        <v>30787</v>
      </c>
      <c r="AS129" s="7">
        <v>35365</v>
      </c>
      <c r="AT129" s="7">
        <v>38378</v>
      </c>
      <c r="AU129" s="7">
        <v>42505</v>
      </c>
      <c r="AV129" s="7">
        <v>47017</v>
      </c>
      <c r="AW129" s="7">
        <v>54028</v>
      </c>
      <c r="AX129" s="7">
        <v>60757</v>
      </c>
      <c r="AY129" s="7">
        <v>63829</v>
      </c>
      <c r="AZ129" s="7">
        <v>67141</v>
      </c>
      <c r="BA129" s="7">
        <v>62988</v>
      </c>
      <c r="BB129" s="7">
        <v>65741</v>
      </c>
      <c r="BC129" s="7">
        <v>77229</v>
      </c>
      <c r="BD129" s="7">
        <v>86621</v>
      </c>
      <c r="BE129" s="7">
        <v>85061</v>
      </c>
      <c r="BF129" s="7">
        <v>77745</v>
      </c>
      <c r="BG129" s="7">
        <v>84409</v>
      </c>
      <c r="BH129" s="7">
        <v>79349</v>
      </c>
      <c r="BI129" s="7">
        <v>76120</v>
      </c>
      <c r="BJ129" s="7">
        <v>81490</v>
      </c>
      <c r="BK129" s="7">
        <v>73053</v>
      </c>
      <c r="BL129" s="7">
        <v>74798</v>
      </c>
      <c r="BM129" s="7">
        <v>59065</v>
      </c>
      <c r="BN129" s="7">
        <v>59211</v>
      </c>
      <c r="BO129" s="7">
        <v>59583</v>
      </c>
      <c r="BP129" s="7">
        <v>48293</v>
      </c>
      <c r="BQ129" s="7">
        <v>49424</v>
      </c>
      <c r="BR129" s="7">
        <v>46942</v>
      </c>
      <c r="BS129" s="7">
        <v>43220</v>
      </c>
      <c r="BT129" s="7">
        <v>44392</v>
      </c>
      <c r="BU129" s="7">
        <v>45017</v>
      </c>
      <c r="BV129" s="7">
        <v>44226</v>
      </c>
      <c r="BW129" s="7">
        <v>38115</v>
      </c>
      <c r="BX129" s="7">
        <v>37685</v>
      </c>
      <c r="BY129" s="7">
        <v>37092</v>
      </c>
      <c r="BZ129" s="7">
        <v>38200</v>
      </c>
      <c r="CA129" s="7">
        <v>36243</v>
      </c>
      <c r="CB129" s="7">
        <v>36486</v>
      </c>
      <c r="CC129" s="7">
        <v>35826</v>
      </c>
      <c r="CD129" s="7">
        <v>0</v>
      </c>
      <c r="CE129" s="7">
        <v>0</v>
      </c>
      <c r="CF129" s="7">
        <v>0</v>
      </c>
      <c r="CG129" s="7">
        <v>0</v>
      </c>
      <c r="CH129" s="7">
        <v>0</v>
      </c>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row>
    <row r="130" spans="1:166">
      <c r="A130" s="7" t="s">
        <v>322</v>
      </c>
      <c r="B130" s="7" t="s">
        <v>88</v>
      </c>
      <c r="C130" s="7">
        <v>1000000</v>
      </c>
      <c r="D130" s="7" t="s">
        <v>89</v>
      </c>
      <c r="E130" s="7" t="s">
        <v>536</v>
      </c>
      <c r="F130" s="8" t="s">
        <v>537</v>
      </c>
      <c r="G130" s="7">
        <v>277</v>
      </c>
      <c r="H130" s="7">
        <v>281</v>
      </c>
      <c r="I130" s="7">
        <v>330</v>
      </c>
      <c r="J130" s="7">
        <v>392</v>
      </c>
      <c r="K130" s="7">
        <v>428</v>
      </c>
      <c r="L130" s="7">
        <v>466</v>
      </c>
      <c r="M130" s="7">
        <v>515</v>
      </c>
      <c r="N130" s="7">
        <v>585</v>
      </c>
      <c r="O130" s="7">
        <v>643</v>
      </c>
      <c r="P130" s="7">
        <v>696</v>
      </c>
      <c r="Q130" s="7">
        <v>775</v>
      </c>
      <c r="R130" s="7">
        <v>900</v>
      </c>
      <c r="S130" s="7">
        <v>1027</v>
      </c>
      <c r="T130" s="7">
        <v>1115</v>
      </c>
      <c r="U130" s="7">
        <v>1139</v>
      </c>
      <c r="V130" s="7">
        <v>1216</v>
      </c>
      <c r="W130" s="7">
        <v>1332</v>
      </c>
      <c r="X130" s="7">
        <v>1446</v>
      </c>
      <c r="Y130" s="7">
        <v>1579</v>
      </c>
      <c r="Z130" s="7">
        <v>1742</v>
      </c>
      <c r="AA130" s="7">
        <v>2162</v>
      </c>
      <c r="AB130" s="7">
        <v>2321</v>
      </c>
      <c r="AC130" s="7">
        <v>2564</v>
      </c>
      <c r="AD130" s="7">
        <v>3334</v>
      </c>
      <c r="AE130" s="7">
        <v>4341</v>
      </c>
      <c r="AF130" s="7">
        <v>5485</v>
      </c>
      <c r="AG130" s="7">
        <v>6953</v>
      </c>
      <c r="AH130" s="7">
        <v>9583</v>
      </c>
      <c r="AI130" s="7">
        <v>12127</v>
      </c>
      <c r="AJ130" s="7">
        <v>13035</v>
      </c>
      <c r="AK130" s="7">
        <v>18528</v>
      </c>
      <c r="AL130" s="7">
        <v>20775</v>
      </c>
      <c r="AM130" s="7">
        <v>26457</v>
      </c>
      <c r="AN130" s="7">
        <v>29999</v>
      </c>
      <c r="AO130" s="7">
        <v>36897</v>
      </c>
      <c r="AP130" s="7">
        <v>51009</v>
      </c>
      <c r="AQ130" s="7">
        <v>66070</v>
      </c>
      <c r="AR130" s="7">
        <v>71491</v>
      </c>
      <c r="AS130" s="7">
        <v>68323</v>
      </c>
      <c r="AT130" s="7">
        <v>77544</v>
      </c>
      <c r="AU130" s="7">
        <v>80750</v>
      </c>
      <c r="AV130" s="7">
        <v>78171</v>
      </c>
      <c r="AW130" s="7">
        <v>82244</v>
      </c>
      <c r="AX130" s="7">
        <v>103431</v>
      </c>
      <c r="AY130" s="7">
        <v>100793</v>
      </c>
      <c r="AZ130" s="7">
        <v>94243</v>
      </c>
      <c r="BA130" s="7">
        <v>98125</v>
      </c>
      <c r="BB130" s="7">
        <v>106000</v>
      </c>
      <c r="BC130" s="7">
        <v>105347</v>
      </c>
      <c r="BD130" s="7">
        <v>113849</v>
      </c>
      <c r="BE130" s="7">
        <v>113313</v>
      </c>
      <c r="BF130" s="7">
        <v>117231</v>
      </c>
      <c r="BG130" s="7">
        <v>150074</v>
      </c>
      <c r="BH130" s="7">
        <v>161100</v>
      </c>
      <c r="BI130" s="7">
        <v>190973</v>
      </c>
      <c r="BJ130" s="7">
        <v>180659</v>
      </c>
      <c r="BK130" s="7">
        <v>189663</v>
      </c>
      <c r="BL130" s="7">
        <v>212539</v>
      </c>
      <c r="BM130" s="7">
        <v>211261</v>
      </c>
      <c r="BN130" s="7">
        <v>234991</v>
      </c>
      <c r="BO130" s="7">
        <v>233693</v>
      </c>
      <c r="BP130" s="7">
        <v>214471</v>
      </c>
      <c r="BQ130" s="7">
        <v>202022</v>
      </c>
      <c r="BR130" s="7">
        <v>186685</v>
      </c>
      <c r="BS130" s="7">
        <v>225450</v>
      </c>
      <c r="BT130" s="7">
        <v>195150</v>
      </c>
      <c r="BU130" s="7">
        <v>205962</v>
      </c>
      <c r="BV130" s="7">
        <v>243733</v>
      </c>
      <c r="BW130" s="7">
        <v>218702</v>
      </c>
      <c r="BX130" s="7">
        <v>272549</v>
      </c>
      <c r="BY130" s="7">
        <v>289220</v>
      </c>
      <c r="BZ130" s="7">
        <v>229180</v>
      </c>
      <c r="CA130" s="7">
        <v>220079</v>
      </c>
      <c r="CB130" s="7">
        <v>258304</v>
      </c>
      <c r="CC130" s="7">
        <v>139526</v>
      </c>
      <c r="CD130" s="7">
        <v>115367</v>
      </c>
      <c r="CE130" s="7">
        <v>81454</v>
      </c>
      <c r="CF130" s="7">
        <v>34256</v>
      </c>
      <c r="CG130" s="7">
        <v>84872</v>
      </c>
      <c r="CH130" s="7">
        <v>82688</v>
      </c>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row>
    <row r="131" spans="1:166">
      <c r="A131" s="7" t="s">
        <v>538</v>
      </c>
      <c r="B131" s="7" t="s">
        <v>88</v>
      </c>
      <c r="C131" s="7">
        <v>1000000</v>
      </c>
      <c r="D131" s="7" t="s">
        <v>89</v>
      </c>
      <c r="E131" s="7" t="s">
        <v>539</v>
      </c>
      <c r="F131" s="8" t="s">
        <v>540</v>
      </c>
      <c r="G131" s="7">
        <v>5</v>
      </c>
      <c r="H131" s="7">
        <v>10</v>
      </c>
      <c r="I131" s="7">
        <v>16</v>
      </c>
      <c r="J131" s="7">
        <v>30</v>
      </c>
      <c r="K131" s="7">
        <v>24</v>
      </c>
      <c r="L131" s="7">
        <v>23</v>
      </c>
      <c r="M131" s="7">
        <v>26</v>
      </c>
      <c r="N131" s="7">
        <v>30</v>
      </c>
      <c r="O131" s="7">
        <v>32</v>
      </c>
      <c r="P131" s="7">
        <v>33</v>
      </c>
      <c r="Q131" s="7">
        <v>47</v>
      </c>
      <c r="R131" s="7">
        <v>54</v>
      </c>
      <c r="S131" s="7">
        <v>72</v>
      </c>
      <c r="T131" s="7">
        <v>87</v>
      </c>
      <c r="U131" s="7">
        <v>21</v>
      </c>
      <c r="V131" s="7">
        <v>24</v>
      </c>
      <c r="W131" s="7">
        <v>33</v>
      </c>
      <c r="X131" s="7">
        <v>54</v>
      </c>
      <c r="Y131" s="7">
        <v>60</v>
      </c>
      <c r="Z131" s="7">
        <v>84</v>
      </c>
      <c r="AA131" s="7">
        <v>88</v>
      </c>
      <c r="AB131" s="7">
        <v>114</v>
      </c>
      <c r="AC131" s="7">
        <v>112</v>
      </c>
      <c r="AD131" s="7">
        <v>582</v>
      </c>
      <c r="AE131" s="7">
        <v>1237</v>
      </c>
      <c r="AF131" s="7">
        <v>1962</v>
      </c>
      <c r="AG131" s="7">
        <v>3080</v>
      </c>
      <c r="AH131" s="7">
        <v>4898</v>
      </c>
      <c r="AI131" s="7">
        <v>7448</v>
      </c>
      <c r="AJ131" s="7">
        <v>8048</v>
      </c>
      <c r="AK131" s="7">
        <v>13044</v>
      </c>
      <c r="AL131" s="7">
        <v>12531</v>
      </c>
      <c r="AM131" s="7">
        <v>15155</v>
      </c>
      <c r="AN131" s="7">
        <v>16976</v>
      </c>
      <c r="AO131" s="7">
        <v>20202</v>
      </c>
      <c r="AP131" s="7">
        <v>28701</v>
      </c>
      <c r="AQ131" s="7">
        <v>37176</v>
      </c>
      <c r="AR131" s="7">
        <v>39594</v>
      </c>
      <c r="AS131" s="7">
        <v>41335</v>
      </c>
      <c r="AT131" s="7">
        <v>53143</v>
      </c>
      <c r="AU131" s="7">
        <v>60075</v>
      </c>
      <c r="AV131" s="7">
        <v>53216</v>
      </c>
      <c r="AW131" s="7">
        <v>55140</v>
      </c>
      <c r="AX131" s="7">
        <v>72650</v>
      </c>
      <c r="AY131" s="7">
        <v>58738</v>
      </c>
      <c r="AZ131" s="7">
        <v>56752</v>
      </c>
      <c r="BA131" s="7">
        <v>62571</v>
      </c>
      <c r="BB131" s="7">
        <v>63836</v>
      </c>
      <c r="BC131" s="7">
        <v>55831</v>
      </c>
      <c r="BD131" s="7">
        <v>61081</v>
      </c>
      <c r="BE131" s="7">
        <v>62174</v>
      </c>
      <c r="BF131" s="7">
        <v>57864</v>
      </c>
      <c r="BG131" s="7">
        <v>85590</v>
      </c>
      <c r="BH131" s="7">
        <v>74229</v>
      </c>
      <c r="BI131" s="7">
        <v>48586</v>
      </c>
      <c r="BJ131" s="7">
        <v>49464</v>
      </c>
      <c r="BK131" s="7">
        <v>51995</v>
      </c>
      <c r="BL131" s="7">
        <v>54196</v>
      </c>
      <c r="BM131" s="7">
        <v>56897</v>
      </c>
      <c r="BN131" s="7">
        <v>72307</v>
      </c>
      <c r="BO131" s="7">
        <v>74759</v>
      </c>
      <c r="BP131" s="7">
        <v>66877</v>
      </c>
      <c r="BQ131" s="7">
        <v>50631</v>
      </c>
      <c r="BR131" s="7">
        <v>45120</v>
      </c>
      <c r="BS131" s="7">
        <v>45067</v>
      </c>
      <c r="BT131" s="7">
        <v>43864</v>
      </c>
      <c r="BU131" s="7">
        <v>46182</v>
      </c>
      <c r="BV131" s="7">
        <v>45944</v>
      </c>
      <c r="BW131" s="7">
        <v>49908</v>
      </c>
      <c r="BX131" s="7">
        <v>54461</v>
      </c>
      <c r="BY131" s="7">
        <v>78086</v>
      </c>
      <c r="BZ131" s="7">
        <v>50663</v>
      </c>
      <c r="CA131" s="7">
        <v>65268</v>
      </c>
      <c r="CB131" s="7">
        <v>61534</v>
      </c>
      <c r="CC131" s="7">
        <v>67448</v>
      </c>
      <c r="CD131" s="7">
        <v>81811</v>
      </c>
      <c r="CE131" s="7">
        <v>113222</v>
      </c>
      <c r="CF131" s="7">
        <v>118638</v>
      </c>
      <c r="CG131" s="7">
        <v>141232</v>
      </c>
      <c r="CH131" s="7">
        <v>145223</v>
      </c>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row>
    <row r="132" spans="1:166">
      <c r="A132" s="7" t="s">
        <v>463</v>
      </c>
      <c r="B132" s="7" t="s">
        <v>88</v>
      </c>
      <c r="C132" s="7">
        <v>1000000</v>
      </c>
      <c r="D132" s="7" t="s">
        <v>89</v>
      </c>
      <c r="E132" s="7" t="s">
        <v>541</v>
      </c>
      <c r="F132" s="8" t="s">
        <v>542</v>
      </c>
      <c r="G132" s="7">
        <v>272</v>
      </c>
      <c r="H132" s="7">
        <v>271</v>
      </c>
      <c r="I132" s="7">
        <v>314</v>
      </c>
      <c r="J132" s="7">
        <v>362</v>
      </c>
      <c r="K132" s="7">
        <v>404</v>
      </c>
      <c r="L132" s="7">
        <v>443</v>
      </c>
      <c r="M132" s="7">
        <v>489</v>
      </c>
      <c r="N132" s="7">
        <v>555</v>
      </c>
      <c r="O132" s="7">
        <v>611</v>
      </c>
      <c r="P132" s="7">
        <v>663</v>
      </c>
      <c r="Q132" s="7">
        <v>728</v>
      </c>
      <c r="R132" s="7">
        <v>846</v>
      </c>
      <c r="S132" s="7">
        <v>955</v>
      </c>
      <c r="T132" s="7">
        <v>1028</v>
      </c>
      <c r="U132" s="7">
        <v>1118</v>
      </c>
      <c r="V132" s="7">
        <v>1192</v>
      </c>
      <c r="W132" s="7">
        <v>1299</v>
      </c>
      <c r="X132" s="7">
        <v>1392</v>
      </c>
      <c r="Y132" s="7">
        <v>1519</v>
      </c>
      <c r="Z132" s="7">
        <v>1658</v>
      </c>
      <c r="AA132" s="7">
        <v>2074</v>
      </c>
      <c r="AB132" s="7">
        <v>2207</v>
      </c>
      <c r="AC132" s="7">
        <v>2452</v>
      </c>
      <c r="AD132" s="7">
        <v>2752</v>
      </c>
      <c r="AE132" s="7">
        <v>3104</v>
      </c>
      <c r="AF132" s="7">
        <v>3523</v>
      </c>
      <c r="AG132" s="7">
        <v>3873</v>
      </c>
      <c r="AH132" s="7">
        <v>4685</v>
      </c>
      <c r="AI132" s="7">
        <v>4679</v>
      </c>
      <c r="AJ132" s="7">
        <v>4987</v>
      </c>
      <c r="AK132" s="7">
        <v>5484</v>
      </c>
      <c r="AL132" s="7">
        <v>8244</v>
      </c>
      <c r="AM132" s="7">
        <v>11302</v>
      </c>
      <c r="AN132" s="7">
        <v>13023</v>
      </c>
      <c r="AO132" s="7">
        <v>16695</v>
      </c>
      <c r="AP132" s="7">
        <v>22308</v>
      </c>
      <c r="AQ132" s="7">
        <v>28894</v>
      </c>
      <c r="AR132" s="7">
        <v>31897</v>
      </c>
      <c r="AS132" s="7">
        <v>26988</v>
      </c>
      <c r="AT132" s="7">
        <v>24401</v>
      </c>
      <c r="AU132" s="7">
        <v>20675</v>
      </c>
      <c r="AV132" s="7">
        <v>24955</v>
      </c>
      <c r="AW132" s="7">
        <v>27104</v>
      </c>
      <c r="AX132" s="7">
        <v>30781</v>
      </c>
      <c r="AY132" s="7">
        <v>42055</v>
      </c>
      <c r="AZ132" s="7">
        <v>37491</v>
      </c>
      <c r="BA132" s="7">
        <v>35554</v>
      </c>
      <c r="BB132" s="7">
        <v>42164</v>
      </c>
      <c r="BC132" s="7">
        <v>49516</v>
      </c>
      <c r="BD132" s="7">
        <v>52768</v>
      </c>
      <c r="BE132" s="7">
        <v>51139</v>
      </c>
      <c r="BF132" s="7">
        <v>59367</v>
      </c>
      <c r="BG132" s="7">
        <v>64484</v>
      </c>
      <c r="BH132" s="7">
        <v>86871</v>
      </c>
      <c r="BI132" s="7">
        <v>142387</v>
      </c>
      <c r="BJ132" s="7">
        <v>131195</v>
      </c>
      <c r="BK132" s="7">
        <v>137668</v>
      </c>
      <c r="BL132" s="7">
        <v>158343</v>
      </c>
      <c r="BM132" s="7">
        <v>154364</v>
      </c>
      <c r="BN132" s="7">
        <v>162684</v>
      </c>
      <c r="BO132" s="7">
        <v>158934</v>
      </c>
      <c r="BP132" s="7">
        <v>147594</v>
      </c>
      <c r="BQ132" s="7">
        <v>151391</v>
      </c>
      <c r="BR132" s="7">
        <v>141565</v>
      </c>
      <c r="BS132" s="7">
        <v>180383</v>
      </c>
      <c r="BT132" s="7">
        <v>151286</v>
      </c>
      <c r="BU132" s="7">
        <v>159780</v>
      </c>
      <c r="BV132" s="7">
        <v>197789</v>
      </c>
      <c r="BW132" s="7">
        <v>168794</v>
      </c>
      <c r="BX132" s="7">
        <v>218088</v>
      </c>
      <c r="BY132" s="7">
        <v>211134</v>
      </c>
      <c r="BZ132" s="7">
        <v>178517</v>
      </c>
      <c r="CA132" s="7">
        <v>154811</v>
      </c>
      <c r="CB132" s="7">
        <v>196770</v>
      </c>
      <c r="CC132" s="7">
        <v>72078</v>
      </c>
      <c r="CD132" s="7">
        <v>33556</v>
      </c>
      <c r="CE132" s="7">
        <v>-31768</v>
      </c>
      <c r="CF132" s="7">
        <v>-84382</v>
      </c>
      <c r="CG132" s="7">
        <v>-56360</v>
      </c>
      <c r="CH132" s="7">
        <v>-62535</v>
      </c>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row>
    <row r="133" spans="1:166">
      <c r="A133" s="7" t="s">
        <v>325</v>
      </c>
      <c r="B133" s="7" t="s">
        <v>88</v>
      </c>
      <c r="C133" s="7">
        <v>1000000</v>
      </c>
      <c r="D133" s="7" t="s">
        <v>89</v>
      </c>
      <c r="E133" s="7" t="s">
        <v>543</v>
      </c>
      <c r="F133" s="8" t="s">
        <v>544</v>
      </c>
      <c r="G133" s="7">
        <v>6722</v>
      </c>
      <c r="H133" s="7">
        <v>6703</v>
      </c>
      <c r="I133" s="7">
        <v>7776</v>
      </c>
      <c r="J133" s="7">
        <v>8961</v>
      </c>
      <c r="K133" s="7">
        <v>9965</v>
      </c>
      <c r="L133" s="7">
        <v>10978</v>
      </c>
      <c r="M133" s="7">
        <v>12080</v>
      </c>
      <c r="N133" s="7">
        <v>13709</v>
      </c>
      <c r="O133" s="7">
        <v>15127</v>
      </c>
      <c r="P133" s="7">
        <v>16376</v>
      </c>
      <c r="Q133" s="7">
        <v>17998</v>
      </c>
      <c r="R133" s="7">
        <v>20911</v>
      </c>
      <c r="S133" s="7">
        <v>23606</v>
      </c>
      <c r="T133" s="7">
        <v>25458</v>
      </c>
      <c r="U133" s="7">
        <v>27691</v>
      </c>
      <c r="V133" s="7">
        <v>29557</v>
      </c>
      <c r="W133" s="7">
        <v>32176</v>
      </c>
      <c r="X133" s="7">
        <v>34668</v>
      </c>
      <c r="Y133" s="7">
        <v>50531</v>
      </c>
      <c r="Z133" s="7">
        <v>55174</v>
      </c>
      <c r="AA133" s="7">
        <v>66859</v>
      </c>
      <c r="AB133" s="7">
        <v>71932</v>
      </c>
      <c r="AC133" s="7">
        <v>80284</v>
      </c>
      <c r="AD133" s="7">
        <v>93167</v>
      </c>
      <c r="AE133" s="7">
        <v>106262</v>
      </c>
      <c r="AF133" s="7">
        <v>120417</v>
      </c>
      <c r="AG133" s="7">
        <v>132853</v>
      </c>
      <c r="AH133" s="7">
        <v>156270</v>
      </c>
      <c r="AI133" s="7">
        <v>163306</v>
      </c>
      <c r="AJ133" s="7">
        <v>177594</v>
      </c>
      <c r="AK133" s="7">
        <v>197367</v>
      </c>
      <c r="AL133" s="7">
        <v>272011</v>
      </c>
      <c r="AM133" s="7">
        <v>297556</v>
      </c>
      <c r="AN133" s="7">
        <v>333614</v>
      </c>
      <c r="AO133" s="7">
        <v>394410</v>
      </c>
      <c r="AP133" s="7">
        <v>476401</v>
      </c>
      <c r="AQ133" s="7">
        <v>498664</v>
      </c>
      <c r="AR133" s="7">
        <v>361821</v>
      </c>
      <c r="AS133" s="7">
        <v>437973</v>
      </c>
      <c r="AT133" s="7">
        <v>462243</v>
      </c>
      <c r="AU133" s="7">
        <v>610446</v>
      </c>
      <c r="AV133" s="7">
        <v>792247</v>
      </c>
      <c r="AW133" s="7">
        <v>845847</v>
      </c>
      <c r="AX133" s="7">
        <v>872508</v>
      </c>
      <c r="AY133" s="7">
        <v>1015507</v>
      </c>
      <c r="AZ133" s="7">
        <v>931336</v>
      </c>
      <c r="BA133" s="7">
        <v>1108580</v>
      </c>
      <c r="BB133" s="7">
        <v>1065789</v>
      </c>
      <c r="BC133" s="7">
        <v>1322925</v>
      </c>
      <c r="BD133" s="7">
        <v>1371385</v>
      </c>
      <c r="BE133" s="7">
        <v>1762821</v>
      </c>
      <c r="BF133" s="7">
        <v>2127994</v>
      </c>
      <c r="BG133" s="7">
        <v>2687416</v>
      </c>
      <c r="BH133" s="7">
        <v>3460226</v>
      </c>
      <c r="BI133" s="7">
        <v>4770753</v>
      </c>
      <c r="BJ133" s="7">
        <v>4300036</v>
      </c>
      <c r="BK133" s="7">
        <v>3614970</v>
      </c>
      <c r="BL133" s="7">
        <v>2992020</v>
      </c>
      <c r="BM133" s="7">
        <v>3692481</v>
      </c>
      <c r="BN133" s="7">
        <v>4328738</v>
      </c>
      <c r="BO133" s="7">
        <v>4458055</v>
      </c>
      <c r="BP133" s="7">
        <v>5166183</v>
      </c>
      <c r="BQ133" s="7">
        <v>5965821</v>
      </c>
      <c r="BR133" s="7">
        <v>4075995</v>
      </c>
      <c r="BS133" s="7">
        <v>5036240</v>
      </c>
      <c r="BT133" s="7">
        <v>5361823</v>
      </c>
      <c r="BU133" s="7">
        <v>5174892</v>
      </c>
      <c r="BV133" s="7">
        <v>5848441</v>
      </c>
      <c r="BW133" s="7">
        <v>7215009</v>
      </c>
      <c r="BX133" s="7">
        <v>7424550</v>
      </c>
      <c r="BY133" s="7">
        <v>7292745</v>
      </c>
      <c r="BZ133" s="7">
        <v>7699152</v>
      </c>
      <c r="CA133" s="7">
        <v>9344835</v>
      </c>
      <c r="CB133" s="7">
        <v>7753717</v>
      </c>
      <c r="CC133" s="7">
        <v>9431625</v>
      </c>
      <c r="CD133" s="7">
        <v>10359140</v>
      </c>
      <c r="CE133" s="7">
        <v>12342510</v>
      </c>
      <c r="CF133" s="7">
        <v>10122527</v>
      </c>
      <c r="CG133" s="7">
        <v>11742274</v>
      </c>
      <c r="CH133" s="7">
        <v>12723906</v>
      </c>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row>
    <row r="134" spans="1:166">
      <c r="A134" s="7" t="s">
        <v>328</v>
      </c>
      <c r="B134" s="7" t="s">
        <v>88</v>
      </c>
      <c r="C134" s="7">
        <v>1000000</v>
      </c>
      <c r="D134" s="7" t="s">
        <v>89</v>
      </c>
      <c r="E134" s="7" t="s">
        <v>545</v>
      </c>
      <c r="F134" s="8" t="s">
        <v>546</v>
      </c>
      <c r="G134" s="7">
        <v>0</v>
      </c>
      <c r="H134" s="7">
        <v>0</v>
      </c>
      <c r="I134" s="7">
        <v>0</v>
      </c>
      <c r="J134" s="7">
        <v>0</v>
      </c>
      <c r="K134" s="7">
        <v>0</v>
      </c>
      <c r="L134" s="7">
        <v>0</v>
      </c>
      <c r="M134" s="7">
        <v>0</v>
      </c>
      <c r="N134" s="7">
        <v>0</v>
      </c>
      <c r="O134" s="7">
        <v>0</v>
      </c>
      <c r="P134" s="7">
        <v>0</v>
      </c>
      <c r="Q134" s="7">
        <v>0</v>
      </c>
      <c r="R134" s="7">
        <v>0</v>
      </c>
      <c r="S134" s="7">
        <v>0</v>
      </c>
      <c r="T134" s="7">
        <v>0</v>
      </c>
      <c r="U134" s="7">
        <v>0</v>
      </c>
      <c r="V134" s="7">
        <v>0</v>
      </c>
      <c r="W134" s="7">
        <v>0</v>
      </c>
      <c r="X134" s="7">
        <v>0</v>
      </c>
      <c r="Y134" s="7">
        <v>0</v>
      </c>
      <c r="Z134" s="7">
        <v>0</v>
      </c>
      <c r="AA134" s="7">
        <v>0</v>
      </c>
      <c r="AB134" s="7">
        <v>0</v>
      </c>
      <c r="AC134" s="7">
        <v>0</v>
      </c>
      <c r="AD134" s="7">
        <v>0</v>
      </c>
      <c r="AE134" s="7">
        <v>0</v>
      </c>
      <c r="AF134" s="7">
        <v>0</v>
      </c>
      <c r="AG134" s="7">
        <v>0</v>
      </c>
      <c r="AH134" s="7">
        <v>0</v>
      </c>
      <c r="AI134" s="7">
        <v>0</v>
      </c>
      <c r="AJ134" s="7">
        <v>0</v>
      </c>
      <c r="AK134" s="7">
        <v>0</v>
      </c>
      <c r="AL134" s="7">
        <v>0</v>
      </c>
      <c r="AM134" s="7">
        <v>200</v>
      </c>
      <c r="AN134" s="7">
        <v>610</v>
      </c>
      <c r="AO134" s="7">
        <v>3000</v>
      </c>
      <c r="AP134" s="7">
        <v>6993</v>
      </c>
      <c r="AQ134" s="7">
        <v>18416</v>
      </c>
      <c r="AR134" s="7">
        <v>19031</v>
      </c>
      <c r="AS134" s="7">
        <v>11153</v>
      </c>
      <c r="AT134" s="7">
        <v>16062</v>
      </c>
      <c r="AU134" s="7">
        <v>14516</v>
      </c>
      <c r="AV134" s="7">
        <v>18117</v>
      </c>
      <c r="AW134" s="7">
        <v>18940</v>
      </c>
      <c r="AX134" s="7">
        <v>15649</v>
      </c>
      <c r="AY134" s="7">
        <v>16224</v>
      </c>
      <c r="AZ134" s="7">
        <v>26329</v>
      </c>
      <c r="BA134" s="7">
        <v>32331</v>
      </c>
      <c r="BB134" s="7">
        <v>47346</v>
      </c>
      <c r="BC134" s="7">
        <v>44812</v>
      </c>
      <c r="BD134" s="7">
        <v>52209</v>
      </c>
      <c r="BE134" s="7">
        <v>76969</v>
      </c>
      <c r="BF134" s="7">
        <v>94627</v>
      </c>
      <c r="BG134" s="7">
        <v>118834</v>
      </c>
      <c r="BH134" s="7">
        <v>161719</v>
      </c>
      <c r="BI134" s="7">
        <v>196783</v>
      </c>
      <c r="BJ134" s="7">
        <v>213914</v>
      </c>
      <c r="BK134" s="7">
        <v>314064</v>
      </c>
      <c r="BL134" s="7">
        <v>319714</v>
      </c>
      <c r="BM134" s="7">
        <v>293559</v>
      </c>
      <c r="BN134" s="7">
        <v>305966</v>
      </c>
      <c r="BO134" s="7">
        <v>359020</v>
      </c>
      <c r="BP134" s="7">
        <v>428003</v>
      </c>
      <c r="BQ134" s="7">
        <v>565641</v>
      </c>
      <c r="BR134" s="7">
        <v>798998</v>
      </c>
      <c r="BS134" s="7">
        <v>725069</v>
      </c>
      <c r="BT134" s="7">
        <v>555140</v>
      </c>
      <c r="BU134" s="7">
        <v>515830</v>
      </c>
      <c r="BV134" s="7">
        <v>504912</v>
      </c>
      <c r="BW134" s="7">
        <v>535492</v>
      </c>
      <c r="BX134" s="7">
        <v>557351</v>
      </c>
      <c r="BY134" s="7">
        <v>576361</v>
      </c>
      <c r="BZ134" s="7">
        <v>463847</v>
      </c>
      <c r="CA134" s="7">
        <v>532543</v>
      </c>
      <c r="CB134" s="7">
        <v>480766</v>
      </c>
      <c r="CC134" s="7">
        <v>589092</v>
      </c>
      <c r="CD134" s="7">
        <v>711133</v>
      </c>
      <c r="CE134" s="7">
        <v>811455</v>
      </c>
      <c r="CF134" s="7">
        <v>737989</v>
      </c>
      <c r="CG134" s="7">
        <v>873704</v>
      </c>
      <c r="CH134" s="7">
        <v>962177</v>
      </c>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row>
    <row r="135" spans="1:166">
      <c r="A135" s="7" t="s">
        <v>331</v>
      </c>
      <c r="B135" s="7" t="s">
        <v>88</v>
      </c>
      <c r="C135" s="7">
        <v>1000000</v>
      </c>
      <c r="D135" s="7" t="s">
        <v>89</v>
      </c>
      <c r="E135" s="7" t="s">
        <v>547</v>
      </c>
      <c r="F135" s="8" t="s">
        <v>548</v>
      </c>
      <c r="G135" s="7">
        <v>0</v>
      </c>
      <c r="H135" s="7">
        <v>0</v>
      </c>
      <c r="I135" s="7">
        <v>0</v>
      </c>
      <c r="J135" s="7">
        <v>0</v>
      </c>
      <c r="K135" s="7">
        <v>0</v>
      </c>
      <c r="L135" s="7">
        <v>0</v>
      </c>
      <c r="M135" s="7">
        <v>0</v>
      </c>
      <c r="N135" s="7">
        <v>0</v>
      </c>
      <c r="O135" s="7">
        <v>0</v>
      </c>
      <c r="P135" s="7">
        <v>0</v>
      </c>
      <c r="Q135" s="7">
        <v>0</v>
      </c>
      <c r="R135" s="7">
        <v>0</v>
      </c>
      <c r="S135" s="7">
        <v>0</v>
      </c>
      <c r="T135" s="7">
        <v>0</v>
      </c>
      <c r="U135" s="7">
        <v>0</v>
      </c>
      <c r="V135" s="7">
        <v>0</v>
      </c>
      <c r="W135" s="7">
        <v>0</v>
      </c>
      <c r="X135" s="7">
        <v>0</v>
      </c>
      <c r="Y135" s="7">
        <v>12666</v>
      </c>
      <c r="Z135" s="7">
        <v>13844</v>
      </c>
      <c r="AA135" s="7">
        <v>15148</v>
      </c>
      <c r="AB135" s="7">
        <v>16847</v>
      </c>
      <c r="AC135" s="7">
        <v>18911</v>
      </c>
      <c r="AD135" s="7">
        <v>24109</v>
      </c>
      <c r="AE135" s="7">
        <v>28569</v>
      </c>
      <c r="AF135" s="7">
        <v>32658</v>
      </c>
      <c r="AG135" s="7">
        <v>36422</v>
      </c>
      <c r="AH135" s="7">
        <v>39717</v>
      </c>
      <c r="AI135" s="7">
        <v>46857</v>
      </c>
      <c r="AJ135" s="7">
        <v>53476</v>
      </c>
      <c r="AK135" s="7">
        <v>60832</v>
      </c>
      <c r="AL135" s="7">
        <v>67205</v>
      </c>
      <c r="AM135" s="7">
        <v>72035</v>
      </c>
      <c r="AN135" s="7">
        <v>72345</v>
      </c>
      <c r="AO135" s="7">
        <v>83307</v>
      </c>
      <c r="AP135" s="7">
        <v>113879</v>
      </c>
      <c r="AQ135" s="7">
        <v>109002</v>
      </c>
      <c r="AR135" s="7">
        <v>128675</v>
      </c>
      <c r="AS135" s="7">
        <v>159277</v>
      </c>
      <c r="AT135" s="7">
        <v>175013</v>
      </c>
      <c r="AU135" s="7">
        <v>214143</v>
      </c>
      <c r="AV135" s="7">
        <v>265538</v>
      </c>
      <c r="AW135" s="7">
        <v>275803</v>
      </c>
      <c r="AX135" s="7">
        <v>230344</v>
      </c>
      <c r="AY135" s="7">
        <v>287674</v>
      </c>
      <c r="AZ135" s="7">
        <v>274682</v>
      </c>
      <c r="BA135" s="7">
        <v>353898</v>
      </c>
      <c r="BB135" s="7">
        <v>335563</v>
      </c>
      <c r="BC135" s="7">
        <v>406967</v>
      </c>
      <c r="BD135" s="7">
        <v>369073</v>
      </c>
      <c r="BE135" s="7">
        <v>491714</v>
      </c>
      <c r="BF135" s="7">
        <v>621908</v>
      </c>
      <c r="BG135" s="7">
        <v>916390</v>
      </c>
      <c r="BH135" s="7">
        <v>1303141</v>
      </c>
      <c r="BI135" s="7">
        <v>2075021</v>
      </c>
      <c r="BJ135" s="7">
        <v>1717546</v>
      </c>
      <c r="BK135" s="7">
        <v>1286722</v>
      </c>
      <c r="BL135" s="7">
        <v>984329</v>
      </c>
      <c r="BM135" s="7">
        <v>1106509</v>
      </c>
      <c r="BN135" s="7">
        <v>1213832</v>
      </c>
      <c r="BO135" s="7">
        <v>1058806</v>
      </c>
      <c r="BP135" s="7">
        <v>964060</v>
      </c>
      <c r="BQ135" s="7">
        <v>1033221</v>
      </c>
      <c r="BR135" s="7">
        <v>791594</v>
      </c>
      <c r="BS135" s="7">
        <v>863153</v>
      </c>
      <c r="BT135" s="7">
        <v>917209</v>
      </c>
      <c r="BU135" s="7">
        <v>940555</v>
      </c>
      <c r="BV135" s="7">
        <v>1040110</v>
      </c>
      <c r="BW135" s="7">
        <v>1359761</v>
      </c>
      <c r="BX135" s="7">
        <v>1553751</v>
      </c>
      <c r="BY135" s="7">
        <v>1499935</v>
      </c>
      <c r="BZ135" s="7">
        <v>1712941</v>
      </c>
      <c r="CA135" s="7">
        <v>1949283</v>
      </c>
      <c r="CB135" s="7">
        <v>1789868</v>
      </c>
      <c r="CC135" s="7">
        <v>2317738</v>
      </c>
      <c r="CD135" s="7">
        <v>2543177</v>
      </c>
      <c r="CE135" s="7">
        <v>3144897</v>
      </c>
      <c r="CF135" s="7">
        <v>2397646</v>
      </c>
      <c r="CG135" s="7">
        <v>2913842</v>
      </c>
      <c r="CH135" s="7">
        <v>3249896</v>
      </c>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row>
    <row r="136" spans="1:166">
      <c r="A136" s="7" t="s">
        <v>334</v>
      </c>
      <c r="B136" s="7" t="s">
        <v>88</v>
      </c>
      <c r="C136" s="7">
        <v>1000000</v>
      </c>
      <c r="D136" s="7" t="s">
        <v>89</v>
      </c>
      <c r="E136" s="7" t="s">
        <v>549</v>
      </c>
      <c r="F136" s="8" t="s">
        <v>550</v>
      </c>
      <c r="G136" s="7">
        <v>0</v>
      </c>
      <c r="H136" s="7">
        <v>0</v>
      </c>
      <c r="I136" s="7">
        <v>0</v>
      </c>
      <c r="J136" s="7">
        <v>0</v>
      </c>
      <c r="K136" s="7">
        <v>0</v>
      </c>
      <c r="L136" s="7">
        <v>0</v>
      </c>
      <c r="M136" s="7">
        <v>0</v>
      </c>
      <c r="N136" s="7">
        <v>0</v>
      </c>
      <c r="O136" s="7">
        <v>0</v>
      </c>
      <c r="P136" s="7">
        <v>0</v>
      </c>
      <c r="Q136" s="7">
        <v>0</v>
      </c>
      <c r="R136" s="7">
        <v>0</v>
      </c>
      <c r="S136" s="7">
        <v>0</v>
      </c>
      <c r="T136" s="7">
        <v>0</v>
      </c>
      <c r="U136" s="7">
        <v>0</v>
      </c>
      <c r="V136" s="7">
        <v>0</v>
      </c>
      <c r="W136" s="7">
        <v>0</v>
      </c>
      <c r="X136" s="7">
        <v>168</v>
      </c>
      <c r="Y136" s="7">
        <v>203</v>
      </c>
      <c r="Z136" s="7">
        <v>253</v>
      </c>
      <c r="AA136" s="7">
        <v>330</v>
      </c>
      <c r="AB136" s="7">
        <v>425</v>
      </c>
      <c r="AC136" s="7">
        <v>635</v>
      </c>
      <c r="AD136" s="7">
        <v>845</v>
      </c>
      <c r="AE136" s="7">
        <v>745</v>
      </c>
      <c r="AF136" s="7">
        <v>645</v>
      </c>
      <c r="AG136" s="7">
        <v>690</v>
      </c>
      <c r="AH136" s="7">
        <v>732</v>
      </c>
      <c r="AI136" s="7">
        <v>775</v>
      </c>
      <c r="AJ136" s="7">
        <v>816</v>
      </c>
      <c r="AK136" s="7">
        <v>890</v>
      </c>
      <c r="AL136" s="7">
        <v>964</v>
      </c>
      <c r="AM136" s="7">
        <v>790</v>
      </c>
      <c r="AN136" s="7">
        <v>618</v>
      </c>
      <c r="AO136" s="7">
        <v>1060</v>
      </c>
      <c r="AP136" s="7">
        <v>1507</v>
      </c>
      <c r="AQ136" s="7">
        <v>1624</v>
      </c>
      <c r="AR136" s="7">
        <v>3070</v>
      </c>
      <c r="AS136" s="7">
        <v>4501</v>
      </c>
      <c r="AT136" s="7">
        <v>7193</v>
      </c>
      <c r="AU136" s="7">
        <v>10799</v>
      </c>
      <c r="AV136" s="7">
        <v>15676</v>
      </c>
      <c r="AW136" s="7">
        <v>12817</v>
      </c>
      <c r="AX136" s="7">
        <v>10627</v>
      </c>
      <c r="AY136" s="7">
        <v>11709</v>
      </c>
      <c r="AZ136" s="7">
        <v>9723</v>
      </c>
      <c r="BA136" s="7">
        <v>14828</v>
      </c>
      <c r="BB136" s="7">
        <v>21148</v>
      </c>
      <c r="BC136" s="7">
        <v>29776</v>
      </c>
      <c r="BD136" s="7">
        <v>31061</v>
      </c>
      <c r="BE136" s="7">
        <v>45668</v>
      </c>
      <c r="BF136" s="7">
        <v>62566</v>
      </c>
      <c r="BG136" s="7">
        <v>74492</v>
      </c>
      <c r="BH136" s="7">
        <v>97645</v>
      </c>
      <c r="BI136" s="7">
        <v>127331</v>
      </c>
      <c r="BJ136" s="7">
        <v>118041</v>
      </c>
      <c r="BK136" s="7">
        <v>108960</v>
      </c>
      <c r="BL136" s="7">
        <v>90918</v>
      </c>
      <c r="BM136" s="7">
        <v>114880</v>
      </c>
      <c r="BN136" s="7">
        <v>125553</v>
      </c>
      <c r="BO136" s="7">
        <v>134404</v>
      </c>
      <c r="BP136" s="7">
        <v>173221</v>
      </c>
      <c r="BQ136" s="7">
        <v>178028</v>
      </c>
      <c r="BR136" s="7">
        <v>106333</v>
      </c>
      <c r="BS136" s="7">
        <v>162039</v>
      </c>
      <c r="BT136" s="7">
        <v>184969</v>
      </c>
      <c r="BU136" s="7">
        <v>164998</v>
      </c>
      <c r="BV136" s="7">
        <v>177980</v>
      </c>
      <c r="BW136" s="7">
        <v>208084</v>
      </c>
      <c r="BX136" s="7">
        <v>240414</v>
      </c>
      <c r="BY136" s="7">
        <v>245982</v>
      </c>
      <c r="BZ136" s="7">
        <v>253381</v>
      </c>
      <c r="CA136" s="7">
        <v>297488</v>
      </c>
      <c r="CB136" s="7">
        <v>267200</v>
      </c>
      <c r="CC136" s="7">
        <v>308874</v>
      </c>
      <c r="CD136" s="7">
        <v>353656</v>
      </c>
      <c r="CE136" s="7">
        <v>414883</v>
      </c>
      <c r="CF136" s="7">
        <v>318890</v>
      </c>
      <c r="CG136" s="7">
        <v>325191</v>
      </c>
      <c r="CH136" s="7">
        <v>404454</v>
      </c>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c r="FI136" s="7"/>
      <c r="FJ136" s="7"/>
    </row>
    <row r="137" spans="1:166">
      <c r="A137" s="7" t="s">
        <v>337</v>
      </c>
      <c r="B137" s="7" t="s">
        <v>88</v>
      </c>
      <c r="C137" s="7">
        <v>1000000</v>
      </c>
      <c r="D137" s="7" t="s">
        <v>89</v>
      </c>
      <c r="E137" s="7" t="s">
        <v>551</v>
      </c>
      <c r="F137" s="8" t="s">
        <v>552</v>
      </c>
      <c r="G137" s="7">
        <v>6718</v>
      </c>
      <c r="H137" s="7">
        <v>6700</v>
      </c>
      <c r="I137" s="7">
        <v>7774</v>
      </c>
      <c r="J137" s="7">
        <v>8959</v>
      </c>
      <c r="K137" s="7">
        <v>9963</v>
      </c>
      <c r="L137" s="7">
        <v>10976</v>
      </c>
      <c r="M137" s="7">
        <v>12078</v>
      </c>
      <c r="N137" s="7">
        <v>13706</v>
      </c>
      <c r="O137" s="7">
        <v>15124</v>
      </c>
      <c r="P137" s="7">
        <v>16373</v>
      </c>
      <c r="Q137" s="7">
        <v>17992</v>
      </c>
      <c r="R137" s="7">
        <v>20894</v>
      </c>
      <c r="S137" s="7">
        <v>23569</v>
      </c>
      <c r="T137" s="7">
        <v>25415</v>
      </c>
      <c r="U137" s="7">
        <v>27634</v>
      </c>
      <c r="V137" s="7">
        <v>29478</v>
      </c>
      <c r="W137" s="7">
        <v>32088</v>
      </c>
      <c r="X137" s="7">
        <v>34401</v>
      </c>
      <c r="Y137" s="7">
        <v>37562</v>
      </c>
      <c r="Z137" s="7">
        <v>40974</v>
      </c>
      <c r="AA137" s="7">
        <v>51270</v>
      </c>
      <c r="AB137" s="7">
        <v>54524</v>
      </c>
      <c r="AC137" s="7">
        <v>60585</v>
      </c>
      <c r="AD137" s="7">
        <v>68028</v>
      </c>
      <c r="AE137" s="7">
        <v>76695</v>
      </c>
      <c r="AF137" s="7">
        <v>87083</v>
      </c>
      <c r="AG137" s="7">
        <v>95705</v>
      </c>
      <c r="AH137" s="7">
        <v>115780</v>
      </c>
      <c r="AI137" s="7">
        <v>115623</v>
      </c>
      <c r="AJ137" s="7">
        <v>123237</v>
      </c>
      <c r="AK137" s="7">
        <v>135561</v>
      </c>
      <c r="AL137" s="7">
        <v>203740</v>
      </c>
      <c r="AM137" s="7">
        <v>224410</v>
      </c>
      <c r="AN137" s="7">
        <v>259898</v>
      </c>
      <c r="AO137" s="7">
        <v>306867</v>
      </c>
      <c r="AP137" s="7">
        <v>353802</v>
      </c>
      <c r="AQ137" s="7">
        <v>369351</v>
      </c>
      <c r="AR137" s="7">
        <v>210743</v>
      </c>
      <c r="AS137" s="7">
        <v>262731</v>
      </c>
      <c r="AT137" s="7">
        <v>263661</v>
      </c>
      <c r="AU137" s="7">
        <v>370692</v>
      </c>
      <c r="AV137" s="7">
        <v>492660</v>
      </c>
      <c r="AW137" s="7">
        <v>538063</v>
      </c>
      <c r="AX137" s="7">
        <v>615657</v>
      </c>
      <c r="AY137" s="7">
        <v>699734</v>
      </c>
      <c r="AZ137" s="7">
        <v>620444</v>
      </c>
      <c r="BA137" s="7">
        <v>707348</v>
      </c>
      <c r="BB137" s="7">
        <v>661560</v>
      </c>
      <c r="BC137" s="7">
        <v>841182</v>
      </c>
      <c r="BD137" s="7">
        <v>918843</v>
      </c>
      <c r="BE137" s="7">
        <v>1148264</v>
      </c>
      <c r="BF137" s="7">
        <v>1348740</v>
      </c>
      <c r="BG137" s="7">
        <v>1577539</v>
      </c>
      <c r="BH137" s="7">
        <v>1897535</v>
      </c>
      <c r="BI137" s="7">
        <v>2371426</v>
      </c>
      <c r="BJ137" s="7">
        <v>2250325</v>
      </c>
      <c r="BK137" s="7">
        <v>1904942</v>
      </c>
      <c r="BL137" s="7">
        <v>1596736</v>
      </c>
      <c r="BM137" s="7">
        <v>2177117</v>
      </c>
      <c r="BN137" s="7">
        <v>2682900</v>
      </c>
      <c r="BO137" s="7">
        <v>2905296</v>
      </c>
      <c r="BP137" s="7">
        <v>3600319</v>
      </c>
      <c r="BQ137" s="7">
        <v>4188219</v>
      </c>
      <c r="BR137" s="7">
        <v>2378648</v>
      </c>
      <c r="BS137" s="7">
        <v>3285535</v>
      </c>
      <c r="BT137" s="7">
        <v>3703940</v>
      </c>
      <c r="BU137" s="7">
        <v>3552983</v>
      </c>
      <c r="BV137" s="7">
        <v>4124887</v>
      </c>
      <c r="BW137" s="7">
        <v>5111076</v>
      </c>
      <c r="BX137" s="7">
        <v>5072306</v>
      </c>
      <c r="BY137" s="7">
        <v>4969661</v>
      </c>
      <c r="BZ137" s="7">
        <v>5268081</v>
      </c>
      <c r="CA137" s="7">
        <v>6564342</v>
      </c>
      <c r="CB137" s="7">
        <v>5214635</v>
      </c>
      <c r="CC137" s="7">
        <v>6214598</v>
      </c>
      <c r="CD137" s="7">
        <v>6749774</v>
      </c>
      <c r="CE137" s="7">
        <v>7969713</v>
      </c>
      <c r="CF137" s="7">
        <v>6666317</v>
      </c>
      <c r="CG137" s="7">
        <v>7627613</v>
      </c>
      <c r="CH137" s="7">
        <v>8105294</v>
      </c>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row>
    <row r="138" spans="1:166">
      <c r="A138" s="7" t="s">
        <v>340</v>
      </c>
      <c r="B138" s="7" t="s">
        <v>88</v>
      </c>
      <c r="C138" s="7">
        <v>1000000</v>
      </c>
      <c r="D138" s="7" t="s">
        <v>89</v>
      </c>
      <c r="E138" s="7" t="s">
        <v>553</v>
      </c>
      <c r="F138" s="8" t="s">
        <v>554</v>
      </c>
      <c r="G138" s="7">
        <v>4</v>
      </c>
      <c r="H138" s="7">
        <v>3</v>
      </c>
      <c r="I138" s="7">
        <v>2</v>
      </c>
      <c r="J138" s="7">
        <v>2</v>
      </c>
      <c r="K138" s="7">
        <v>2</v>
      </c>
      <c r="L138" s="7">
        <v>2</v>
      </c>
      <c r="M138" s="7">
        <v>2</v>
      </c>
      <c r="N138" s="7">
        <v>3</v>
      </c>
      <c r="O138" s="7">
        <v>3</v>
      </c>
      <c r="P138" s="7">
        <v>3</v>
      </c>
      <c r="Q138" s="7">
        <v>6</v>
      </c>
      <c r="R138" s="7">
        <v>17</v>
      </c>
      <c r="S138" s="7">
        <v>37</v>
      </c>
      <c r="T138" s="7">
        <v>43</v>
      </c>
      <c r="U138" s="7">
        <v>57</v>
      </c>
      <c r="V138" s="7">
        <v>79</v>
      </c>
      <c r="W138" s="7">
        <v>88</v>
      </c>
      <c r="X138" s="7">
        <v>99</v>
      </c>
      <c r="Y138" s="7">
        <v>100</v>
      </c>
      <c r="Z138" s="7">
        <v>103</v>
      </c>
      <c r="AA138" s="7">
        <v>111</v>
      </c>
      <c r="AB138" s="7">
        <v>136</v>
      </c>
      <c r="AC138" s="7">
        <v>153</v>
      </c>
      <c r="AD138" s="7">
        <v>185</v>
      </c>
      <c r="AE138" s="7">
        <v>253</v>
      </c>
      <c r="AF138" s="7">
        <v>31</v>
      </c>
      <c r="AG138" s="7">
        <v>36</v>
      </c>
      <c r="AH138" s="7">
        <v>41</v>
      </c>
      <c r="AI138" s="7">
        <v>51</v>
      </c>
      <c r="AJ138" s="7">
        <v>65</v>
      </c>
      <c r="AK138" s="7">
        <v>84</v>
      </c>
      <c r="AL138" s="7">
        <v>102</v>
      </c>
      <c r="AM138" s="7">
        <v>121</v>
      </c>
      <c r="AN138" s="7">
        <v>143</v>
      </c>
      <c r="AO138" s="7">
        <v>176</v>
      </c>
      <c r="AP138" s="7">
        <v>220</v>
      </c>
      <c r="AQ138" s="7">
        <v>271</v>
      </c>
      <c r="AR138" s="7">
        <v>302</v>
      </c>
      <c r="AS138" s="7">
        <v>311</v>
      </c>
      <c r="AT138" s="7">
        <v>314</v>
      </c>
      <c r="AU138" s="7">
        <v>296</v>
      </c>
      <c r="AV138" s="7">
        <v>256</v>
      </c>
      <c r="AW138" s="7">
        <v>224</v>
      </c>
      <c r="AX138" s="7">
        <v>231</v>
      </c>
      <c r="AY138" s="7">
        <v>166</v>
      </c>
      <c r="AZ138" s="7">
        <v>158</v>
      </c>
      <c r="BA138" s="7">
        <v>175</v>
      </c>
      <c r="BB138" s="7">
        <v>172</v>
      </c>
      <c r="BC138" s="7">
        <v>188</v>
      </c>
      <c r="BD138" s="7">
        <v>199</v>
      </c>
      <c r="BE138" s="7">
        <v>206</v>
      </c>
      <c r="BF138" s="7">
        <v>153</v>
      </c>
      <c r="BG138" s="7">
        <v>161</v>
      </c>
      <c r="BH138" s="7">
        <v>186</v>
      </c>
      <c r="BI138" s="7">
        <v>192</v>
      </c>
      <c r="BJ138" s="7">
        <v>210</v>
      </c>
      <c r="BK138" s="7">
        <v>282</v>
      </c>
      <c r="BL138" s="7">
        <v>323</v>
      </c>
      <c r="BM138" s="7">
        <v>416</v>
      </c>
      <c r="BN138" s="7">
        <v>487</v>
      </c>
      <c r="BO138" s="7">
        <v>529</v>
      </c>
      <c r="BP138" s="7">
        <v>580</v>
      </c>
      <c r="BQ138" s="7">
        <v>712</v>
      </c>
      <c r="BR138" s="7">
        <v>422</v>
      </c>
      <c r="BS138" s="7">
        <v>444</v>
      </c>
      <c r="BT138" s="7">
        <v>565</v>
      </c>
      <c r="BU138" s="7">
        <v>526</v>
      </c>
      <c r="BV138" s="7">
        <v>552</v>
      </c>
      <c r="BW138" s="7">
        <v>596</v>
      </c>
      <c r="BX138" s="7">
        <v>728</v>
      </c>
      <c r="BY138" s="7">
        <v>806</v>
      </c>
      <c r="BZ138" s="7">
        <v>902</v>
      </c>
      <c r="CA138" s="7">
        <v>1179</v>
      </c>
      <c r="CB138" s="7">
        <v>1248</v>
      </c>
      <c r="CC138" s="7">
        <v>1323</v>
      </c>
      <c r="CD138" s="7">
        <v>1400</v>
      </c>
      <c r="CE138" s="7">
        <v>1562</v>
      </c>
      <c r="CF138" s="7">
        <v>1685</v>
      </c>
      <c r="CG138" s="7">
        <v>1924</v>
      </c>
      <c r="CH138" s="7">
        <v>2085</v>
      </c>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c r="FI138" s="7"/>
      <c r="FJ138" s="7"/>
    </row>
    <row r="139" spans="1:166">
      <c r="A139" s="7" t="s">
        <v>343</v>
      </c>
      <c r="B139" s="7" t="s">
        <v>88</v>
      </c>
      <c r="C139" s="7">
        <v>1000000</v>
      </c>
      <c r="D139" s="7" t="s">
        <v>89</v>
      </c>
      <c r="E139" s="7" t="s">
        <v>555</v>
      </c>
      <c r="F139" s="8" t="s">
        <v>556</v>
      </c>
      <c r="G139" s="7">
        <v>429</v>
      </c>
      <c r="H139" s="7">
        <v>689</v>
      </c>
      <c r="I139" s="7">
        <v>971</v>
      </c>
      <c r="J139" s="7">
        <v>1209</v>
      </c>
      <c r="K139" s="7">
        <v>1402</v>
      </c>
      <c r="L139" s="7">
        <v>1437</v>
      </c>
      <c r="M139" s="7">
        <v>1568</v>
      </c>
      <c r="N139" s="7">
        <v>1689</v>
      </c>
      <c r="O139" s="7">
        <v>1812</v>
      </c>
      <c r="P139" s="7">
        <v>1895</v>
      </c>
      <c r="Q139" s="7">
        <v>2067</v>
      </c>
      <c r="R139" s="7">
        <v>2430</v>
      </c>
      <c r="S139" s="7">
        <v>3005</v>
      </c>
      <c r="T139" s="7">
        <v>3555</v>
      </c>
      <c r="U139" s="7">
        <v>4131</v>
      </c>
      <c r="V139" s="7">
        <v>4728</v>
      </c>
      <c r="W139" s="7">
        <v>5195</v>
      </c>
      <c r="X139" s="7">
        <v>5749</v>
      </c>
      <c r="Y139" s="7">
        <v>6105</v>
      </c>
      <c r="Z139" s="7">
        <v>6434</v>
      </c>
      <c r="AA139" s="7">
        <v>6859</v>
      </c>
      <c r="AB139" s="7">
        <v>7435</v>
      </c>
      <c r="AC139" s="7">
        <v>8116</v>
      </c>
      <c r="AD139" s="7">
        <v>8923</v>
      </c>
      <c r="AE139" s="7">
        <v>10093</v>
      </c>
      <c r="AF139" s="7">
        <v>11016</v>
      </c>
      <c r="AG139" s="7">
        <v>12091</v>
      </c>
      <c r="AH139" s="7">
        <v>13977</v>
      </c>
      <c r="AI139" s="7">
        <v>15970</v>
      </c>
      <c r="AJ139" s="7">
        <v>18143</v>
      </c>
      <c r="AK139" s="7">
        <v>20433</v>
      </c>
      <c r="AL139" s="7">
        <v>23912</v>
      </c>
      <c r="AM139" s="7">
        <v>28435</v>
      </c>
      <c r="AN139" s="7">
        <v>34148</v>
      </c>
      <c r="AO139" s="7">
        <v>39810</v>
      </c>
      <c r="AP139" s="7">
        <v>44592</v>
      </c>
      <c r="AQ139" s="7">
        <v>48396</v>
      </c>
      <c r="AR139" s="7">
        <v>51213</v>
      </c>
      <c r="AS139" s="7">
        <v>54756</v>
      </c>
      <c r="AT139" s="7">
        <v>59893</v>
      </c>
      <c r="AU139" s="7">
        <v>64155</v>
      </c>
      <c r="AV139" s="7">
        <v>83082</v>
      </c>
      <c r="AW139" s="7">
        <v>106590</v>
      </c>
      <c r="AX139" s="7">
        <v>121624</v>
      </c>
      <c r="AY139" s="7">
        <v>135952</v>
      </c>
      <c r="AZ139" s="7">
        <v>149305</v>
      </c>
      <c r="BA139" s="7">
        <v>151517</v>
      </c>
      <c r="BB139" s="7">
        <v>165196</v>
      </c>
      <c r="BC139" s="7">
        <v>172076</v>
      </c>
      <c r="BD139" s="7">
        <v>177973</v>
      </c>
      <c r="BE139" s="7">
        <v>186470</v>
      </c>
      <c r="BF139" s="7">
        <v>189302</v>
      </c>
      <c r="BG139" s="7">
        <v>191399</v>
      </c>
      <c r="BH139" s="7">
        <v>193658</v>
      </c>
      <c r="BI139" s="7">
        <v>195025</v>
      </c>
      <c r="BJ139" s="7">
        <v>195059</v>
      </c>
      <c r="BK139" s="7">
        <v>205886</v>
      </c>
      <c r="BL139" s="7">
        <v>223980</v>
      </c>
      <c r="BM139" s="7">
        <v>243024</v>
      </c>
      <c r="BN139" s="7">
        <v>262692</v>
      </c>
      <c r="BO139" s="7">
        <v>283910</v>
      </c>
      <c r="BP139" s="7">
        <v>291492</v>
      </c>
      <c r="BQ139" s="7">
        <v>299812</v>
      </c>
      <c r="BR139" s="7">
        <v>310921</v>
      </c>
      <c r="BS139" s="7">
        <v>306954</v>
      </c>
      <c r="BT139" s="7">
        <v>318558</v>
      </c>
      <c r="BU139" s="7">
        <v>330775</v>
      </c>
      <c r="BV139" s="7">
        <v>338536</v>
      </c>
      <c r="BW139" s="7">
        <v>332621</v>
      </c>
      <c r="BX139" s="7">
        <v>342854</v>
      </c>
      <c r="BY139" s="7">
        <v>345159</v>
      </c>
      <c r="BZ139" s="7">
        <v>351720</v>
      </c>
      <c r="CA139" s="7">
        <v>365682</v>
      </c>
      <c r="CB139" s="7">
        <v>377098</v>
      </c>
      <c r="CC139" s="7">
        <v>392117</v>
      </c>
      <c r="CD139" s="7">
        <v>414119</v>
      </c>
      <c r="CE139" s="7">
        <v>450221</v>
      </c>
      <c r="CF139" s="7">
        <v>483472</v>
      </c>
      <c r="CG139" s="7">
        <v>520032</v>
      </c>
      <c r="CH139" s="7">
        <v>561672</v>
      </c>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row>
    <row r="140" spans="1:166">
      <c r="A140" s="7" t="s">
        <v>346</v>
      </c>
      <c r="B140" s="7" t="s">
        <v>88</v>
      </c>
      <c r="C140" s="7">
        <v>1000000</v>
      </c>
      <c r="D140" s="7" t="s">
        <v>89</v>
      </c>
      <c r="E140" s="7" t="s">
        <v>557</v>
      </c>
      <c r="F140" s="8" t="s">
        <v>558</v>
      </c>
      <c r="G140" s="7">
        <v>19895</v>
      </c>
      <c r="H140" s="7">
        <v>22346</v>
      </c>
      <c r="I140" s="7">
        <v>27697</v>
      </c>
      <c r="J140" s="7">
        <v>30340</v>
      </c>
      <c r="K140" s="7">
        <v>29849</v>
      </c>
      <c r="L140" s="7">
        <v>40315</v>
      </c>
      <c r="M140" s="7">
        <v>44526</v>
      </c>
      <c r="N140" s="7">
        <v>49339</v>
      </c>
      <c r="O140" s="7">
        <v>49573</v>
      </c>
      <c r="P140" s="7">
        <v>53682</v>
      </c>
      <c r="Q140" s="7">
        <v>64394</v>
      </c>
      <c r="R140" s="7">
        <v>71410</v>
      </c>
      <c r="S140" s="7">
        <v>73434</v>
      </c>
      <c r="T140" s="7">
        <v>80624</v>
      </c>
      <c r="U140" s="7">
        <v>87444</v>
      </c>
      <c r="V140" s="7">
        <v>92095</v>
      </c>
      <c r="W140" s="7">
        <v>98332</v>
      </c>
      <c r="X140" s="7">
        <v>102971</v>
      </c>
      <c r="Y140" s="7">
        <v>97581</v>
      </c>
      <c r="Z140" s="7">
        <v>105682</v>
      </c>
      <c r="AA140" s="7">
        <v>124014</v>
      </c>
      <c r="AB140" s="7">
        <v>132454</v>
      </c>
      <c r="AC140" s="7">
        <v>140631</v>
      </c>
      <c r="AD140" s="7">
        <v>157125</v>
      </c>
      <c r="AE140" s="7">
        <v>179885</v>
      </c>
      <c r="AF140" s="7">
        <v>189428</v>
      </c>
      <c r="AG140" s="7">
        <v>211885</v>
      </c>
      <c r="AH140" s="7">
        <v>266705</v>
      </c>
      <c r="AI140" s="7">
        <v>332235</v>
      </c>
      <c r="AJ140" s="7">
        <v>353252</v>
      </c>
      <c r="AK140" s="7">
        <v>462860</v>
      </c>
      <c r="AL140" s="7">
        <v>509385</v>
      </c>
      <c r="AM140" s="7">
        <v>577654</v>
      </c>
      <c r="AN140" s="7">
        <v>676663</v>
      </c>
      <c r="AO140" s="7">
        <v>798337</v>
      </c>
      <c r="AP140" s="7">
        <v>886195</v>
      </c>
      <c r="AQ140" s="7">
        <v>1049518</v>
      </c>
      <c r="AR140" s="7">
        <v>1273822</v>
      </c>
      <c r="AS140" s="7">
        <v>1349065</v>
      </c>
      <c r="AT140" s="7">
        <v>1544903</v>
      </c>
      <c r="AU140" s="7">
        <v>1714492</v>
      </c>
      <c r="AV140" s="7">
        <v>1775600</v>
      </c>
      <c r="AW140" s="7">
        <v>1947255</v>
      </c>
      <c r="AX140" s="7">
        <v>2320475</v>
      </c>
      <c r="AY140" s="7">
        <v>2422209</v>
      </c>
      <c r="AZ140" s="7">
        <v>2512486</v>
      </c>
      <c r="BA140" s="7">
        <v>2469359</v>
      </c>
      <c r="BB140" s="7">
        <v>2552715</v>
      </c>
      <c r="BC140" s="7">
        <v>2727159</v>
      </c>
      <c r="BD140" s="7">
        <v>2910712</v>
      </c>
      <c r="BE140" s="7">
        <v>3134094</v>
      </c>
      <c r="BF140" s="7">
        <v>3359642</v>
      </c>
      <c r="BG140" s="7">
        <v>3297358</v>
      </c>
      <c r="BH140" s="7">
        <v>3717844</v>
      </c>
      <c r="BI140" s="7">
        <v>3883271</v>
      </c>
      <c r="BJ140" s="7">
        <v>5685689</v>
      </c>
      <c r="BK140" s="7">
        <v>6080925</v>
      </c>
      <c r="BL140" s="7">
        <v>6276877</v>
      </c>
      <c r="BM140" s="7">
        <v>6072793</v>
      </c>
      <c r="BN140" s="7">
        <v>6401470</v>
      </c>
      <c r="BO140" s="7">
        <v>7259929</v>
      </c>
      <c r="BP140" s="7">
        <v>7924025</v>
      </c>
      <c r="BQ140" s="7">
        <v>8676934</v>
      </c>
      <c r="BR140" s="7">
        <v>7994944</v>
      </c>
      <c r="BS140" s="7">
        <v>7884053</v>
      </c>
      <c r="BT140" s="7">
        <v>6257654</v>
      </c>
      <c r="BU140" s="7">
        <v>6188182</v>
      </c>
      <c r="BV140" s="7">
        <v>6203484</v>
      </c>
      <c r="BW140" s="7">
        <v>6388589</v>
      </c>
      <c r="BX140" s="7">
        <v>6653516</v>
      </c>
      <c r="BY140" s="7">
        <v>7387641</v>
      </c>
      <c r="BZ140" s="7">
        <v>7973924</v>
      </c>
      <c r="CA140" s="7">
        <v>8173547</v>
      </c>
      <c r="CB140" s="7">
        <v>9520289</v>
      </c>
      <c r="CC140" s="7">
        <v>12026042</v>
      </c>
      <c r="CD140" s="7">
        <v>11710995</v>
      </c>
      <c r="CE140" s="7">
        <v>12428032</v>
      </c>
      <c r="CF140" s="7">
        <v>14954774</v>
      </c>
      <c r="CG140" s="7">
        <v>16065414</v>
      </c>
      <c r="CH140" s="7">
        <v>16046032</v>
      </c>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c r="FI140" s="7"/>
      <c r="FJ140" s="7"/>
    </row>
    <row r="141" spans="1:166">
      <c r="A141" s="7" t="s">
        <v>349</v>
      </c>
      <c r="B141" s="7" t="s">
        <v>88</v>
      </c>
      <c r="C141" s="7">
        <v>1000000</v>
      </c>
      <c r="D141" s="7" t="s">
        <v>89</v>
      </c>
      <c r="E141" s="7" t="s">
        <v>559</v>
      </c>
      <c r="F141" s="8" t="s">
        <v>560</v>
      </c>
      <c r="G141" s="7">
        <v>19821</v>
      </c>
      <c r="H141" s="7">
        <v>22579</v>
      </c>
      <c r="I141" s="7">
        <v>27554</v>
      </c>
      <c r="J141" s="7">
        <v>29600</v>
      </c>
      <c r="K141" s="7">
        <v>28640</v>
      </c>
      <c r="L141" s="7">
        <v>38583</v>
      </c>
      <c r="M141" s="7">
        <v>41964</v>
      </c>
      <c r="N141" s="7">
        <v>45866</v>
      </c>
      <c r="O141" s="7">
        <v>45021</v>
      </c>
      <c r="P141" s="7">
        <v>48406</v>
      </c>
      <c r="Q141" s="7">
        <v>58009</v>
      </c>
      <c r="R141" s="7">
        <v>63809</v>
      </c>
      <c r="S141" s="7">
        <v>65436</v>
      </c>
      <c r="T141" s="7">
        <v>71840</v>
      </c>
      <c r="U141" s="7">
        <v>77386</v>
      </c>
      <c r="V141" s="7">
        <v>82311</v>
      </c>
      <c r="W141" s="7">
        <v>88253</v>
      </c>
      <c r="X141" s="7">
        <v>92772</v>
      </c>
      <c r="Y141" s="7">
        <v>99080</v>
      </c>
      <c r="Z141" s="7">
        <v>107622</v>
      </c>
      <c r="AA141" s="7">
        <v>120892</v>
      </c>
      <c r="AB141" s="7">
        <v>133268</v>
      </c>
      <c r="AC141" s="7">
        <v>141598</v>
      </c>
      <c r="AD141" s="7">
        <v>160123</v>
      </c>
      <c r="AE141" s="7">
        <v>182946</v>
      </c>
      <c r="AF141" s="7">
        <v>191389</v>
      </c>
      <c r="AG141" s="7">
        <v>203801</v>
      </c>
      <c r="AH141" s="7">
        <v>230207</v>
      </c>
      <c r="AI141" s="7">
        <v>269317</v>
      </c>
      <c r="AJ141" s="7">
        <v>245519</v>
      </c>
      <c r="AK141" s="7">
        <v>271441</v>
      </c>
      <c r="AL141" s="7">
        <v>302449</v>
      </c>
      <c r="AM141" s="7">
        <v>346406</v>
      </c>
      <c r="AN141" s="7">
        <v>407281</v>
      </c>
      <c r="AO141" s="7">
        <v>479655</v>
      </c>
      <c r="AP141" s="7">
        <v>529353</v>
      </c>
      <c r="AQ141" s="7">
        <v>574123</v>
      </c>
      <c r="AR141" s="7">
        <v>569115</v>
      </c>
      <c r="AS141" s="7">
        <v>626517</v>
      </c>
      <c r="AT141" s="7">
        <v>694120</v>
      </c>
      <c r="AU141" s="7">
        <v>739342</v>
      </c>
      <c r="AV141" s="7">
        <v>741486</v>
      </c>
      <c r="AW141" s="7">
        <v>805346</v>
      </c>
      <c r="AX141" s="7">
        <v>895916</v>
      </c>
      <c r="AY141" s="7">
        <v>937992</v>
      </c>
      <c r="AZ141" s="7">
        <v>967178</v>
      </c>
      <c r="BA141" s="7">
        <v>961380</v>
      </c>
      <c r="BB141" s="7">
        <v>988942</v>
      </c>
      <c r="BC141" s="7">
        <v>1035046</v>
      </c>
      <c r="BD141" s="7">
        <v>1106979</v>
      </c>
      <c r="BE141" s="7">
        <v>1184941</v>
      </c>
      <c r="BF141" s="7">
        <v>1273063</v>
      </c>
      <c r="BG141" s="7">
        <v>1361106</v>
      </c>
      <c r="BH141" s="7">
        <v>1448432</v>
      </c>
      <c r="BI141" s="7">
        <v>1657593</v>
      </c>
      <c r="BJ141" s="7">
        <v>1939233</v>
      </c>
      <c r="BK141" s="7">
        <v>1817916</v>
      </c>
      <c r="BL141" s="7">
        <v>1719534</v>
      </c>
      <c r="BM141" s="7">
        <v>1701793</v>
      </c>
      <c r="BN141" s="7">
        <v>1830643</v>
      </c>
      <c r="BO141" s="7">
        <v>2108248</v>
      </c>
      <c r="BP141" s="7">
        <v>2099243</v>
      </c>
      <c r="BQ141" s="7">
        <v>2262207</v>
      </c>
      <c r="BR141" s="7">
        <v>2093967</v>
      </c>
      <c r="BS141" s="7">
        <v>2064452</v>
      </c>
      <c r="BT141" s="7">
        <v>2202562</v>
      </c>
      <c r="BU141" s="7">
        <v>2289401</v>
      </c>
      <c r="BV141" s="7">
        <v>2344826</v>
      </c>
      <c r="BW141" s="7">
        <v>2616645</v>
      </c>
      <c r="BX141" s="7">
        <v>2720773</v>
      </c>
      <c r="BY141" s="7">
        <v>2754199</v>
      </c>
      <c r="BZ141" s="7">
        <v>2953031</v>
      </c>
      <c r="CA141" s="7">
        <v>3116388</v>
      </c>
      <c r="CB141" s="7">
        <v>3512687</v>
      </c>
      <c r="CC141" s="7">
        <v>4053223</v>
      </c>
      <c r="CD141" s="7">
        <v>3952016</v>
      </c>
      <c r="CE141" s="7">
        <v>4450071</v>
      </c>
      <c r="CF141" s="7">
        <v>4912568</v>
      </c>
      <c r="CG141" s="7">
        <v>5244725</v>
      </c>
      <c r="CH141" s="7">
        <v>5332963</v>
      </c>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c r="DU141" s="7"/>
      <c r="DV141" s="7"/>
      <c r="DW141" s="7"/>
      <c r="DX141" s="7"/>
      <c r="DY141" s="7"/>
      <c r="DZ141" s="7"/>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row>
    <row r="142" spans="1:166">
      <c r="A142" s="7" t="s">
        <v>352</v>
      </c>
      <c r="B142" s="7" t="s">
        <v>88</v>
      </c>
      <c r="C142" s="7">
        <v>1000000</v>
      </c>
      <c r="D142" s="7" t="s">
        <v>89</v>
      </c>
      <c r="E142" s="7" t="s">
        <v>561</v>
      </c>
      <c r="F142" s="8" t="s">
        <v>562</v>
      </c>
      <c r="G142" s="7">
        <v>0</v>
      </c>
      <c r="H142" s="7">
        <v>0</v>
      </c>
      <c r="I142" s="7">
        <v>0</v>
      </c>
      <c r="J142" s="7">
        <v>0</v>
      </c>
      <c r="K142" s="7">
        <v>0</v>
      </c>
      <c r="L142" s="7">
        <v>0</v>
      </c>
      <c r="M142" s="7">
        <v>0</v>
      </c>
      <c r="N142" s="7">
        <v>0</v>
      </c>
      <c r="O142" s="7">
        <v>0</v>
      </c>
      <c r="P142" s="7">
        <v>0</v>
      </c>
      <c r="Q142" s="7">
        <v>0</v>
      </c>
      <c r="R142" s="7">
        <v>0</v>
      </c>
      <c r="S142" s="7">
        <v>0</v>
      </c>
      <c r="T142" s="7">
        <v>0</v>
      </c>
      <c r="U142" s="7">
        <v>0</v>
      </c>
      <c r="V142" s="7">
        <v>0</v>
      </c>
      <c r="W142" s="7">
        <v>0</v>
      </c>
      <c r="X142" s="7">
        <v>0</v>
      </c>
      <c r="Y142" s="7">
        <v>0</v>
      </c>
      <c r="Z142" s="7">
        <v>0</v>
      </c>
      <c r="AA142" s="7">
        <v>0</v>
      </c>
      <c r="AB142" s="7">
        <v>0</v>
      </c>
      <c r="AC142" s="7">
        <v>0</v>
      </c>
      <c r="AD142" s="7">
        <v>0</v>
      </c>
      <c r="AE142" s="7">
        <v>0</v>
      </c>
      <c r="AF142" s="7">
        <v>0</v>
      </c>
      <c r="AG142" s="7">
        <v>0</v>
      </c>
      <c r="AH142" s="7">
        <v>0</v>
      </c>
      <c r="AI142" s="7">
        <v>0</v>
      </c>
      <c r="AJ142" s="7">
        <v>0</v>
      </c>
      <c r="AK142" s="7">
        <v>0</v>
      </c>
      <c r="AL142" s="7">
        <v>0</v>
      </c>
      <c r="AM142" s="7">
        <v>0</v>
      </c>
      <c r="AN142" s="7">
        <v>0</v>
      </c>
      <c r="AO142" s="7">
        <v>0</v>
      </c>
      <c r="AP142" s="7">
        <v>0</v>
      </c>
      <c r="AQ142" s="7">
        <v>0</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0</v>
      </c>
      <c r="BI142" s="7">
        <v>0</v>
      </c>
      <c r="BJ142" s="7">
        <v>0</v>
      </c>
      <c r="BK142" s="7">
        <v>0</v>
      </c>
      <c r="BL142" s="7">
        <v>0</v>
      </c>
      <c r="BM142" s="7">
        <v>0</v>
      </c>
      <c r="BN142" s="7">
        <v>0</v>
      </c>
      <c r="BO142" s="7">
        <v>0</v>
      </c>
      <c r="BP142" s="7">
        <v>0</v>
      </c>
      <c r="BQ142" s="7">
        <v>0</v>
      </c>
      <c r="BR142" s="7">
        <v>0</v>
      </c>
      <c r="BS142" s="7">
        <v>0</v>
      </c>
      <c r="BT142" s="7">
        <v>0</v>
      </c>
      <c r="BU142" s="7">
        <v>0</v>
      </c>
      <c r="BV142" s="7">
        <v>0</v>
      </c>
      <c r="BW142" s="7">
        <v>0</v>
      </c>
      <c r="BX142" s="7">
        <v>0</v>
      </c>
      <c r="BY142" s="7">
        <v>0</v>
      </c>
      <c r="BZ142" s="7">
        <v>0</v>
      </c>
      <c r="CA142" s="7">
        <v>0</v>
      </c>
      <c r="CB142" s="7">
        <v>0</v>
      </c>
      <c r="CC142" s="7">
        <v>0</v>
      </c>
      <c r="CD142" s="7">
        <v>249768</v>
      </c>
      <c r="CE142" s="7">
        <v>43404</v>
      </c>
      <c r="CF142" s="7">
        <v>-1</v>
      </c>
      <c r="CG142" s="7">
        <v>0</v>
      </c>
      <c r="CH142" s="7">
        <v>0</v>
      </c>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c r="FI142" s="7"/>
      <c r="FJ142" s="7"/>
    </row>
    <row r="143" spans="1:166">
      <c r="A143" s="7" t="s">
        <v>355</v>
      </c>
      <c r="B143" s="7" t="s">
        <v>88</v>
      </c>
      <c r="C143" s="7">
        <v>1000000</v>
      </c>
      <c r="D143" s="7" t="s">
        <v>89</v>
      </c>
      <c r="E143" s="7" t="s">
        <v>563</v>
      </c>
      <c r="F143" s="8" t="s">
        <v>564</v>
      </c>
      <c r="G143" s="7">
        <v>0</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c r="AF143" s="7">
        <v>0</v>
      </c>
      <c r="AG143" s="7">
        <v>0</v>
      </c>
      <c r="AH143" s="7">
        <v>0</v>
      </c>
      <c r="AI143" s="7">
        <v>0</v>
      </c>
      <c r="AJ143" s="7">
        <v>0</v>
      </c>
      <c r="AK143" s="7">
        <v>2000</v>
      </c>
      <c r="AL143" s="7">
        <v>3000</v>
      </c>
      <c r="AM143" s="7">
        <v>4000</v>
      </c>
      <c r="AN143" s="7">
        <v>5325</v>
      </c>
      <c r="AO143" s="7">
        <v>6425</v>
      </c>
      <c r="AP143" s="7">
        <v>7525</v>
      </c>
      <c r="AQ143" s="7">
        <v>8625</v>
      </c>
      <c r="AR143" s="7">
        <v>9725</v>
      </c>
      <c r="AS143" s="7">
        <v>10825</v>
      </c>
      <c r="AT143" s="7">
        <v>11925</v>
      </c>
      <c r="AU143" s="7">
        <v>16657</v>
      </c>
      <c r="AV143" s="7">
        <v>18726</v>
      </c>
      <c r="AW143" s="7">
        <v>12500</v>
      </c>
      <c r="AX143" s="7">
        <v>24014</v>
      </c>
      <c r="AY143" s="7">
        <v>34501</v>
      </c>
      <c r="AZ143" s="7">
        <v>40042</v>
      </c>
      <c r="BA143" s="7">
        <v>55764</v>
      </c>
      <c r="BB143" s="7">
        <v>49834</v>
      </c>
      <c r="BC143" s="7">
        <v>44616</v>
      </c>
      <c r="BD143" s="7">
        <v>28935</v>
      </c>
      <c r="BE143" s="7">
        <v>29125</v>
      </c>
      <c r="BF143" s="7">
        <v>29808</v>
      </c>
      <c r="BG143" s="7">
        <v>15696</v>
      </c>
      <c r="BH143" s="7">
        <v>14756</v>
      </c>
      <c r="BI143" s="7">
        <v>28553</v>
      </c>
      <c r="BJ143" s="7">
        <v>29421</v>
      </c>
      <c r="BK143" s="7">
        <v>11614</v>
      </c>
      <c r="BL143" s="7">
        <v>18514</v>
      </c>
      <c r="BM143" s="7">
        <v>20993</v>
      </c>
      <c r="BN143" s="7">
        <v>23579</v>
      </c>
      <c r="BO143" s="7">
        <v>117028</v>
      </c>
      <c r="BP143" s="7">
        <v>140086</v>
      </c>
      <c r="BQ143" s="7">
        <v>81515</v>
      </c>
      <c r="BR143" s="7">
        <v>80453</v>
      </c>
      <c r="BS143" s="7">
        <v>71178</v>
      </c>
      <c r="BT143" s="7">
        <v>62334</v>
      </c>
      <c r="BU143" s="7">
        <v>74968</v>
      </c>
      <c r="BV143" s="7">
        <v>78887</v>
      </c>
      <c r="BW143" s="7">
        <v>92973</v>
      </c>
      <c r="BX143" s="7">
        <v>109144</v>
      </c>
      <c r="BY143" s="7">
        <v>111317</v>
      </c>
      <c r="BZ143" s="7">
        <v>98171</v>
      </c>
      <c r="CA143" s="7">
        <v>110706</v>
      </c>
      <c r="CB143" s="7">
        <v>113152</v>
      </c>
      <c r="CC143" s="7">
        <v>112515</v>
      </c>
      <c r="CD143" s="7">
        <v>109483</v>
      </c>
      <c r="CE143" s="7">
        <v>151265</v>
      </c>
      <c r="CF143" s="7">
        <v>145081</v>
      </c>
      <c r="CG143" s="7">
        <v>153358</v>
      </c>
      <c r="CH143" s="7">
        <v>142979</v>
      </c>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row>
    <row r="144" spans="1:166">
      <c r="A144" s="7" t="s">
        <v>358</v>
      </c>
      <c r="B144" s="7" t="s">
        <v>88</v>
      </c>
      <c r="C144" s="7">
        <v>1000000</v>
      </c>
      <c r="D144" s="7" t="s">
        <v>89</v>
      </c>
      <c r="E144" s="7" t="s">
        <v>565</v>
      </c>
      <c r="F144" s="8" t="s">
        <v>566</v>
      </c>
      <c r="G144" s="7">
        <v>74</v>
      </c>
      <c r="H144" s="7">
        <v>-233</v>
      </c>
      <c r="I144" s="7">
        <v>143</v>
      </c>
      <c r="J144" s="7">
        <v>740</v>
      </c>
      <c r="K144" s="7">
        <v>1209</v>
      </c>
      <c r="L144" s="7">
        <v>1732</v>
      </c>
      <c r="M144" s="7">
        <v>2562</v>
      </c>
      <c r="N144" s="7">
        <v>3473</v>
      </c>
      <c r="O144" s="7">
        <v>4552</v>
      </c>
      <c r="P144" s="7">
        <v>5276</v>
      </c>
      <c r="Q144" s="7">
        <v>6385</v>
      </c>
      <c r="R144" s="7">
        <v>7601</v>
      </c>
      <c r="S144" s="7">
        <v>7998</v>
      </c>
      <c r="T144" s="7">
        <v>8784</v>
      </c>
      <c r="U144" s="7">
        <v>10058</v>
      </c>
      <c r="V144" s="7">
        <v>9784</v>
      </c>
      <c r="W144" s="7">
        <v>10079</v>
      </c>
      <c r="X144" s="7">
        <v>10199</v>
      </c>
      <c r="Y144" s="7">
        <v>-1499</v>
      </c>
      <c r="Z144" s="7">
        <v>-1940</v>
      </c>
      <c r="AA144" s="7">
        <v>3122</v>
      </c>
      <c r="AB144" s="7">
        <v>-814</v>
      </c>
      <c r="AC144" s="7">
        <v>-967</v>
      </c>
      <c r="AD144" s="7">
        <v>-2998</v>
      </c>
      <c r="AE144" s="7">
        <v>-3061</v>
      </c>
      <c r="AF144" s="7">
        <v>-1961</v>
      </c>
      <c r="AG144" s="7">
        <v>8084</v>
      </c>
      <c r="AH144" s="7">
        <v>36498</v>
      </c>
      <c r="AI144" s="7">
        <v>62918</v>
      </c>
      <c r="AJ144" s="7">
        <v>107733</v>
      </c>
      <c r="AK144" s="7">
        <v>189419</v>
      </c>
      <c r="AL144" s="7">
        <v>203936</v>
      </c>
      <c r="AM144" s="7">
        <v>227248</v>
      </c>
      <c r="AN144" s="7">
        <v>264057</v>
      </c>
      <c r="AO144" s="7">
        <v>312257</v>
      </c>
      <c r="AP144" s="7">
        <v>349317</v>
      </c>
      <c r="AQ144" s="7">
        <v>466770</v>
      </c>
      <c r="AR144" s="7">
        <v>694982</v>
      </c>
      <c r="AS144" s="7">
        <v>711723</v>
      </c>
      <c r="AT144" s="7">
        <v>838858</v>
      </c>
      <c r="AU144" s="7">
        <v>958493</v>
      </c>
      <c r="AV144" s="7">
        <v>1015388</v>
      </c>
      <c r="AW144" s="7">
        <v>1129409</v>
      </c>
      <c r="AX144" s="7">
        <v>1400545</v>
      </c>
      <c r="AY144" s="7">
        <v>1449716</v>
      </c>
      <c r="AZ144" s="7">
        <v>1505266</v>
      </c>
      <c r="BA144" s="7">
        <v>1452215</v>
      </c>
      <c r="BB144" s="7">
        <v>1513939</v>
      </c>
      <c r="BC144" s="7">
        <v>1647497</v>
      </c>
      <c r="BD144" s="7">
        <v>1774798</v>
      </c>
      <c r="BE144" s="7">
        <v>1920028</v>
      </c>
      <c r="BF144" s="7">
        <v>2056771</v>
      </c>
      <c r="BG144" s="7">
        <v>1920556</v>
      </c>
      <c r="BH144" s="7">
        <v>2254656</v>
      </c>
      <c r="BI144" s="7">
        <v>2197125</v>
      </c>
      <c r="BJ144" s="7">
        <v>3717035</v>
      </c>
      <c r="BK144" s="7">
        <v>4251395</v>
      </c>
      <c r="BL144" s="7">
        <v>4538829</v>
      </c>
      <c r="BM144" s="7">
        <v>4350007</v>
      </c>
      <c r="BN144" s="7">
        <v>4547248</v>
      </c>
      <c r="BO144" s="7">
        <v>5034653</v>
      </c>
      <c r="BP144" s="7">
        <v>5684696</v>
      </c>
      <c r="BQ144" s="7">
        <v>6333212</v>
      </c>
      <c r="BR144" s="7">
        <v>5820524</v>
      </c>
      <c r="BS144" s="7">
        <v>5748423</v>
      </c>
      <c r="BT144" s="7">
        <v>3992758</v>
      </c>
      <c r="BU144" s="7">
        <v>3823813</v>
      </c>
      <c r="BV144" s="7">
        <v>3779771</v>
      </c>
      <c r="BW144" s="7">
        <v>3678971</v>
      </c>
      <c r="BX144" s="7">
        <v>3823599</v>
      </c>
      <c r="BY144" s="7">
        <v>4522125</v>
      </c>
      <c r="BZ144" s="7">
        <v>4922722</v>
      </c>
      <c r="CA144" s="7">
        <v>4946453</v>
      </c>
      <c r="CB144" s="7">
        <v>5894450</v>
      </c>
      <c r="CC144" s="7">
        <v>7860304</v>
      </c>
      <c r="CD144" s="7">
        <v>7399728</v>
      </c>
      <c r="CE144" s="7">
        <v>7783292</v>
      </c>
      <c r="CF144" s="7">
        <v>9897126</v>
      </c>
      <c r="CG144" s="7">
        <v>10667331</v>
      </c>
      <c r="CH144" s="7">
        <v>10570090</v>
      </c>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c r="FI144" s="7"/>
      <c r="FJ144" s="7"/>
    </row>
    <row r="145" spans="1:166">
      <c r="A145" s="7" t="s">
        <v>567</v>
      </c>
      <c r="B145" s="7" t="s">
        <v>88</v>
      </c>
      <c r="C145" s="7">
        <v>1000000</v>
      </c>
      <c r="D145" s="7" t="s">
        <v>89</v>
      </c>
      <c r="E145" s="7" t="s">
        <v>568</v>
      </c>
      <c r="F145" s="8" t="s">
        <v>569</v>
      </c>
      <c r="G145" s="7">
        <v>286179</v>
      </c>
      <c r="H145" s="7">
        <v>311970</v>
      </c>
      <c r="I145" s="7">
        <v>362918</v>
      </c>
      <c r="J145" s="7">
        <v>396726</v>
      </c>
      <c r="K145" s="7">
        <v>406603</v>
      </c>
      <c r="L145" s="7">
        <v>453833</v>
      </c>
      <c r="M145" s="7">
        <v>502990</v>
      </c>
      <c r="N145" s="7">
        <v>527493</v>
      </c>
      <c r="O145" s="7">
        <v>549516</v>
      </c>
      <c r="P145" s="7">
        <v>564737</v>
      </c>
      <c r="Q145" s="7">
        <v>621122</v>
      </c>
      <c r="R145" s="7">
        <v>679244</v>
      </c>
      <c r="S145" s="7">
        <v>716339</v>
      </c>
      <c r="T145" s="7">
        <v>741003</v>
      </c>
      <c r="U145" s="7">
        <v>781943</v>
      </c>
      <c r="V145" s="7">
        <v>798485</v>
      </c>
      <c r="W145" s="7">
        <v>828196</v>
      </c>
      <c r="X145" s="7">
        <v>862704</v>
      </c>
      <c r="Y145" s="7">
        <v>901521</v>
      </c>
      <c r="Z145" s="7">
        <v>953006</v>
      </c>
      <c r="AA145" s="7">
        <v>1037843</v>
      </c>
      <c r="AB145" s="7">
        <v>1121957</v>
      </c>
      <c r="AC145" s="7">
        <v>1207164</v>
      </c>
      <c r="AD145" s="7">
        <v>1325556</v>
      </c>
      <c r="AE145" s="7">
        <v>1467873</v>
      </c>
      <c r="AF145" s="7">
        <v>1593964</v>
      </c>
      <c r="AG145" s="7">
        <v>1749129</v>
      </c>
      <c r="AH145" s="7">
        <v>1956675</v>
      </c>
      <c r="AI145" s="7">
        <v>2241079</v>
      </c>
      <c r="AJ145" s="7">
        <v>2631821</v>
      </c>
      <c r="AK145" s="7">
        <v>2970197</v>
      </c>
      <c r="AL145" s="7">
        <v>3340677</v>
      </c>
      <c r="AM145" s="7">
        <v>3716619</v>
      </c>
      <c r="AN145" s="7">
        <v>4234674</v>
      </c>
      <c r="AO145" s="7">
        <v>4900531</v>
      </c>
      <c r="AP145" s="7">
        <v>5585840</v>
      </c>
      <c r="AQ145" s="7">
        <v>6268214</v>
      </c>
      <c r="AR145" s="7">
        <v>6617846</v>
      </c>
      <c r="AS145" s="7">
        <v>6982066</v>
      </c>
      <c r="AT145" s="7">
        <v>7543455</v>
      </c>
      <c r="AU145" s="7">
        <v>8139533</v>
      </c>
      <c r="AV145" s="7">
        <v>8601193</v>
      </c>
      <c r="AW145" s="7">
        <v>9148874</v>
      </c>
      <c r="AX145" s="7">
        <v>9978103</v>
      </c>
      <c r="AY145" s="7">
        <v>10591414</v>
      </c>
      <c r="AZ145" s="7">
        <v>10734094</v>
      </c>
      <c r="BA145" s="7">
        <v>10752502</v>
      </c>
      <c r="BB145" s="7">
        <v>10687109</v>
      </c>
      <c r="BC145" s="7">
        <v>11315592</v>
      </c>
      <c r="BD145" s="7">
        <v>11998538</v>
      </c>
      <c r="BE145" s="7">
        <v>12998304</v>
      </c>
      <c r="BF145" s="7">
        <v>14077602</v>
      </c>
      <c r="BG145" s="7">
        <v>15616014</v>
      </c>
      <c r="BH145" s="7">
        <v>17458922</v>
      </c>
      <c r="BI145" s="7">
        <v>19609197</v>
      </c>
      <c r="BJ145" s="7">
        <v>21979140</v>
      </c>
      <c r="BK145" s="7">
        <v>21597229</v>
      </c>
      <c r="BL145" s="7">
        <v>21770725</v>
      </c>
      <c r="BM145" s="7">
        <v>22718470</v>
      </c>
      <c r="BN145" s="7">
        <v>25298918</v>
      </c>
      <c r="BO145" s="7">
        <v>27887456</v>
      </c>
      <c r="BP145" s="7">
        <v>30787001</v>
      </c>
      <c r="BQ145" s="7">
        <v>33410897</v>
      </c>
      <c r="BR145" s="7">
        <v>29748301</v>
      </c>
      <c r="BS145" s="7">
        <v>28237960</v>
      </c>
      <c r="BT145" s="7">
        <v>28279497</v>
      </c>
      <c r="BU145" s="7">
        <v>28985790</v>
      </c>
      <c r="BV145" s="7">
        <v>30534672</v>
      </c>
      <c r="BW145" s="7">
        <v>33694144</v>
      </c>
      <c r="BX145" s="7">
        <v>35544744</v>
      </c>
      <c r="BY145" s="7">
        <v>37114967</v>
      </c>
      <c r="BZ145" s="7">
        <v>39293411</v>
      </c>
      <c r="CA145" s="7">
        <v>42338006</v>
      </c>
      <c r="CB145" s="7">
        <v>43034940</v>
      </c>
      <c r="CC145" s="7">
        <v>48688431</v>
      </c>
      <c r="CD145" s="7">
        <v>50650703</v>
      </c>
      <c r="CE145" s="7">
        <v>57099697</v>
      </c>
      <c r="CF145" s="7">
        <v>58477437</v>
      </c>
      <c r="CG145" s="7">
        <v>61190830</v>
      </c>
      <c r="CH145" s="7">
        <v>63034404</v>
      </c>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c r="FI145" s="7"/>
      <c r="FJ145" s="7"/>
    </row>
    <row r="146" spans="1:166">
      <c r="A146" s="7" t="s">
        <v>361</v>
      </c>
      <c r="B146" s="7" t="s">
        <v>88</v>
      </c>
      <c r="C146" s="7">
        <v>1000000</v>
      </c>
      <c r="D146" s="7" t="s">
        <v>89</v>
      </c>
      <c r="E146" s="7" t="s">
        <v>570</v>
      </c>
      <c r="F146" s="8" t="s">
        <v>571</v>
      </c>
      <c r="G146" s="7">
        <v>191945</v>
      </c>
      <c r="H146" s="7">
        <v>197851</v>
      </c>
      <c r="I146" s="7">
        <v>210858</v>
      </c>
      <c r="J146" s="7">
        <v>221045</v>
      </c>
      <c r="K146" s="7">
        <v>232401</v>
      </c>
      <c r="L146" s="7">
        <v>280129</v>
      </c>
      <c r="M146" s="7">
        <v>336681</v>
      </c>
      <c r="N146" s="7">
        <v>338639</v>
      </c>
      <c r="O146" s="7">
        <v>340166</v>
      </c>
      <c r="P146" s="7">
        <v>445618</v>
      </c>
      <c r="Q146" s="7">
        <v>565008</v>
      </c>
      <c r="R146" s="7">
        <v>625668</v>
      </c>
      <c r="S146" s="7">
        <v>592177</v>
      </c>
      <c r="T146" s="7">
        <v>757699</v>
      </c>
      <c r="U146" s="7">
        <v>849420</v>
      </c>
      <c r="V146" s="7">
        <v>865550</v>
      </c>
      <c r="W146" s="7">
        <v>1016815</v>
      </c>
      <c r="X146" s="7">
        <v>1018768</v>
      </c>
      <c r="Y146" s="7">
        <v>1076267</v>
      </c>
      <c r="Z146" s="7">
        <v>1174364</v>
      </c>
      <c r="AA146" s="7">
        <v>1285469</v>
      </c>
      <c r="AB146" s="7">
        <v>1251062</v>
      </c>
      <c r="AC146" s="7">
        <v>1442674</v>
      </c>
      <c r="AD146" s="7">
        <v>1625751</v>
      </c>
      <c r="AE146" s="7">
        <v>1559905</v>
      </c>
      <c r="AF146" s="7">
        <v>1610054</v>
      </c>
      <c r="AG146" s="7">
        <v>1776045</v>
      </c>
      <c r="AH146" s="7">
        <v>2046814</v>
      </c>
      <c r="AI146" s="7">
        <v>1960533</v>
      </c>
      <c r="AJ146" s="7">
        <v>1740847</v>
      </c>
      <c r="AK146" s="7">
        <v>2229275</v>
      </c>
      <c r="AL146" s="7">
        <v>2521440</v>
      </c>
      <c r="AM146" s="7">
        <v>2572677</v>
      </c>
      <c r="AN146" s="7">
        <v>2803251</v>
      </c>
      <c r="AO146" s="7">
        <v>3214639</v>
      </c>
      <c r="AP146" s="7">
        <v>3806228</v>
      </c>
      <c r="AQ146" s="7">
        <v>4026489</v>
      </c>
      <c r="AR146" s="7">
        <v>4267839</v>
      </c>
      <c r="AS146" s="7">
        <v>4678115</v>
      </c>
      <c r="AT146" s="7">
        <v>4994317</v>
      </c>
      <c r="AU146" s="7">
        <v>5655233</v>
      </c>
      <c r="AV146" s="7">
        <v>6255738</v>
      </c>
      <c r="AW146" s="7">
        <v>6691567</v>
      </c>
      <c r="AX146" s="7">
        <v>7519897</v>
      </c>
      <c r="AY146" s="7">
        <v>8495844</v>
      </c>
      <c r="AZ146" s="7">
        <v>8617818</v>
      </c>
      <c r="BA146" s="7">
        <v>9765816</v>
      </c>
      <c r="BB146" s="7">
        <v>10484434</v>
      </c>
      <c r="BC146" s="7">
        <v>11222692</v>
      </c>
      <c r="BD146" s="7">
        <v>11430767</v>
      </c>
      <c r="BE146" s="7">
        <v>13513186</v>
      </c>
      <c r="BF146" s="7">
        <v>14959604</v>
      </c>
      <c r="BG146" s="7">
        <v>17464549</v>
      </c>
      <c r="BH146" s="7">
        <v>21189119</v>
      </c>
      <c r="BI146" s="7">
        <v>25965259</v>
      </c>
      <c r="BJ146" s="7">
        <v>25297596</v>
      </c>
      <c r="BK146" s="7">
        <v>24160517</v>
      </c>
      <c r="BL146" s="7">
        <v>21419382</v>
      </c>
      <c r="BM146" s="7">
        <v>24108657</v>
      </c>
      <c r="BN146" s="7">
        <v>26411565</v>
      </c>
      <c r="BO146" s="7">
        <v>27964487</v>
      </c>
      <c r="BP146" s="7">
        <v>30732659</v>
      </c>
      <c r="BQ146" s="7">
        <v>33034744</v>
      </c>
      <c r="BR146" s="7">
        <v>27307753</v>
      </c>
      <c r="BS146" s="7">
        <v>29768836</v>
      </c>
      <c r="BT146" s="7">
        <v>32260887</v>
      </c>
      <c r="BU146" s="7">
        <v>33020592</v>
      </c>
      <c r="BV146" s="7">
        <v>35992215</v>
      </c>
      <c r="BW146" s="7">
        <v>43063311</v>
      </c>
      <c r="BX146" s="7">
        <v>47204368</v>
      </c>
      <c r="BY146" s="7">
        <v>47881872</v>
      </c>
      <c r="BZ146" s="7">
        <v>51099294</v>
      </c>
      <c r="CA146" s="7">
        <v>56566808</v>
      </c>
      <c r="CB146" s="7">
        <v>55643700</v>
      </c>
      <c r="CC146" s="7">
        <v>66944657</v>
      </c>
      <c r="CD146" s="7">
        <v>76649347</v>
      </c>
      <c r="CE146" s="7">
        <v>90570258</v>
      </c>
      <c r="CF146" s="7">
        <v>79414658</v>
      </c>
      <c r="CG146" s="7">
        <v>92800696</v>
      </c>
      <c r="CH146" s="7">
        <v>106757729</v>
      </c>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c r="FI146" s="7"/>
      <c r="FJ146" s="7"/>
    </row>
    <row r="147" spans="1:166">
      <c r="A147" s="7" t="s">
        <v>364</v>
      </c>
      <c r="B147" s="7" t="s">
        <v>88</v>
      </c>
      <c r="C147" s="7">
        <v>1000000</v>
      </c>
      <c r="D147" s="7" t="s">
        <v>89</v>
      </c>
      <c r="E147" s="7" t="s">
        <v>572</v>
      </c>
      <c r="F147" s="8" t="s">
        <v>573</v>
      </c>
      <c r="G147" s="7">
        <v>24000</v>
      </c>
      <c r="H147" s="7">
        <v>24995</v>
      </c>
      <c r="I147" s="7">
        <v>27843</v>
      </c>
      <c r="J147" s="7">
        <v>32137</v>
      </c>
      <c r="K147" s="7">
        <v>35036</v>
      </c>
      <c r="L147" s="7">
        <v>36705</v>
      </c>
      <c r="M147" s="7">
        <v>40061</v>
      </c>
      <c r="N147" s="7">
        <v>44828</v>
      </c>
      <c r="O147" s="7">
        <v>48414</v>
      </c>
      <c r="P147" s="7">
        <v>52078</v>
      </c>
      <c r="Q147" s="7">
        <v>54926</v>
      </c>
      <c r="R147" s="7">
        <v>58418</v>
      </c>
      <c r="S147" s="7">
        <v>64494</v>
      </c>
      <c r="T147" s="7">
        <v>70373</v>
      </c>
      <c r="U147" s="7">
        <v>73109</v>
      </c>
      <c r="V147" s="7">
        <v>76985</v>
      </c>
      <c r="W147" s="7">
        <v>81705</v>
      </c>
      <c r="X147" s="7">
        <v>85841</v>
      </c>
      <c r="Y147" s="7">
        <v>89382</v>
      </c>
      <c r="Z147" s="7">
        <v>93533</v>
      </c>
      <c r="AA147" s="7">
        <v>98057</v>
      </c>
      <c r="AB147" s="7">
        <v>109096</v>
      </c>
      <c r="AC147" s="7">
        <v>125166</v>
      </c>
      <c r="AD147" s="7">
        <v>139274</v>
      </c>
      <c r="AE147" s="7">
        <v>152431</v>
      </c>
      <c r="AF147" s="7">
        <v>174363</v>
      </c>
      <c r="AG147" s="7">
        <v>192699</v>
      </c>
      <c r="AH147" s="7">
        <v>206450</v>
      </c>
      <c r="AI147" s="7">
        <v>219254</v>
      </c>
      <c r="AJ147" s="7">
        <v>244828</v>
      </c>
      <c r="AK147" s="7">
        <v>270946</v>
      </c>
      <c r="AL147" s="7">
        <v>297550</v>
      </c>
      <c r="AM147" s="7">
        <v>330331</v>
      </c>
      <c r="AN147" s="7">
        <v>361647</v>
      </c>
      <c r="AO147" s="7">
        <v>397935</v>
      </c>
      <c r="AP147" s="7">
        <v>439987</v>
      </c>
      <c r="AQ147" s="7">
        <v>492918</v>
      </c>
      <c r="AR147" s="7">
        <v>533603</v>
      </c>
      <c r="AS147" s="7">
        <v>568188</v>
      </c>
      <c r="AT147" s="7">
        <v>660216</v>
      </c>
      <c r="AU147" s="7">
        <v>780402</v>
      </c>
      <c r="AV147" s="7">
        <v>892043</v>
      </c>
      <c r="AW147" s="7">
        <v>986175</v>
      </c>
      <c r="AX147" s="7">
        <v>1102799</v>
      </c>
      <c r="AY147" s="7">
        <v>1197917</v>
      </c>
      <c r="AZ147" s="7">
        <v>1254454</v>
      </c>
      <c r="BA147" s="7">
        <v>1313573</v>
      </c>
      <c r="BB147" s="7">
        <v>1394296</v>
      </c>
      <c r="BC147" s="7">
        <v>1593863</v>
      </c>
      <c r="BD147" s="7">
        <v>1711446</v>
      </c>
      <c r="BE147" s="7">
        <v>1797593</v>
      </c>
      <c r="BF147" s="7">
        <v>1889281</v>
      </c>
      <c r="BG147" s="7">
        <v>2046083</v>
      </c>
      <c r="BH147" s="7">
        <v>2309478</v>
      </c>
      <c r="BI147" s="7">
        <v>2559067</v>
      </c>
      <c r="BJ147" s="7">
        <v>2751414</v>
      </c>
      <c r="BK147" s="7">
        <v>2955471</v>
      </c>
      <c r="BL147" s="7">
        <v>2974326</v>
      </c>
      <c r="BM147" s="7">
        <v>3032939</v>
      </c>
      <c r="BN147" s="7">
        <v>3085123</v>
      </c>
      <c r="BO147" s="7">
        <v>3092512</v>
      </c>
      <c r="BP147" s="7">
        <v>3246774</v>
      </c>
      <c r="BQ147" s="7">
        <v>3465384</v>
      </c>
      <c r="BR147" s="7">
        <v>3662369</v>
      </c>
      <c r="BS147" s="7">
        <v>3841504</v>
      </c>
      <c r="BT147" s="7">
        <v>4088636</v>
      </c>
      <c r="BU147" s="7">
        <v>4303947</v>
      </c>
      <c r="BV147" s="7">
        <v>4714552</v>
      </c>
      <c r="BW147" s="7">
        <v>5022988</v>
      </c>
      <c r="BX147" s="7">
        <v>5374154</v>
      </c>
      <c r="BY147" s="7">
        <v>5819369</v>
      </c>
      <c r="BZ147" s="7">
        <v>6137476</v>
      </c>
      <c r="CA147" s="7">
        <v>6505738</v>
      </c>
      <c r="CB147" s="7">
        <v>6674181</v>
      </c>
      <c r="CC147" s="7">
        <v>6992003</v>
      </c>
      <c r="CD147" s="7">
        <v>7688608</v>
      </c>
      <c r="CE147" s="7">
        <v>7937293</v>
      </c>
      <c r="CF147" s="7">
        <v>8016080</v>
      </c>
      <c r="CG147" s="7">
        <v>8243890</v>
      </c>
      <c r="CH147" s="7">
        <v>8507106</v>
      </c>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row>
    <row r="148" spans="1:166">
      <c r="A148" s="7" t="s">
        <v>367</v>
      </c>
      <c r="B148" s="7" t="s">
        <v>88</v>
      </c>
      <c r="C148" s="7">
        <v>1000000</v>
      </c>
      <c r="D148" s="7" t="s">
        <v>89</v>
      </c>
      <c r="E148" s="7" t="s">
        <v>574</v>
      </c>
      <c r="F148" s="8" t="s">
        <v>575</v>
      </c>
      <c r="G148" s="7">
        <v>95</v>
      </c>
      <c r="H148" s="7">
        <v>137</v>
      </c>
      <c r="I148" s="7">
        <v>172</v>
      </c>
      <c r="J148" s="7">
        <v>166</v>
      </c>
      <c r="K148" s="7">
        <v>162</v>
      </c>
      <c r="L148" s="7">
        <v>207</v>
      </c>
      <c r="M148" s="7">
        <v>269</v>
      </c>
      <c r="N148" s="7">
        <v>331</v>
      </c>
      <c r="O148" s="7">
        <v>402</v>
      </c>
      <c r="P148" s="7">
        <v>531</v>
      </c>
      <c r="Q148" s="7">
        <v>362</v>
      </c>
      <c r="R148" s="7">
        <v>378</v>
      </c>
      <c r="S148" s="7">
        <v>422</v>
      </c>
      <c r="T148" s="7">
        <v>658</v>
      </c>
      <c r="U148" s="7">
        <v>315</v>
      </c>
      <c r="V148" s="7">
        <v>769</v>
      </c>
      <c r="W148" s="7">
        <v>1094</v>
      </c>
      <c r="X148" s="7">
        <v>1198</v>
      </c>
      <c r="Y148" s="7">
        <v>968</v>
      </c>
      <c r="Z148" s="7">
        <v>1125</v>
      </c>
      <c r="AA148" s="7">
        <v>797</v>
      </c>
      <c r="AB148" s="7">
        <v>1622</v>
      </c>
      <c r="AC148" s="7">
        <v>3034</v>
      </c>
      <c r="AD148" s="7">
        <v>4249</v>
      </c>
      <c r="AE148" s="7">
        <v>5356</v>
      </c>
      <c r="AF148" s="7">
        <v>7133</v>
      </c>
      <c r="AG148" s="7">
        <v>6247</v>
      </c>
      <c r="AH148" s="7">
        <v>6968</v>
      </c>
      <c r="AI148" s="7">
        <v>8382</v>
      </c>
      <c r="AJ148" s="7">
        <v>12513</v>
      </c>
      <c r="AK148" s="7">
        <v>9616</v>
      </c>
      <c r="AL148" s="7">
        <v>11049</v>
      </c>
      <c r="AM148" s="7">
        <v>12808</v>
      </c>
      <c r="AN148" s="7">
        <v>15499</v>
      </c>
      <c r="AO148" s="7">
        <v>24518</v>
      </c>
      <c r="AP148" s="7">
        <v>28026</v>
      </c>
      <c r="AQ148" s="7">
        <v>42722</v>
      </c>
      <c r="AR148" s="7">
        <v>37614</v>
      </c>
      <c r="AS148" s="7">
        <v>36775</v>
      </c>
      <c r="AT148" s="7">
        <v>58490</v>
      </c>
      <c r="AU148" s="7">
        <v>72207</v>
      </c>
      <c r="AV148" s="7">
        <v>62865</v>
      </c>
      <c r="AW148" s="7">
        <v>73768</v>
      </c>
      <c r="AX148" s="7">
        <v>85676</v>
      </c>
      <c r="AY148" s="7">
        <v>107112</v>
      </c>
      <c r="AZ148" s="7">
        <v>116852</v>
      </c>
      <c r="BA148" s="7">
        <v>98477</v>
      </c>
      <c r="BB148" s="7">
        <v>107106</v>
      </c>
      <c r="BC148" s="7">
        <v>117829</v>
      </c>
      <c r="BD148" s="7">
        <v>139238</v>
      </c>
      <c r="BE148" s="7">
        <v>157351</v>
      </c>
      <c r="BF148" s="7">
        <v>156405</v>
      </c>
      <c r="BG148" s="7">
        <v>168598</v>
      </c>
      <c r="BH148" s="7">
        <v>192958</v>
      </c>
      <c r="BI148" s="7">
        <v>230326</v>
      </c>
      <c r="BJ148" s="7">
        <v>278402</v>
      </c>
      <c r="BK148" s="7">
        <v>177726</v>
      </c>
      <c r="BL148" s="7">
        <v>119813</v>
      </c>
      <c r="BM148" s="7">
        <v>82481</v>
      </c>
      <c r="BN148" s="7">
        <v>97782</v>
      </c>
      <c r="BO148" s="7">
        <v>90071</v>
      </c>
      <c r="BP148" s="7">
        <v>112517</v>
      </c>
      <c r="BQ148" s="7">
        <v>123814</v>
      </c>
      <c r="BR148" s="7">
        <v>131477</v>
      </c>
      <c r="BS148" s="7">
        <v>58410</v>
      </c>
      <c r="BT148" s="7">
        <v>82928</v>
      </c>
      <c r="BU148" s="7">
        <v>116307</v>
      </c>
      <c r="BV148" s="7">
        <v>130329</v>
      </c>
      <c r="BW148" s="7">
        <v>144511</v>
      </c>
      <c r="BX148" s="7">
        <v>182012</v>
      </c>
      <c r="BY148" s="7">
        <v>179017</v>
      </c>
      <c r="BZ148" s="7">
        <v>180783</v>
      </c>
      <c r="CA148" s="7">
        <v>206670</v>
      </c>
      <c r="CB148" s="7">
        <v>196467</v>
      </c>
      <c r="CC148" s="7">
        <v>194530</v>
      </c>
      <c r="CD148" s="7">
        <v>132202</v>
      </c>
      <c r="CE148" s="7">
        <v>138243</v>
      </c>
      <c r="CF148" s="7">
        <v>197553</v>
      </c>
      <c r="CG148" s="7">
        <v>217959</v>
      </c>
      <c r="CH148" s="7">
        <v>196313</v>
      </c>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c r="ER148" s="7"/>
      <c r="ES148" s="7"/>
      <c r="ET148" s="7"/>
      <c r="EU148" s="7"/>
      <c r="EV148" s="7"/>
      <c r="EW148" s="7"/>
      <c r="EX148" s="7"/>
      <c r="EY148" s="7"/>
      <c r="EZ148" s="7"/>
      <c r="FA148" s="7"/>
      <c r="FB148" s="7"/>
      <c r="FC148" s="7"/>
      <c r="FD148" s="7"/>
      <c r="FE148" s="7"/>
      <c r="FF148" s="7"/>
      <c r="FG148" s="7"/>
      <c r="FH148" s="7"/>
      <c r="FI148" s="7"/>
      <c r="FJ148" s="7"/>
    </row>
    <row r="149" spans="1:166">
      <c r="A149" s="7" t="s">
        <v>370</v>
      </c>
      <c r="B149" s="7" t="s">
        <v>88</v>
      </c>
      <c r="C149" s="7">
        <v>1000000</v>
      </c>
      <c r="D149" s="7" t="s">
        <v>89</v>
      </c>
      <c r="E149" s="7" t="s">
        <v>576</v>
      </c>
      <c r="F149" s="8" t="s">
        <v>577</v>
      </c>
      <c r="G149" s="7">
        <v>0</v>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c r="AF149" s="7">
        <v>0</v>
      </c>
      <c r="AG149" s="7">
        <v>86</v>
      </c>
      <c r="AH149" s="7">
        <v>634</v>
      </c>
      <c r="AI149" s="7">
        <v>2430</v>
      </c>
      <c r="AJ149" s="7">
        <v>4078</v>
      </c>
      <c r="AK149" s="7">
        <v>6678</v>
      </c>
      <c r="AL149" s="7">
        <v>9163</v>
      </c>
      <c r="AM149" s="7">
        <v>17377</v>
      </c>
      <c r="AN149" s="7">
        <v>25041</v>
      </c>
      <c r="AO149" s="7">
        <v>35028</v>
      </c>
      <c r="AP149" s="7">
        <v>45892</v>
      </c>
      <c r="AQ149" s="7">
        <v>59323</v>
      </c>
      <c r="AR149" s="7">
        <v>74466</v>
      </c>
      <c r="AS149" s="7">
        <v>83897</v>
      </c>
      <c r="AT149" s="7">
        <v>104439</v>
      </c>
      <c r="AU149" s="7">
        <v>127039</v>
      </c>
      <c r="AV149" s="7">
        <v>117138</v>
      </c>
      <c r="AW149" s="7">
        <v>116224</v>
      </c>
      <c r="AX149" s="7">
        <v>116409</v>
      </c>
      <c r="AY149" s="7">
        <v>115490</v>
      </c>
      <c r="AZ149" s="7">
        <v>115153</v>
      </c>
      <c r="BA149" s="7">
        <v>113984</v>
      </c>
      <c r="BB149" s="7">
        <v>118285</v>
      </c>
      <c r="BC149" s="7">
        <v>124864</v>
      </c>
      <c r="BD149" s="7">
        <v>131689</v>
      </c>
      <c r="BE149" s="7">
        <v>134758</v>
      </c>
      <c r="BF149" s="7">
        <v>137851</v>
      </c>
      <c r="BG149" s="7">
        <v>142002</v>
      </c>
      <c r="BH149" s="7">
        <v>147763</v>
      </c>
      <c r="BI149" s="7">
        <v>152826</v>
      </c>
      <c r="BJ149" s="7">
        <v>154187</v>
      </c>
      <c r="BK149" s="7">
        <v>157687</v>
      </c>
      <c r="BL149" s="7">
        <v>160622</v>
      </c>
      <c r="BM149" s="7">
        <v>163914</v>
      </c>
      <c r="BN149" s="7">
        <v>205523</v>
      </c>
      <c r="BO149" s="7">
        <v>250095</v>
      </c>
      <c r="BP149" s="7">
        <v>304138</v>
      </c>
      <c r="BQ149" s="7">
        <v>375494</v>
      </c>
      <c r="BR149" s="7">
        <v>440380</v>
      </c>
      <c r="BS149" s="7">
        <v>477801</v>
      </c>
      <c r="BT149" s="7">
        <v>511101</v>
      </c>
      <c r="BU149" s="7">
        <v>519644</v>
      </c>
      <c r="BV149" s="7">
        <v>533167</v>
      </c>
      <c r="BW149" s="7">
        <v>535280</v>
      </c>
      <c r="BX149" s="7">
        <v>535345</v>
      </c>
      <c r="BY149" s="7">
        <v>549621</v>
      </c>
      <c r="BZ149" s="7">
        <v>572547</v>
      </c>
      <c r="CA149" s="7">
        <v>591169</v>
      </c>
      <c r="CB149" s="7">
        <v>588854</v>
      </c>
      <c r="CC149" s="7">
        <v>605621</v>
      </c>
      <c r="CD149" s="7">
        <v>611700</v>
      </c>
      <c r="CE149" s="7">
        <v>623657</v>
      </c>
      <c r="CF149" s="7">
        <v>624479</v>
      </c>
      <c r="CG149" s="7">
        <v>623147</v>
      </c>
      <c r="CH149" s="7">
        <v>636196</v>
      </c>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row>
    <row r="150" spans="1:166">
      <c r="A150" s="7" t="s">
        <v>373</v>
      </c>
      <c r="B150" s="7" t="s">
        <v>88</v>
      </c>
      <c r="C150" s="7">
        <v>1000000</v>
      </c>
      <c r="D150" s="7" t="s">
        <v>89</v>
      </c>
      <c r="E150" s="7" t="s">
        <v>578</v>
      </c>
      <c r="F150" s="8" t="s">
        <v>579</v>
      </c>
      <c r="G150" s="7">
        <v>23905</v>
      </c>
      <c r="H150" s="7">
        <v>24858</v>
      </c>
      <c r="I150" s="7">
        <v>27671</v>
      </c>
      <c r="J150" s="7">
        <v>31971</v>
      </c>
      <c r="K150" s="7">
        <v>34874</v>
      </c>
      <c r="L150" s="7">
        <v>36498</v>
      </c>
      <c r="M150" s="7">
        <v>39792</v>
      </c>
      <c r="N150" s="7">
        <v>44497</v>
      </c>
      <c r="O150" s="7">
        <v>48012</v>
      </c>
      <c r="P150" s="7">
        <v>51547</v>
      </c>
      <c r="Q150" s="7">
        <v>54564</v>
      </c>
      <c r="R150" s="7">
        <v>58040</v>
      </c>
      <c r="S150" s="7">
        <v>64072</v>
      </c>
      <c r="T150" s="7">
        <v>69715</v>
      </c>
      <c r="U150" s="7">
        <v>72794</v>
      </c>
      <c r="V150" s="7">
        <v>76216</v>
      </c>
      <c r="W150" s="7">
        <v>80611</v>
      </c>
      <c r="X150" s="7">
        <v>84643</v>
      </c>
      <c r="Y150" s="7">
        <v>88414</v>
      </c>
      <c r="Z150" s="7">
        <v>92408</v>
      </c>
      <c r="AA150" s="7">
        <v>97260</v>
      </c>
      <c r="AB150" s="7">
        <v>107474</v>
      </c>
      <c r="AC150" s="7">
        <v>122132</v>
      </c>
      <c r="AD150" s="7">
        <v>135025</v>
      </c>
      <c r="AE150" s="7">
        <v>147075</v>
      </c>
      <c r="AF150" s="7">
        <v>167230</v>
      </c>
      <c r="AG150" s="7">
        <v>186366</v>
      </c>
      <c r="AH150" s="7">
        <v>198848</v>
      </c>
      <c r="AI150" s="7">
        <v>208442</v>
      </c>
      <c r="AJ150" s="7">
        <v>228237</v>
      </c>
      <c r="AK150" s="7">
        <v>254652</v>
      </c>
      <c r="AL150" s="7">
        <v>277338</v>
      </c>
      <c r="AM150" s="7">
        <v>300146</v>
      </c>
      <c r="AN150" s="7">
        <v>321107</v>
      </c>
      <c r="AO150" s="7">
        <v>338389</v>
      </c>
      <c r="AP150" s="7">
        <v>366069</v>
      </c>
      <c r="AQ150" s="7">
        <v>390873</v>
      </c>
      <c r="AR150" s="7">
        <v>421523</v>
      </c>
      <c r="AS150" s="7">
        <v>447516</v>
      </c>
      <c r="AT150" s="7">
        <v>497287</v>
      </c>
      <c r="AU150" s="7">
        <v>581156</v>
      </c>
      <c r="AV150" s="7">
        <v>712040</v>
      </c>
      <c r="AW150" s="7">
        <v>796183</v>
      </c>
      <c r="AX150" s="7">
        <v>900714</v>
      </c>
      <c r="AY150" s="7">
        <v>975315</v>
      </c>
      <c r="AZ150" s="7">
        <v>1022449</v>
      </c>
      <c r="BA150" s="7">
        <v>1101112</v>
      </c>
      <c r="BB150" s="7">
        <v>1168905</v>
      </c>
      <c r="BC150" s="7">
        <v>1351170</v>
      </c>
      <c r="BD150" s="7">
        <v>1440519</v>
      </c>
      <c r="BE150" s="7">
        <v>1505484</v>
      </c>
      <c r="BF150" s="7">
        <v>1595025</v>
      </c>
      <c r="BG150" s="7">
        <v>1735483</v>
      </c>
      <c r="BH150" s="7">
        <v>1968757</v>
      </c>
      <c r="BI150" s="7">
        <v>2175915</v>
      </c>
      <c r="BJ150" s="7">
        <v>2318825</v>
      </c>
      <c r="BK150" s="7">
        <v>2620058</v>
      </c>
      <c r="BL150" s="7">
        <v>2693891</v>
      </c>
      <c r="BM150" s="7">
        <v>2786544</v>
      </c>
      <c r="BN150" s="7">
        <v>2781818</v>
      </c>
      <c r="BO150" s="7">
        <v>2752346</v>
      </c>
      <c r="BP150" s="7">
        <v>2830119</v>
      </c>
      <c r="BQ150" s="7">
        <v>2966076</v>
      </c>
      <c r="BR150" s="7">
        <v>3090512</v>
      </c>
      <c r="BS150" s="7">
        <v>3305293</v>
      </c>
      <c r="BT150" s="7">
        <v>3494607</v>
      </c>
      <c r="BU150" s="7">
        <v>3667996</v>
      </c>
      <c r="BV150" s="7">
        <v>4051056</v>
      </c>
      <c r="BW150" s="7">
        <v>4343197</v>
      </c>
      <c r="BX150" s="7">
        <v>4656797</v>
      </c>
      <c r="BY150" s="7">
        <v>5090731</v>
      </c>
      <c r="BZ150" s="7">
        <v>5384146</v>
      </c>
      <c r="CA150" s="7">
        <v>5707899</v>
      </c>
      <c r="CB150" s="7">
        <v>5888860</v>
      </c>
      <c r="CC150" s="7">
        <v>6191852</v>
      </c>
      <c r="CD150" s="7">
        <v>6944706</v>
      </c>
      <c r="CE150" s="7">
        <v>7175393</v>
      </c>
      <c r="CF150" s="7">
        <v>7194048</v>
      </c>
      <c r="CG150" s="7">
        <v>7402784</v>
      </c>
      <c r="CH150" s="7">
        <v>7674597</v>
      </c>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row>
    <row r="151" spans="1:166">
      <c r="A151" s="7" t="s">
        <v>376</v>
      </c>
      <c r="B151" s="7" t="s">
        <v>88</v>
      </c>
      <c r="C151" s="7">
        <v>1000000</v>
      </c>
      <c r="D151" s="7" t="s">
        <v>89</v>
      </c>
      <c r="E151" s="7" t="s">
        <v>580</v>
      </c>
      <c r="F151" s="8" t="s">
        <v>581</v>
      </c>
      <c r="G151" s="7">
        <v>20962</v>
      </c>
      <c r="H151" s="7">
        <v>25199</v>
      </c>
      <c r="I151" s="7">
        <v>29262</v>
      </c>
      <c r="J151" s="7">
        <v>31033</v>
      </c>
      <c r="K151" s="7">
        <v>29748</v>
      </c>
      <c r="L151" s="7">
        <v>34214</v>
      </c>
      <c r="M151" s="7">
        <v>39338</v>
      </c>
      <c r="N151" s="7">
        <v>40849</v>
      </c>
      <c r="O151" s="7">
        <v>41471</v>
      </c>
      <c r="P151" s="7">
        <v>41446</v>
      </c>
      <c r="Q151" s="7">
        <v>47036</v>
      </c>
      <c r="R151" s="7">
        <v>53362</v>
      </c>
      <c r="S151" s="7">
        <v>57012</v>
      </c>
      <c r="T151" s="7">
        <v>58525</v>
      </c>
      <c r="U151" s="7">
        <v>64555</v>
      </c>
      <c r="V151" s="7">
        <v>69677</v>
      </c>
      <c r="W151" s="7">
        <v>72378</v>
      </c>
      <c r="X151" s="7">
        <v>78801</v>
      </c>
      <c r="Y151" s="7">
        <v>86013</v>
      </c>
      <c r="Z151" s="7">
        <v>95641</v>
      </c>
      <c r="AA151" s="7">
        <v>111469</v>
      </c>
      <c r="AB151" s="7">
        <v>125265</v>
      </c>
      <c r="AC151" s="7">
        <v>131654</v>
      </c>
      <c r="AD151" s="7">
        <v>149233</v>
      </c>
      <c r="AE151" s="7">
        <v>169824</v>
      </c>
      <c r="AF151" s="7">
        <v>193294</v>
      </c>
      <c r="AG151" s="7">
        <v>204855</v>
      </c>
      <c r="AH151" s="7">
        <v>232848</v>
      </c>
      <c r="AI151" s="7">
        <v>290073</v>
      </c>
      <c r="AJ151" s="7">
        <v>324374</v>
      </c>
      <c r="AK151" s="7">
        <v>313471</v>
      </c>
      <c r="AL151" s="7">
        <v>331564</v>
      </c>
      <c r="AM151" s="7">
        <v>374573</v>
      </c>
      <c r="AN151" s="7">
        <v>420941</v>
      </c>
      <c r="AO151" s="7">
        <v>473446</v>
      </c>
      <c r="AP151" s="7">
        <v>505668</v>
      </c>
      <c r="AQ151" s="7">
        <v>578682</v>
      </c>
      <c r="AR151" s="7">
        <v>626714</v>
      </c>
      <c r="AS151" s="7">
        <v>711790</v>
      </c>
      <c r="AT151" s="7">
        <v>838756</v>
      </c>
      <c r="AU151" s="7">
        <v>904818</v>
      </c>
      <c r="AV151" s="7">
        <v>1032470</v>
      </c>
      <c r="AW151" s="7">
        <v>1151640</v>
      </c>
      <c r="AX151" s="7">
        <v>1263414</v>
      </c>
      <c r="AY151" s="7">
        <v>1380305</v>
      </c>
      <c r="AZ151" s="7">
        <v>1464170</v>
      </c>
      <c r="BA151" s="7">
        <v>1340993</v>
      </c>
      <c r="BB151" s="7">
        <v>1280170</v>
      </c>
      <c r="BC151" s="7">
        <v>1247229</v>
      </c>
      <c r="BD151" s="7">
        <v>1333187</v>
      </c>
      <c r="BE151" s="7">
        <v>1457196</v>
      </c>
      <c r="BF151" s="7">
        <v>1538928</v>
      </c>
      <c r="BG151" s="7">
        <v>1724504</v>
      </c>
      <c r="BH151" s="7">
        <v>1933014</v>
      </c>
      <c r="BI151" s="7">
        <v>2142717</v>
      </c>
      <c r="BJ151" s="7">
        <v>2357580</v>
      </c>
      <c r="BK151" s="7">
        <v>2346927</v>
      </c>
      <c r="BL151" s="7">
        <v>2320410</v>
      </c>
      <c r="BM151" s="7">
        <v>2255398</v>
      </c>
      <c r="BN151" s="7">
        <v>2431004</v>
      </c>
      <c r="BO151" s="7">
        <v>2719120</v>
      </c>
      <c r="BP151" s="7">
        <v>3024801</v>
      </c>
      <c r="BQ151" s="7">
        <v>3560362</v>
      </c>
      <c r="BR151" s="7">
        <v>3679357</v>
      </c>
      <c r="BS151" s="7">
        <v>3041703</v>
      </c>
      <c r="BT151" s="7">
        <v>2693219</v>
      </c>
      <c r="BU151" s="7">
        <v>2839576</v>
      </c>
      <c r="BV151" s="7">
        <v>2818623</v>
      </c>
      <c r="BW151" s="7">
        <v>2980508</v>
      </c>
      <c r="BX151" s="7">
        <v>3221734</v>
      </c>
      <c r="BY151" s="7">
        <v>3425602</v>
      </c>
      <c r="BZ151" s="7">
        <v>3357432</v>
      </c>
      <c r="CA151" s="7">
        <v>3545075</v>
      </c>
      <c r="CB151" s="7">
        <v>4018530</v>
      </c>
      <c r="CC151" s="7">
        <v>4283063</v>
      </c>
      <c r="CD151" s="7">
        <v>4583908</v>
      </c>
      <c r="CE151" s="7">
        <v>5051731</v>
      </c>
      <c r="CF151" s="7">
        <v>5487862</v>
      </c>
      <c r="CG151" s="7">
        <v>5456568</v>
      </c>
      <c r="CH151" s="7">
        <v>5557351</v>
      </c>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row>
    <row r="152" spans="1:166">
      <c r="A152" s="7" t="s">
        <v>379</v>
      </c>
      <c r="B152" s="7" t="s">
        <v>88</v>
      </c>
      <c r="C152" s="7">
        <v>1000000</v>
      </c>
      <c r="D152" s="7" t="s">
        <v>89</v>
      </c>
      <c r="E152" s="7" t="s">
        <v>582</v>
      </c>
      <c r="F152" s="8" t="s">
        <v>583</v>
      </c>
      <c r="G152" s="7">
        <v>12112</v>
      </c>
      <c r="H152" s="7">
        <v>15559</v>
      </c>
      <c r="I152" s="7">
        <v>18443</v>
      </c>
      <c r="J152" s="7">
        <v>19139</v>
      </c>
      <c r="K152" s="7">
        <v>17178</v>
      </c>
      <c r="L152" s="7">
        <v>21100</v>
      </c>
      <c r="M152" s="7">
        <v>25577</v>
      </c>
      <c r="N152" s="7">
        <v>26806</v>
      </c>
      <c r="O152" s="7">
        <v>26697</v>
      </c>
      <c r="P152" s="7">
        <v>26129</v>
      </c>
      <c r="Q152" s="7">
        <v>30095</v>
      </c>
      <c r="R152" s="7">
        <v>35416</v>
      </c>
      <c r="S152" s="7">
        <v>37701</v>
      </c>
      <c r="T152" s="7">
        <v>37408</v>
      </c>
      <c r="U152" s="7">
        <v>42526</v>
      </c>
      <c r="V152" s="7">
        <v>46781</v>
      </c>
      <c r="W152" s="7">
        <v>48039</v>
      </c>
      <c r="X152" s="7">
        <v>52063</v>
      </c>
      <c r="Y152" s="7">
        <v>56565</v>
      </c>
      <c r="Z152" s="7">
        <v>62949</v>
      </c>
      <c r="AA152" s="7">
        <v>76035</v>
      </c>
      <c r="AB152" s="7">
        <v>86136</v>
      </c>
      <c r="AC152" s="7">
        <v>92844</v>
      </c>
      <c r="AD152" s="7">
        <v>104927</v>
      </c>
      <c r="AE152" s="7">
        <v>124118</v>
      </c>
      <c r="AF152" s="7">
        <v>130694</v>
      </c>
      <c r="AG152" s="7">
        <v>136925</v>
      </c>
      <c r="AH152" s="7">
        <v>155052</v>
      </c>
      <c r="AI152" s="7">
        <v>180766</v>
      </c>
      <c r="AJ152" s="7">
        <v>215066</v>
      </c>
      <c r="AK152" s="7">
        <v>199572</v>
      </c>
      <c r="AL152" s="7">
        <v>205790</v>
      </c>
      <c r="AM152" s="7">
        <v>233153</v>
      </c>
      <c r="AN152" s="7">
        <v>264192</v>
      </c>
      <c r="AO152" s="7">
        <v>311095</v>
      </c>
      <c r="AP152" s="7">
        <v>346435</v>
      </c>
      <c r="AQ152" s="7">
        <v>405471</v>
      </c>
      <c r="AR152" s="7">
        <v>470197</v>
      </c>
      <c r="AS152" s="7">
        <v>521650</v>
      </c>
      <c r="AT152" s="7">
        <v>627140</v>
      </c>
      <c r="AU152" s="7">
        <v>692797</v>
      </c>
      <c r="AV152" s="7">
        <v>794789</v>
      </c>
      <c r="AW152" s="7">
        <v>832806</v>
      </c>
      <c r="AX152" s="7">
        <v>921570</v>
      </c>
      <c r="AY152" s="7">
        <v>1010775</v>
      </c>
      <c r="AZ152" s="7">
        <v>1061164</v>
      </c>
      <c r="BA152" s="7">
        <v>952610</v>
      </c>
      <c r="BB152" s="7">
        <v>929396</v>
      </c>
      <c r="BC152" s="7">
        <v>894631</v>
      </c>
      <c r="BD152" s="7">
        <v>981921</v>
      </c>
      <c r="BE152" s="7">
        <v>1103459</v>
      </c>
      <c r="BF152" s="7">
        <v>1154159</v>
      </c>
      <c r="BG152" s="7">
        <v>1268170</v>
      </c>
      <c r="BH152" s="7">
        <v>1423834</v>
      </c>
      <c r="BI152" s="7">
        <v>1491128</v>
      </c>
      <c r="BJ152" s="7">
        <v>1619837</v>
      </c>
      <c r="BK152" s="7">
        <v>1514228</v>
      </c>
      <c r="BL152" s="7">
        <v>1443432</v>
      </c>
      <c r="BM152" s="7">
        <v>1365121</v>
      </c>
      <c r="BN152" s="7">
        <v>1426185</v>
      </c>
      <c r="BO152" s="7">
        <v>1514554</v>
      </c>
      <c r="BP152" s="7">
        <v>1658475</v>
      </c>
      <c r="BQ152" s="7">
        <v>2054533</v>
      </c>
      <c r="BR152" s="7">
        <v>2187221</v>
      </c>
      <c r="BS152" s="7">
        <v>1660716</v>
      </c>
      <c r="BT152" s="7">
        <v>1399537</v>
      </c>
      <c r="BU152" s="7">
        <v>1601377</v>
      </c>
      <c r="BV152" s="7">
        <v>1691565</v>
      </c>
      <c r="BW152" s="7">
        <v>1819252</v>
      </c>
      <c r="BX152" s="7">
        <v>2009403</v>
      </c>
      <c r="BY152" s="7">
        <v>2070652</v>
      </c>
      <c r="BZ152" s="7">
        <v>2034913</v>
      </c>
      <c r="CA152" s="7">
        <v>2243388</v>
      </c>
      <c r="CB152" s="7">
        <v>2694447</v>
      </c>
      <c r="CC152" s="7">
        <v>2844723</v>
      </c>
      <c r="CD152" s="7">
        <v>3184031</v>
      </c>
      <c r="CE152" s="7">
        <v>3564805</v>
      </c>
      <c r="CF152" s="7">
        <v>3821813</v>
      </c>
      <c r="CG152" s="7">
        <v>3771947</v>
      </c>
      <c r="CH152" s="7">
        <v>3796121</v>
      </c>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c r="FI152" s="7"/>
      <c r="FJ152" s="7"/>
    </row>
    <row r="153" spans="1:166">
      <c r="A153" s="7" t="s">
        <v>382</v>
      </c>
      <c r="B153" s="7" t="s">
        <v>88</v>
      </c>
      <c r="C153" s="7">
        <v>1000000</v>
      </c>
      <c r="D153" s="7" t="s">
        <v>89</v>
      </c>
      <c r="E153" s="7" t="s">
        <v>584</v>
      </c>
      <c r="F153" s="8" t="s">
        <v>585</v>
      </c>
      <c r="G153" s="7">
        <v>8912</v>
      </c>
      <c r="H153" s="7">
        <v>12505</v>
      </c>
      <c r="I153" s="7">
        <v>15574</v>
      </c>
      <c r="J153" s="7">
        <v>16181</v>
      </c>
      <c r="K153" s="7">
        <v>14287</v>
      </c>
      <c r="L153" s="7">
        <v>17974</v>
      </c>
      <c r="M153" s="7">
        <v>22183</v>
      </c>
      <c r="N153" s="7">
        <v>22979</v>
      </c>
      <c r="O153" s="7">
        <v>22417</v>
      </c>
      <c r="P153" s="7">
        <v>21761</v>
      </c>
      <c r="Q153" s="7">
        <v>25662</v>
      </c>
      <c r="R153" s="7">
        <v>30747</v>
      </c>
      <c r="S153" s="7">
        <v>31971</v>
      </c>
      <c r="T153" s="7">
        <v>31650</v>
      </c>
      <c r="U153" s="7">
        <v>35439</v>
      </c>
      <c r="V153" s="7">
        <v>37651</v>
      </c>
      <c r="W153" s="7">
        <v>38585</v>
      </c>
      <c r="X153" s="7">
        <v>42226</v>
      </c>
      <c r="Y153" s="7">
        <v>45623</v>
      </c>
      <c r="Z153" s="7">
        <v>50264</v>
      </c>
      <c r="AA153" s="7">
        <v>61141</v>
      </c>
      <c r="AB153" s="7">
        <v>69715</v>
      </c>
      <c r="AC153" s="7">
        <v>76269</v>
      </c>
      <c r="AD153" s="7">
        <v>86632</v>
      </c>
      <c r="AE153" s="7">
        <v>96543</v>
      </c>
      <c r="AF153" s="7">
        <v>102658</v>
      </c>
      <c r="AG153" s="7">
        <v>107678</v>
      </c>
      <c r="AH153" s="7">
        <v>121936</v>
      </c>
      <c r="AI153" s="7">
        <v>140013</v>
      </c>
      <c r="AJ153" s="7">
        <v>164975</v>
      </c>
      <c r="AK153" s="7">
        <v>146873</v>
      </c>
      <c r="AL153" s="7">
        <v>141923</v>
      </c>
      <c r="AM153" s="7">
        <v>155505</v>
      </c>
      <c r="AN153" s="7">
        <v>174642</v>
      </c>
      <c r="AO153" s="7">
        <v>205212</v>
      </c>
      <c r="AP153" s="7">
        <v>232227</v>
      </c>
      <c r="AQ153" s="7">
        <v>264405</v>
      </c>
      <c r="AR153" s="7">
        <v>324269</v>
      </c>
      <c r="AS153" s="7">
        <v>353041</v>
      </c>
      <c r="AT153" s="7">
        <v>412301</v>
      </c>
      <c r="AU153" s="7">
        <v>454562</v>
      </c>
      <c r="AV153" s="7">
        <v>520589</v>
      </c>
      <c r="AW153" s="7">
        <v>525461</v>
      </c>
      <c r="AX153" s="7">
        <v>568300</v>
      </c>
      <c r="AY153" s="7">
        <v>608345</v>
      </c>
      <c r="AZ153" s="7">
        <v>598122</v>
      </c>
      <c r="BA153" s="7">
        <v>546966</v>
      </c>
      <c r="BB153" s="7">
        <v>517439</v>
      </c>
      <c r="BC153" s="7">
        <v>509967</v>
      </c>
      <c r="BD153" s="7">
        <v>559786</v>
      </c>
      <c r="BE153" s="7">
        <v>636165</v>
      </c>
      <c r="BF153" s="7">
        <v>669521</v>
      </c>
      <c r="BG153" s="7">
        <v>733262</v>
      </c>
      <c r="BH153" s="7">
        <v>828739</v>
      </c>
      <c r="BI153" s="7">
        <v>867951</v>
      </c>
      <c r="BJ153" s="7">
        <v>918905</v>
      </c>
      <c r="BK153" s="7">
        <v>811191</v>
      </c>
      <c r="BL153" s="7">
        <v>708527</v>
      </c>
      <c r="BM153" s="7">
        <v>627326</v>
      </c>
      <c r="BN153" s="7">
        <v>632940</v>
      </c>
      <c r="BO153" s="7">
        <v>610993</v>
      </c>
      <c r="BP153" s="7">
        <v>630054</v>
      </c>
      <c r="BQ153" s="7">
        <v>738590</v>
      </c>
      <c r="BR153" s="7">
        <v>803307</v>
      </c>
      <c r="BS153" s="7">
        <v>565036</v>
      </c>
      <c r="BT153" s="7">
        <v>496741</v>
      </c>
      <c r="BU153" s="7">
        <v>641161</v>
      </c>
      <c r="BV153" s="7">
        <v>726567</v>
      </c>
      <c r="BW153" s="7">
        <v>778769</v>
      </c>
      <c r="BX153" s="7">
        <v>886619</v>
      </c>
      <c r="BY153" s="7">
        <v>985208</v>
      </c>
      <c r="BZ153" s="7">
        <v>971631</v>
      </c>
      <c r="CA153" s="7">
        <v>924331</v>
      </c>
      <c r="CB153" s="7">
        <v>1030522</v>
      </c>
      <c r="CC153" s="7">
        <v>1052681</v>
      </c>
      <c r="CD153" s="7">
        <v>1203901</v>
      </c>
      <c r="CE153" s="7">
        <v>1119282</v>
      </c>
      <c r="CF153" s="7">
        <v>1257260</v>
      </c>
      <c r="CG153" s="7">
        <v>1243868</v>
      </c>
      <c r="CH153" s="7">
        <v>1156854</v>
      </c>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row>
    <row r="154" spans="1:166">
      <c r="A154" s="7" t="s">
        <v>385</v>
      </c>
      <c r="B154" s="7" t="s">
        <v>88</v>
      </c>
      <c r="C154" s="7">
        <v>1000000</v>
      </c>
      <c r="D154" s="7" t="s">
        <v>89</v>
      </c>
      <c r="E154" s="7" t="s">
        <v>586</v>
      </c>
      <c r="F154" s="8" t="s">
        <v>587</v>
      </c>
      <c r="G154" s="7">
        <v>3200</v>
      </c>
      <c r="H154" s="7">
        <v>3054</v>
      </c>
      <c r="I154" s="7">
        <v>2869</v>
      </c>
      <c r="J154" s="7">
        <v>2958</v>
      </c>
      <c r="K154" s="7">
        <v>2891</v>
      </c>
      <c r="L154" s="7">
        <v>3126</v>
      </c>
      <c r="M154" s="7">
        <v>3394</v>
      </c>
      <c r="N154" s="7">
        <v>3827</v>
      </c>
      <c r="O154" s="7">
        <v>4280</v>
      </c>
      <c r="P154" s="7">
        <v>4368</v>
      </c>
      <c r="Q154" s="7">
        <v>4433</v>
      </c>
      <c r="R154" s="7">
        <v>4669</v>
      </c>
      <c r="S154" s="7">
        <v>5730</v>
      </c>
      <c r="T154" s="7">
        <v>5758</v>
      </c>
      <c r="U154" s="7">
        <v>7087</v>
      </c>
      <c r="V154" s="7">
        <v>9130</v>
      </c>
      <c r="W154" s="7">
        <v>9454</v>
      </c>
      <c r="X154" s="7">
        <v>9837</v>
      </c>
      <c r="Y154" s="7">
        <v>10942</v>
      </c>
      <c r="Z154" s="7">
        <v>12685</v>
      </c>
      <c r="AA154" s="7">
        <v>14894</v>
      </c>
      <c r="AB154" s="7">
        <v>16421</v>
      </c>
      <c r="AC154" s="7">
        <v>16575</v>
      </c>
      <c r="AD154" s="7">
        <v>18295</v>
      </c>
      <c r="AE154" s="7">
        <v>27575</v>
      </c>
      <c r="AF154" s="7">
        <v>28036</v>
      </c>
      <c r="AG154" s="7">
        <v>29247</v>
      </c>
      <c r="AH154" s="7">
        <v>33116</v>
      </c>
      <c r="AI154" s="7">
        <v>40753</v>
      </c>
      <c r="AJ154" s="7">
        <v>50091</v>
      </c>
      <c r="AK154" s="7">
        <v>52699</v>
      </c>
      <c r="AL154" s="7">
        <v>63867</v>
      </c>
      <c r="AM154" s="7">
        <v>77648</v>
      </c>
      <c r="AN154" s="7">
        <v>89550</v>
      </c>
      <c r="AO154" s="7">
        <v>105883</v>
      </c>
      <c r="AP154" s="7">
        <v>114208</v>
      </c>
      <c r="AQ154" s="7">
        <v>141066</v>
      </c>
      <c r="AR154" s="7">
        <v>145928</v>
      </c>
      <c r="AS154" s="7">
        <v>168609</v>
      </c>
      <c r="AT154" s="7">
        <v>214839</v>
      </c>
      <c r="AU154" s="7">
        <v>238235</v>
      </c>
      <c r="AV154" s="7">
        <v>274200</v>
      </c>
      <c r="AW154" s="7">
        <v>307345</v>
      </c>
      <c r="AX154" s="7">
        <v>353270</v>
      </c>
      <c r="AY154" s="7">
        <v>402430</v>
      </c>
      <c r="AZ154" s="7">
        <v>463042</v>
      </c>
      <c r="BA154" s="7">
        <v>405644</v>
      </c>
      <c r="BB154" s="7">
        <v>411957</v>
      </c>
      <c r="BC154" s="7">
        <v>384664</v>
      </c>
      <c r="BD154" s="7">
        <v>422135</v>
      </c>
      <c r="BE154" s="7">
        <v>467294</v>
      </c>
      <c r="BF154" s="7">
        <v>484638</v>
      </c>
      <c r="BG154" s="7">
        <v>534908</v>
      </c>
      <c r="BH154" s="7">
        <v>595095</v>
      </c>
      <c r="BI154" s="7">
        <v>623177</v>
      </c>
      <c r="BJ154" s="7">
        <v>700932</v>
      </c>
      <c r="BK154" s="7">
        <v>703037</v>
      </c>
      <c r="BL154" s="7">
        <v>734905</v>
      </c>
      <c r="BM154" s="7">
        <v>737795</v>
      </c>
      <c r="BN154" s="7">
        <v>793245</v>
      </c>
      <c r="BO154" s="7">
        <v>903561</v>
      </c>
      <c r="BP154" s="7">
        <v>1028421</v>
      </c>
      <c r="BQ154" s="7">
        <v>1315943</v>
      </c>
      <c r="BR154" s="7">
        <v>1383914</v>
      </c>
      <c r="BS154" s="7">
        <v>1095680</v>
      </c>
      <c r="BT154" s="7">
        <v>902796</v>
      </c>
      <c r="BU154" s="7">
        <v>960216</v>
      </c>
      <c r="BV154" s="7">
        <v>964998</v>
      </c>
      <c r="BW154" s="7">
        <v>1040483</v>
      </c>
      <c r="BX154" s="7">
        <v>1122784</v>
      </c>
      <c r="BY154" s="7">
        <v>1085444</v>
      </c>
      <c r="BZ154" s="7">
        <v>1063282</v>
      </c>
      <c r="CA154" s="7">
        <v>1319057</v>
      </c>
      <c r="CB154" s="7">
        <v>1663925</v>
      </c>
      <c r="CC154" s="7">
        <v>1792042</v>
      </c>
      <c r="CD154" s="7">
        <v>1980130</v>
      </c>
      <c r="CE154" s="7">
        <v>2445523</v>
      </c>
      <c r="CF154" s="7">
        <v>2564553</v>
      </c>
      <c r="CG154" s="7">
        <v>2528079</v>
      </c>
      <c r="CH154" s="7">
        <v>2639267</v>
      </c>
      <c r="CI154" s="7"/>
      <c r="CJ154" s="7"/>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7"/>
      <c r="DK154" s="7"/>
      <c r="DL154" s="7"/>
      <c r="DM154" s="7"/>
      <c r="DN154" s="7"/>
      <c r="DO154" s="7"/>
      <c r="DP154" s="7"/>
      <c r="DQ154" s="7"/>
      <c r="DR154" s="7"/>
      <c r="DS154" s="7"/>
      <c r="DT154" s="7"/>
      <c r="DU154" s="7"/>
      <c r="DV154" s="7"/>
      <c r="DW154" s="7"/>
      <c r="DX154" s="7"/>
      <c r="DY154" s="7"/>
      <c r="DZ154" s="7"/>
      <c r="EA154" s="7"/>
      <c r="EB154" s="7"/>
      <c r="EC154" s="7"/>
      <c r="ED154" s="7"/>
      <c r="EE154" s="7"/>
      <c r="EF154" s="7"/>
      <c r="EG154" s="7"/>
      <c r="EH154" s="7"/>
      <c r="EI154" s="7"/>
      <c r="EJ154" s="7"/>
      <c r="EK154" s="7"/>
      <c r="EL154" s="7"/>
      <c r="EM154" s="7"/>
      <c r="EN154" s="7"/>
      <c r="EO154" s="7"/>
      <c r="EP154" s="7"/>
      <c r="EQ154" s="7"/>
      <c r="ER154" s="7"/>
      <c r="ES154" s="7"/>
      <c r="ET154" s="7"/>
      <c r="EU154" s="7"/>
      <c r="EV154" s="7"/>
      <c r="EW154" s="7"/>
      <c r="EX154" s="7"/>
      <c r="EY154" s="7"/>
      <c r="EZ154" s="7"/>
      <c r="FA154" s="7"/>
      <c r="FB154" s="7"/>
      <c r="FC154" s="7"/>
      <c r="FD154" s="7"/>
      <c r="FE154" s="7"/>
      <c r="FF154" s="7"/>
      <c r="FG154" s="7"/>
      <c r="FH154" s="7"/>
      <c r="FI154" s="7"/>
      <c r="FJ154" s="7"/>
    </row>
    <row r="155" spans="1:166">
      <c r="A155" s="7" t="s">
        <v>388</v>
      </c>
      <c r="B155" s="7" t="s">
        <v>88</v>
      </c>
      <c r="C155" s="7">
        <v>1000000</v>
      </c>
      <c r="D155" s="7" t="s">
        <v>89</v>
      </c>
      <c r="E155" s="7" t="s">
        <v>588</v>
      </c>
      <c r="F155" s="8" t="s">
        <v>589</v>
      </c>
      <c r="G155" s="7">
        <v>8850</v>
      </c>
      <c r="H155" s="7">
        <v>9640</v>
      </c>
      <c r="I155" s="7">
        <v>10819</v>
      </c>
      <c r="J155" s="7">
        <v>11894</v>
      </c>
      <c r="K155" s="7">
        <v>12570</v>
      </c>
      <c r="L155" s="7">
        <v>13114</v>
      </c>
      <c r="M155" s="7">
        <v>13761</v>
      </c>
      <c r="N155" s="7">
        <v>14043</v>
      </c>
      <c r="O155" s="7">
        <v>14774</v>
      </c>
      <c r="P155" s="7">
        <v>15317</v>
      </c>
      <c r="Q155" s="7">
        <v>16941</v>
      </c>
      <c r="R155" s="7">
        <v>17946</v>
      </c>
      <c r="S155" s="7">
        <v>19311</v>
      </c>
      <c r="T155" s="7">
        <v>21117</v>
      </c>
      <c r="U155" s="7">
        <v>22029</v>
      </c>
      <c r="V155" s="7">
        <v>22896</v>
      </c>
      <c r="W155" s="7">
        <v>24339</v>
      </c>
      <c r="X155" s="7">
        <v>26738</v>
      </c>
      <c r="Y155" s="7">
        <v>29448</v>
      </c>
      <c r="Z155" s="7">
        <v>32692</v>
      </c>
      <c r="AA155" s="7">
        <v>35434</v>
      </c>
      <c r="AB155" s="7">
        <v>39129</v>
      </c>
      <c r="AC155" s="7">
        <v>38810</v>
      </c>
      <c r="AD155" s="7">
        <v>44306</v>
      </c>
      <c r="AE155" s="7">
        <v>45706</v>
      </c>
      <c r="AF155" s="7">
        <v>62600</v>
      </c>
      <c r="AG155" s="7">
        <v>67930</v>
      </c>
      <c r="AH155" s="7">
        <v>77796</v>
      </c>
      <c r="AI155" s="7">
        <v>109307</v>
      </c>
      <c r="AJ155" s="7">
        <v>109308</v>
      </c>
      <c r="AK155" s="7">
        <v>113899</v>
      </c>
      <c r="AL155" s="7">
        <v>125774</v>
      </c>
      <c r="AM155" s="7">
        <v>141420</v>
      </c>
      <c r="AN155" s="7">
        <v>156749</v>
      </c>
      <c r="AO155" s="7">
        <v>162351</v>
      </c>
      <c r="AP155" s="7">
        <v>159233</v>
      </c>
      <c r="AQ155" s="7">
        <v>173211</v>
      </c>
      <c r="AR155" s="7">
        <v>156517</v>
      </c>
      <c r="AS155" s="7">
        <v>190140</v>
      </c>
      <c r="AT155" s="7">
        <v>211616</v>
      </c>
      <c r="AU155" s="7">
        <v>212021</v>
      </c>
      <c r="AV155" s="7">
        <v>237681</v>
      </c>
      <c r="AW155" s="7">
        <v>318834</v>
      </c>
      <c r="AX155" s="7">
        <v>341844</v>
      </c>
      <c r="AY155" s="7">
        <v>369530</v>
      </c>
      <c r="AZ155" s="7">
        <v>403006</v>
      </c>
      <c r="BA155" s="7">
        <v>388383</v>
      </c>
      <c r="BB155" s="7">
        <v>350774</v>
      </c>
      <c r="BC155" s="7">
        <v>352598</v>
      </c>
      <c r="BD155" s="7">
        <v>351266</v>
      </c>
      <c r="BE155" s="7">
        <v>353737</v>
      </c>
      <c r="BF155" s="7">
        <v>384769</v>
      </c>
      <c r="BG155" s="7">
        <v>456334</v>
      </c>
      <c r="BH155" s="7">
        <v>509180</v>
      </c>
      <c r="BI155" s="7">
        <v>651589</v>
      </c>
      <c r="BJ155" s="7">
        <v>737743</v>
      </c>
      <c r="BK155" s="7">
        <v>832699</v>
      </c>
      <c r="BL155" s="7">
        <v>876978</v>
      </c>
      <c r="BM155" s="7">
        <v>890277</v>
      </c>
      <c r="BN155" s="7">
        <v>1004819</v>
      </c>
      <c r="BO155" s="7">
        <v>1204566</v>
      </c>
      <c r="BP155" s="7">
        <v>1366326</v>
      </c>
      <c r="BQ155" s="7">
        <v>1505829</v>
      </c>
      <c r="BR155" s="7">
        <v>1492136</v>
      </c>
      <c r="BS155" s="7">
        <v>1380987</v>
      </c>
      <c r="BT155" s="7">
        <v>1293682</v>
      </c>
      <c r="BU155" s="7">
        <v>1238199</v>
      </c>
      <c r="BV155" s="7">
        <v>1127058</v>
      </c>
      <c r="BW155" s="7">
        <v>1161256</v>
      </c>
      <c r="BX155" s="7">
        <v>1212331</v>
      </c>
      <c r="BY155" s="7">
        <v>1354950</v>
      </c>
      <c r="BZ155" s="7">
        <v>1322519</v>
      </c>
      <c r="CA155" s="7">
        <v>1301687</v>
      </c>
      <c r="CB155" s="7">
        <v>1324083</v>
      </c>
      <c r="CC155" s="7">
        <v>1438340</v>
      </c>
      <c r="CD155" s="7">
        <v>1399877</v>
      </c>
      <c r="CE155" s="7">
        <v>1486926</v>
      </c>
      <c r="CF155" s="7">
        <v>1666049</v>
      </c>
      <c r="CG155" s="7">
        <v>1684621</v>
      </c>
      <c r="CH155" s="7">
        <v>1761230</v>
      </c>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c r="DU155" s="7"/>
      <c r="DV155" s="7"/>
      <c r="DW155" s="7"/>
      <c r="DX155" s="7"/>
      <c r="DY155" s="7"/>
      <c r="DZ155" s="7"/>
      <c r="EA155" s="7"/>
      <c r="EB155" s="7"/>
      <c r="EC155" s="7"/>
      <c r="ED155" s="7"/>
      <c r="EE155" s="7"/>
      <c r="EF155" s="7"/>
      <c r="EG155" s="7"/>
      <c r="EH155" s="7"/>
      <c r="EI155" s="7"/>
      <c r="EJ155" s="7"/>
      <c r="EK155" s="7"/>
      <c r="EL155" s="7"/>
      <c r="EM155" s="7"/>
      <c r="EN155" s="7"/>
      <c r="EO155" s="7"/>
      <c r="EP155" s="7"/>
      <c r="EQ155" s="7"/>
      <c r="ER155" s="7"/>
      <c r="ES155" s="7"/>
      <c r="ET155" s="7"/>
      <c r="EU155" s="7"/>
      <c r="EV155" s="7"/>
      <c r="EW155" s="7"/>
      <c r="EX155" s="7"/>
      <c r="EY155" s="7"/>
      <c r="EZ155" s="7"/>
      <c r="FA155" s="7"/>
      <c r="FB155" s="7"/>
      <c r="FC155" s="7"/>
      <c r="FD155" s="7"/>
      <c r="FE155" s="7"/>
      <c r="FF155" s="7"/>
      <c r="FG155" s="7"/>
      <c r="FH155" s="7"/>
      <c r="FI155" s="7"/>
      <c r="FJ155" s="7"/>
    </row>
    <row r="156" spans="1:166">
      <c r="A156" s="7" t="s">
        <v>391</v>
      </c>
      <c r="B156" s="7" t="s">
        <v>88</v>
      </c>
      <c r="C156" s="7">
        <v>1000000</v>
      </c>
      <c r="D156" s="7" t="s">
        <v>89</v>
      </c>
      <c r="E156" s="7" t="s">
        <v>590</v>
      </c>
      <c r="F156" s="8" t="s">
        <v>591</v>
      </c>
      <c r="G156" s="7">
        <v>8541</v>
      </c>
      <c r="H156" s="7">
        <v>9335</v>
      </c>
      <c r="I156" s="7">
        <v>10495</v>
      </c>
      <c r="J156" s="7">
        <v>11535</v>
      </c>
      <c r="K156" s="7">
        <v>12181</v>
      </c>
      <c r="L156" s="7">
        <v>12634</v>
      </c>
      <c r="M156" s="7">
        <v>13229</v>
      </c>
      <c r="N156" s="7">
        <v>13464</v>
      </c>
      <c r="O156" s="7">
        <v>14142</v>
      </c>
      <c r="P156" s="7">
        <v>14636</v>
      </c>
      <c r="Q156" s="7">
        <v>16195</v>
      </c>
      <c r="R156" s="7">
        <v>17127</v>
      </c>
      <c r="S156" s="7">
        <v>18438</v>
      </c>
      <c r="T156" s="7">
        <v>20187</v>
      </c>
      <c r="U156" s="7">
        <v>21012</v>
      </c>
      <c r="V156" s="7">
        <v>21829</v>
      </c>
      <c r="W156" s="7">
        <v>23247</v>
      </c>
      <c r="X156" s="7">
        <v>25567</v>
      </c>
      <c r="Y156" s="7">
        <v>28240</v>
      </c>
      <c r="Z156" s="7">
        <v>31447</v>
      </c>
      <c r="AA156" s="7">
        <v>34105</v>
      </c>
      <c r="AB156" s="7">
        <v>37695</v>
      </c>
      <c r="AC156" s="7">
        <v>37243</v>
      </c>
      <c r="AD156" s="7">
        <v>42604</v>
      </c>
      <c r="AE156" s="7">
        <v>43727</v>
      </c>
      <c r="AF156" s="7">
        <v>60314</v>
      </c>
      <c r="AG156" s="7">
        <v>65623</v>
      </c>
      <c r="AH156" s="7">
        <v>75331</v>
      </c>
      <c r="AI156" s="7">
        <v>106296</v>
      </c>
      <c r="AJ156" s="7">
        <v>105327</v>
      </c>
      <c r="AK156" s="7">
        <v>109465</v>
      </c>
      <c r="AL156" s="7">
        <v>116902</v>
      </c>
      <c r="AM156" s="7">
        <v>131052</v>
      </c>
      <c r="AN156" s="7">
        <v>143770</v>
      </c>
      <c r="AO156" s="7">
        <v>145952</v>
      </c>
      <c r="AP156" s="7">
        <v>136245</v>
      </c>
      <c r="AQ156" s="7">
        <v>143301</v>
      </c>
      <c r="AR156" s="7">
        <v>129260</v>
      </c>
      <c r="AS156" s="7">
        <v>160370</v>
      </c>
      <c r="AT156" s="7">
        <v>175742</v>
      </c>
      <c r="AU156" s="7">
        <v>171889</v>
      </c>
      <c r="AV156" s="7">
        <v>188149</v>
      </c>
      <c r="AW156" s="7">
        <v>252533</v>
      </c>
      <c r="AX156" s="7">
        <v>265393</v>
      </c>
      <c r="AY156" s="7">
        <v>273343</v>
      </c>
      <c r="AZ156" s="7">
        <v>298276</v>
      </c>
      <c r="BA156" s="7">
        <v>290263</v>
      </c>
      <c r="BB156" s="7">
        <v>250657</v>
      </c>
      <c r="BC156" s="7">
        <v>233605</v>
      </c>
      <c r="BD156" s="7">
        <v>236766</v>
      </c>
      <c r="BE156" s="7">
        <v>240371</v>
      </c>
      <c r="BF156" s="7">
        <v>259162</v>
      </c>
      <c r="BG156" s="7">
        <v>309286</v>
      </c>
      <c r="BH156" s="7">
        <v>337295</v>
      </c>
      <c r="BI156" s="7">
        <v>427015</v>
      </c>
      <c r="BJ156" s="7">
        <v>456898</v>
      </c>
      <c r="BK156" s="7">
        <v>499680</v>
      </c>
      <c r="BL156" s="7">
        <v>568882</v>
      </c>
      <c r="BM156" s="7">
        <v>624028</v>
      </c>
      <c r="BN156" s="7">
        <v>741932</v>
      </c>
      <c r="BO156" s="7">
        <v>928518</v>
      </c>
      <c r="BP156" s="7">
        <v>1043383</v>
      </c>
      <c r="BQ156" s="7">
        <v>1121672</v>
      </c>
      <c r="BR156" s="7">
        <v>1069415</v>
      </c>
      <c r="BS156" s="7">
        <v>975471</v>
      </c>
      <c r="BT156" s="7">
        <v>887382</v>
      </c>
      <c r="BU156" s="7">
        <v>809007</v>
      </c>
      <c r="BV156" s="7">
        <v>719840</v>
      </c>
      <c r="BW156" s="7">
        <v>742297</v>
      </c>
      <c r="BX156" s="7">
        <v>746443</v>
      </c>
      <c r="BY156" s="7">
        <v>847083</v>
      </c>
      <c r="BZ156" s="7">
        <v>855279</v>
      </c>
      <c r="CA156" s="7">
        <v>829749</v>
      </c>
      <c r="CB156" s="7">
        <v>915895</v>
      </c>
      <c r="CC156" s="7">
        <v>1046005</v>
      </c>
      <c r="CD156" s="7">
        <v>1079757</v>
      </c>
      <c r="CE156" s="7">
        <v>1177433</v>
      </c>
      <c r="CF156" s="7">
        <v>1317117</v>
      </c>
      <c r="CG156" s="7">
        <v>1369553</v>
      </c>
      <c r="CH156" s="7">
        <v>1407497</v>
      </c>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c r="DV156" s="7"/>
      <c r="DW156" s="7"/>
      <c r="DX156" s="7"/>
      <c r="DY156" s="7"/>
      <c r="DZ156" s="7"/>
      <c r="EA156" s="7"/>
      <c r="EB156" s="7"/>
      <c r="EC156" s="7"/>
      <c r="ED156" s="7"/>
      <c r="EE156" s="7"/>
      <c r="EF156" s="7"/>
      <c r="EG156" s="7"/>
      <c r="EH156" s="7"/>
      <c r="EI156" s="7"/>
      <c r="EJ156" s="7"/>
      <c r="EK156" s="7"/>
      <c r="EL156" s="7"/>
      <c r="EM156" s="7"/>
      <c r="EN156" s="7"/>
      <c r="EO156" s="7"/>
      <c r="EP156" s="7"/>
      <c r="EQ156" s="7"/>
      <c r="ER156" s="7"/>
      <c r="ES156" s="7"/>
      <c r="ET156" s="7"/>
      <c r="EU156" s="7"/>
      <c r="EV156" s="7"/>
      <c r="EW156" s="7"/>
      <c r="EX156" s="7"/>
      <c r="EY156" s="7"/>
      <c r="EZ156" s="7"/>
      <c r="FA156" s="7"/>
      <c r="FB156" s="7"/>
      <c r="FC156" s="7"/>
      <c r="FD156" s="7"/>
      <c r="FE156" s="7"/>
      <c r="FF156" s="7"/>
      <c r="FG156" s="7"/>
      <c r="FH156" s="7"/>
      <c r="FI156" s="7"/>
      <c r="FJ156" s="7"/>
    </row>
    <row r="157" spans="1:166">
      <c r="A157" s="7" t="s">
        <v>394</v>
      </c>
      <c r="B157" s="7" t="s">
        <v>88</v>
      </c>
      <c r="C157" s="7">
        <v>1000000</v>
      </c>
      <c r="D157" s="7" t="s">
        <v>89</v>
      </c>
      <c r="E157" s="7" t="s">
        <v>592</v>
      </c>
      <c r="F157" s="8" t="s">
        <v>593</v>
      </c>
      <c r="G157" s="7">
        <v>309</v>
      </c>
      <c r="H157" s="7">
        <v>305</v>
      </c>
      <c r="I157" s="7">
        <v>324</v>
      </c>
      <c r="J157" s="7">
        <v>359</v>
      </c>
      <c r="K157" s="7">
        <v>389</v>
      </c>
      <c r="L157" s="7">
        <v>480</v>
      </c>
      <c r="M157" s="7">
        <v>532</v>
      </c>
      <c r="N157" s="7">
        <v>579</v>
      </c>
      <c r="O157" s="7">
        <v>632</v>
      </c>
      <c r="P157" s="7">
        <v>681</v>
      </c>
      <c r="Q157" s="7">
        <v>746</v>
      </c>
      <c r="R157" s="7">
        <v>819</v>
      </c>
      <c r="S157" s="7">
        <v>873</v>
      </c>
      <c r="T157" s="7">
        <v>930</v>
      </c>
      <c r="U157" s="7">
        <v>1017</v>
      </c>
      <c r="V157" s="7">
        <v>1067</v>
      </c>
      <c r="W157" s="7">
        <v>1092</v>
      </c>
      <c r="X157" s="7">
        <v>1171</v>
      </c>
      <c r="Y157" s="7">
        <v>1208</v>
      </c>
      <c r="Z157" s="7">
        <v>1245</v>
      </c>
      <c r="AA157" s="7">
        <v>1329</v>
      </c>
      <c r="AB157" s="7">
        <v>1434</v>
      </c>
      <c r="AC157" s="7">
        <v>1567</v>
      </c>
      <c r="AD157" s="7">
        <v>1702</v>
      </c>
      <c r="AE157" s="7">
        <v>1979</v>
      </c>
      <c r="AF157" s="7">
        <v>2286</v>
      </c>
      <c r="AG157" s="7">
        <v>2307</v>
      </c>
      <c r="AH157" s="7">
        <v>2465</v>
      </c>
      <c r="AI157" s="7">
        <v>3011</v>
      </c>
      <c r="AJ157" s="7">
        <v>3981</v>
      </c>
      <c r="AK157" s="7">
        <v>4434</v>
      </c>
      <c r="AL157" s="7">
        <v>8872</v>
      </c>
      <c r="AM157" s="7">
        <v>10368</v>
      </c>
      <c r="AN157" s="7">
        <v>12979</v>
      </c>
      <c r="AO157" s="7">
        <v>16399</v>
      </c>
      <c r="AP157" s="7">
        <v>22988</v>
      </c>
      <c r="AQ157" s="7">
        <v>29910</v>
      </c>
      <c r="AR157" s="7">
        <v>27257</v>
      </c>
      <c r="AS157" s="7">
        <v>29770</v>
      </c>
      <c r="AT157" s="7">
        <v>35874</v>
      </c>
      <c r="AU157" s="7">
        <v>40132</v>
      </c>
      <c r="AV157" s="7">
        <v>49532</v>
      </c>
      <c r="AW157" s="7">
        <v>66301</v>
      </c>
      <c r="AX157" s="7">
        <v>76451</v>
      </c>
      <c r="AY157" s="7">
        <v>96187</v>
      </c>
      <c r="AZ157" s="7">
        <v>104730</v>
      </c>
      <c r="BA157" s="7">
        <v>98120</v>
      </c>
      <c r="BB157" s="7">
        <v>100117</v>
      </c>
      <c r="BC157" s="7">
        <v>118993</v>
      </c>
      <c r="BD157" s="7">
        <v>114500</v>
      </c>
      <c r="BE157" s="7">
        <v>113366</v>
      </c>
      <c r="BF157" s="7">
        <v>125607</v>
      </c>
      <c r="BG157" s="7">
        <v>147048</v>
      </c>
      <c r="BH157" s="7">
        <v>171885</v>
      </c>
      <c r="BI157" s="7">
        <v>224574</v>
      </c>
      <c r="BJ157" s="7">
        <v>280845</v>
      </c>
      <c r="BK157" s="7">
        <v>333019</v>
      </c>
      <c r="BL157" s="7">
        <v>308096</v>
      </c>
      <c r="BM157" s="7">
        <v>266249</v>
      </c>
      <c r="BN157" s="7">
        <v>262887</v>
      </c>
      <c r="BO157" s="7">
        <v>276048</v>
      </c>
      <c r="BP157" s="7">
        <v>322943</v>
      </c>
      <c r="BQ157" s="7">
        <v>384157</v>
      </c>
      <c r="BR157" s="7">
        <v>422721</v>
      </c>
      <c r="BS157" s="7">
        <v>405516</v>
      </c>
      <c r="BT157" s="7">
        <v>406300</v>
      </c>
      <c r="BU157" s="7">
        <v>429192</v>
      </c>
      <c r="BV157" s="7">
        <v>407218</v>
      </c>
      <c r="BW157" s="7">
        <v>418959</v>
      </c>
      <c r="BX157" s="7">
        <v>465888</v>
      </c>
      <c r="BY157" s="7">
        <v>507867</v>
      </c>
      <c r="BZ157" s="7">
        <v>467240</v>
      </c>
      <c r="CA157" s="7">
        <v>471938</v>
      </c>
      <c r="CB157" s="7">
        <v>408188</v>
      </c>
      <c r="CC157" s="7">
        <v>392335</v>
      </c>
      <c r="CD157" s="7">
        <v>320120</v>
      </c>
      <c r="CE157" s="7">
        <v>309493</v>
      </c>
      <c r="CF157" s="7">
        <v>348932</v>
      </c>
      <c r="CG157" s="7">
        <v>315068</v>
      </c>
      <c r="CH157" s="7">
        <v>353733</v>
      </c>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c r="DU157" s="7"/>
      <c r="DV157" s="7"/>
      <c r="DW157" s="7"/>
      <c r="DX157" s="7"/>
      <c r="DY157" s="7"/>
      <c r="DZ157" s="7"/>
      <c r="EA157" s="7"/>
      <c r="EB157" s="7"/>
      <c r="EC157" s="7"/>
      <c r="ED157" s="7"/>
      <c r="EE157" s="7"/>
      <c r="EF157" s="7"/>
      <c r="EG157" s="7"/>
      <c r="EH157" s="7"/>
      <c r="EI157" s="7"/>
      <c r="EJ157" s="7"/>
      <c r="EK157" s="7"/>
      <c r="EL157" s="7"/>
      <c r="EM157" s="7"/>
      <c r="EN157" s="7"/>
      <c r="EO157" s="7"/>
      <c r="EP157" s="7"/>
      <c r="EQ157" s="7"/>
      <c r="ER157" s="7"/>
      <c r="ES157" s="7"/>
      <c r="ET157" s="7"/>
      <c r="EU157" s="7"/>
      <c r="EV157" s="7"/>
      <c r="EW157" s="7"/>
      <c r="EX157" s="7"/>
      <c r="EY157" s="7"/>
      <c r="EZ157" s="7"/>
      <c r="FA157" s="7"/>
      <c r="FB157" s="7"/>
      <c r="FC157" s="7"/>
      <c r="FD157" s="7"/>
      <c r="FE157" s="7"/>
      <c r="FF157" s="7"/>
      <c r="FG157" s="7"/>
      <c r="FH157" s="7"/>
      <c r="FI157" s="7"/>
      <c r="FJ157" s="7"/>
    </row>
    <row r="158" spans="1:166">
      <c r="A158" s="7" t="s">
        <v>397</v>
      </c>
      <c r="B158" s="7" t="s">
        <v>88</v>
      </c>
      <c r="C158" s="7">
        <v>1000000</v>
      </c>
      <c r="D158" s="7" t="s">
        <v>89</v>
      </c>
      <c r="E158" s="7" t="s">
        <v>594</v>
      </c>
      <c r="F158" s="8" t="s">
        <v>595</v>
      </c>
      <c r="G158" s="7">
        <v>104878</v>
      </c>
      <c r="H158" s="7">
        <v>98478</v>
      </c>
      <c r="I158" s="7">
        <v>96363</v>
      </c>
      <c r="J158" s="7">
        <v>95527</v>
      </c>
      <c r="K158" s="7">
        <v>105321</v>
      </c>
      <c r="L158" s="7">
        <v>128529</v>
      </c>
      <c r="M158" s="7">
        <v>149679</v>
      </c>
      <c r="N158" s="7">
        <v>148855</v>
      </c>
      <c r="O158" s="7">
        <v>146516</v>
      </c>
      <c r="P158" s="7">
        <v>197459</v>
      </c>
      <c r="Q158" s="7">
        <v>247092</v>
      </c>
      <c r="R158" s="7">
        <v>271521</v>
      </c>
      <c r="S158" s="7">
        <v>249102</v>
      </c>
      <c r="T158" s="7">
        <v>328244</v>
      </c>
      <c r="U158" s="7">
        <v>366063</v>
      </c>
      <c r="V158" s="7">
        <v>369268</v>
      </c>
      <c r="W158" s="7">
        <v>441868</v>
      </c>
      <c r="X158" s="7">
        <v>428816</v>
      </c>
      <c r="Y158" s="7">
        <v>470423</v>
      </c>
      <c r="Z158" s="7">
        <v>550743</v>
      </c>
      <c r="AA158" s="7">
        <v>628916</v>
      </c>
      <c r="AB158" s="7">
        <v>553404</v>
      </c>
      <c r="AC158" s="7">
        <v>718249</v>
      </c>
      <c r="AD158" s="7">
        <v>849698</v>
      </c>
      <c r="AE158" s="7">
        <v>712686</v>
      </c>
      <c r="AF158" s="7">
        <v>711270</v>
      </c>
      <c r="AG158" s="7">
        <v>832912</v>
      </c>
      <c r="AH158" s="7">
        <v>1042429</v>
      </c>
      <c r="AI158" s="7">
        <v>821142</v>
      </c>
      <c r="AJ158" s="7">
        <v>572970</v>
      </c>
      <c r="AK158" s="7">
        <v>771953</v>
      </c>
      <c r="AL158" s="7">
        <v>961541</v>
      </c>
      <c r="AM158" s="7">
        <v>859054</v>
      </c>
      <c r="AN158" s="7">
        <v>906254</v>
      </c>
      <c r="AO158" s="7">
        <v>1077859</v>
      </c>
      <c r="AP158" s="7">
        <v>1434941</v>
      </c>
      <c r="AQ158" s="7">
        <v>1340673</v>
      </c>
      <c r="AR158" s="7">
        <v>1473040</v>
      </c>
      <c r="AS158" s="7">
        <v>1733450</v>
      </c>
      <c r="AT158" s="7">
        <v>1665673</v>
      </c>
      <c r="AU158" s="7">
        <v>2065353</v>
      </c>
      <c r="AV158" s="7">
        <v>2436696</v>
      </c>
      <c r="AW158" s="7">
        <v>2522280</v>
      </c>
      <c r="AX158" s="7">
        <v>2868488</v>
      </c>
      <c r="AY158" s="7">
        <v>3556180</v>
      </c>
      <c r="AZ158" s="7">
        <v>3396118</v>
      </c>
      <c r="BA158" s="7">
        <v>4530864</v>
      </c>
      <c r="BB158" s="7">
        <v>4928652</v>
      </c>
      <c r="BC158" s="7">
        <v>5436661</v>
      </c>
      <c r="BD158" s="7">
        <v>5434943</v>
      </c>
      <c r="BE158" s="7">
        <v>7260773</v>
      </c>
      <c r="BF158" s="7">
        <v>8388684</v>
      </c>
      <c r="BG158" s="7">
        <v>10705954</v>
      </c>
      <c r="BH158" s="7">
        <v>13565705</v>
      </c>
      <c r="BI158" s="7">
        <v>17471138</v>
      </c>
      <c r="BJ158" s="7">
        <v>15410014</v>
      </c>
      <c r="BK158" s="7">
        <v>13766089</v>
      </c>
      <c r="BL158" s="7">
        <v>10669001</v>
      </c>
      <c r="BM158" s="7">
        <v>13711500</v>
      </c>
      <c r="BN158" s="7">
        <v>15480742</v>
      </c>
      <c r="BO158" s="7">
        <v>16261122</v>
      </c>
      <c r="BP158" s="7">
        <v>18366876</v>
      </c>
      <c r="BQ158" s="7">
        <v>19540887</v>
      </c>
      <c r="BR158" s="7">
        <v>12780599</v>
      </c>
      <c r="BS158" s="7">
        <v>15795285</v>
      </c>
      <c r="BT158" s="7">
        <v>17988723</v>
      </c>
      <c r="BU158" s="7">
        <v>18017642</v>
      </c>
      <c r="BV158" s="7">
        <v>20281905</v>
      </c>
      <c r="BW158" s="7">
        <v>26388250</v>
      </c>
      <c r="BX158" s="7">
        <v>29400549</v>
      </c>
      <c r="BY158" s="7">
        <v>28612995</v>
      </c>
      <c r="BZ158" s="7">
        <v>30849312</v>
      </c>
      <c r="CA158" s="7">
        <v>36177851</v>
      </c>
      <c r="CB158" s="7">
        <v>33735900</v>
      </c>
      <c r="CC158" s="7">
        <v>42560989</v>
      </c>
      <c r="CD158" s="7">
        <v>52481295</v>
      </c>
      <c r="CE158" s="7">
        <v>65556024</v>
      </c>
      <c r="CF158" s="7">
        <v>51213488</v>
      </c>
      <c r="CG158" s="7">
        <v>63154651</v>
      </c>
      <c r="CH158" s="7">
        <v>76710020</v>
      </c>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c r="ER158" s="7"/>
      <c r="ES158" s="7"/>
      <c r="ET158" s="7"/>
      <c r="EU158" s="7"/>
      <c r="EV158" s="7"/>
      <c r="EW158" s="7"/>
      <c r="EX158" s="7"/>
      <c r="EY158" s="7"/>
      <c r="EZ158" s="7"/>
      <c r="FA158" s="7"/>
      <c r="FB158" s="7"/>
      <c r="FC158" s="7"/>
      <c r="FD158" s="7"/>
      <c r="FE158" s="7"/>
      <c r="FF158" s="7"/>
      <c r="FG158" s="7"/>
      <c r="FH158" s="7"/>
      <c r="FI158" s="7"/>
      <c r="FJ158" s="7"/>
    </row>
    <row r="159" spans="1:166">
      <c r="A159" s="7" t="s">
        <v>400</v>
      </c>
      <c r="B159" s="7" t="s">
        <v>88</v>
      </c>
      <c r="C159" s="7">
        <v>1000000</v>
      </c>
      <c r="D159" s="7" t="s">
        <v>89</v>
      </c>
      <c r="E159" s="7" t="s">
        <v>596</v>
      </c>
      <c r="F159" s="8" t="s">
        <v>597</v>
      </c>
      <c r="G159" s="7">
        <v>103694</v>
      </c>
      <c r="H159" s="7">
        <v>97302</v>
      </c>
      <c r="I159" s="7">
        <v>95116</v>
      </c>
      <c r="J159" s="7">
        <v>94141</v>
      </c>
      <c r="K159" s="7">
        <v>103822</v>
      </c>
      <c r="L159" s="7">
        <v>126681</v>
      </c>
      <c r="M159" s="7">
        <v>147629</v>
      </c>
      <c r="N159" s="7">
        <v>146628</v>
      </c>
      <c r="O159" s="7">
        <v>144082</v>
      </c>
      <c r="P159" s="7">
        <v>194840</v>
      </c>
      <c r="Q159" s="7">
        <v>244222</v>
      </c>
      <c r="R159" s="7">
        <v>268373</v>
      </c>
      <c r="S159" s="7">
        <v>245747</v>
      </c>
      <c r="T159" s="7">
        <v>324670</v>
      </c>
      <c r="U159" s="7">
        <v>362157</v>
      </c>
      <c r="V159" s="7">
        <v>365166</v>
      </c>
      <c r="W159" s="7">
        <v>437674</v>
      </c>
      <c r="X159" s="7">
        <v>424314</v>
      </c>
      <c r="Y159" s="7">
        <v>465779</v>
      </c>
      <c r="Z159" s="7">
        <v>545955</v>
      </c>
      <c r="AA159" s="7">
        <v>623812</v>
      </c>
      <c r="AB159" s="7">
        <v>547891</v>
      </c>
      <c r="AC159" s="7">
        <v>712221</v>
      </c>
      <c r="AD159" s="7">
        <v>843150</v>
      </c>
      <c r="AE159" s="7">
        <v>705075</v>
      </c>
      <c r="AF159" s="7">
        <v>702482</v>
      </c>
      <c r="AG159" s="7">
        <v>824038</v>
      </c>
      <c r="AH159" s="7">
        <v>1032948</v>
      </c>
      <c r="AI159" s="7">
        <v>809566</v>
      </c>
      <c r="AJ159" s="7">
        <v>557656</v>
      </c>
      <c r="AK159" s="7">
        <v>754897</v>
      </c>
      <c r="AL159" s="7">
        <v>927412</v>
      </c>
      <c r="AM159" s="7">
        <v>819176</v>
      </c>
      <c r="AN159" s="7">
        <v>856335</v>
      </c>
      <c r="AO159" s="7">
        <v>1014783</v>
      </c>
      <c r="AP159" s="7">
        <v>1346523</v>
      </c>
      <c r="AQ159" s="7">
        <v>1225637</v>
      </c>
      <c r="AR159" s="7">
        <v>1386479</v>
      </c>
      <c r="AS159" s="7">
        <v>1630514</v>
      </c>
      <c r="AT159" s="7">
        <v>1553653</v>
      </c>
      <c r="AU159" s="7">
        <v>1917631</v>
      </c>
      <c r="AV159" s="7">
        <v>2241896</v>
      </c>
      <c r="AW159" s="7">
        <v>2287678</v>
      </c>
      <c r="AX159" s="7">
        <v>2559333</v>
      </c>
      <c r="AY159" s="7">
        <v>3140008</v>
      </c>
      <c r="AZ159" s="7">
        <v>2956992</v>
      </c>
      <c r="BA159" s="7">
        <v>4000417</v>
      </c>
      <c r="BB159" s="7">
        <v>4369261</v>
      </c>
      <c r="BC159" s="7">
        <v>4865339</v>
      </c>
      <c r="BD159" s="7">
        <v>4831577</v>
      </c>
      <c r="BE159" s="7">
        <v>6449974</v>
      </c>
      <c r="BF159" s="7">
        <v>7403482</v>
      </c>
      <c r="BG159" s="7">
        <v>9429717</v>
      </c>
      <c r="BH159" s="7">
        <v>11881725</v>
      </c>
      <c r="BI159" s="7">
        <v>15381893</v>
      </c>
      <c r="BJ159" s="7">
        <v>13361037</v>
      </c>
      <c r="BK159" s="7">
        <v>11944574</v>
      </c>
      <c r="BL159" s="7">
        <v>9269952</v>
      </c>
      <c r="BM159" s="7">
        <v>11931885</v>
      </c>
      <c r="BN159" s="7">
        <v>13516322</v>
      </c>
      <c r="BO159" s="7">
        <v>14216036</v>
      </c>
      <c r="BP159" s="7">
        <v>16022269</v>
      </c>
      <c r="BQ159" s="7">
        <v>16913376</v>
      </c>
      <c r="BR159" s="7">
        <v>11039201</v>
      </c>
      <c r="BS159" s="7">
        <v>13674425</v>
      </c>
      <c r="BT159" s="7">
        <v>15565512</v>
      </c>
      <c r="BU159" s="7">
        <v>15598527</v>
      </c>
      <c r="BV159" s="7">
        <v>17485958</v>
      </c>
      <c r="BW159" s="7">
        <v>22684806</v>
      </c>
      <c r="BX159" s="7">
        <v>25320711</v>
      </c>
      <c r="BY159" s="7">
        <v>24335330</v>
      </c>
      <c r="BZ159" s="7">
        <v>25843298</v>
      </c>
      <c r="CA159" s="7">
        <v>30023624</v>
      </c>
      <c r="CB159" s="7">
        <v>27922692</v>
      </c>
      <c r="CC159" s="7">
        <v>35063233</v>
      </c>
      <c r="CD159" s="7">
        <v>43783375</v>
      </c>
      <c r="CE159" s="7">
        <v>54262122</v>
      </c>
      <c r="CF159" s="7">
        <v>42065026</v>
      </c>
      <c r="CG159" s="7">
        <v>51743045</v>
      </c>
      <c r="CH159" s="7">
        <v>62728651</v>
      </c>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c r="DU159" s="7"/>
      <c r="DV159" s="7"/>
      <c r="DW159" s="7"/>
      <c r="DX159" s="7"/>
      <c r="DY159" s="7"/>
      <c r="DZ159" s="7"/>
      <c r="EA159" s="7"/>
      <c r="EB159" s="7"/>
      <c r="EC159" s="7"/>
      <c r="ED159" s="7"/>
      <c r="EE159" s="7"/>
      <c r="EF159" s="7"/>
      <c r="EG159" s="7"/>
      <c r="EH159" s="7"/>
      <c r="EI159" s="7"/>
      <c r="EJ159" s="7"/>
      <c r="EK159" s="7"/>
      <c r="EL159" s="7"/>
      <c r="EM159" s="7"/>
      <c r="EN159" s="7"/>
      <c r="EO159" s="7"/>
      <c r="EP159" s="7"/>
      <c r="EQ159" s="7"/>
      <c r="ER159" s="7"/>
      <c r="ES159" s="7"/>
      <c r="ET159" s="7"/>
      <c r="EU159" s="7"/>
      <c r="EV159" s="7"/>
      <c r="EW159" s="7"/>
      <c r="EX159" s="7"/>
      <c r="EY159" s="7"/>
      <c r="EZ159" s="7"/>
      <c r="FA159" s="7"/>
      <c r="FB159" s="7"/>
      <c r="FC159" s="7"/>
      <c r="FD159" s="7"/>
      <c r="FE159" s="7"/>
      <c r="FF159" s="7"/>
      <c r="FG159" s="7"/>
      <c r="FH159" s="7"/>
      <c r="FI159" s="7"/>
      <c r="FJ159" s="7"/>
    </row>
    <row r="160" spans="1:166">
      <c r="A160" s="7" t="s">
        <v>403</v>
      </c>
      <c r="B160" s="7" t="s">
        <v>88</v>
      </c>
      <c r="C160" s="7">
        <v>1000000</v>
      </c>
      <c r="D160" s="7" t="s">
        <v>89</v>
      </c>
      <c r="E160" s="7" t="s">
        <v>598</v>
      </c>
      <c r="F160" s="8" t="s">
        <v>599</v>
      </c>
      <c r="G160" s="7">
        <v>1184</v>
      </c>
      <c r="H160" s="7">
        <v>1176</v>
      </c>
      <c r="I160" s="7">
        <v>1247</v>
      </c>
      <c r="J160" s="7">
        <v>1386</v>
      </c>
      <c r="K160" s="7">
        <v>1499</v>
      </c>
      <c r="L160" s="7">
        <v>1848</v>
      </c>
      <c r="M160" s="7">
        <v>2050</v>
      </c>
      <c r="N160" s="7">
        <v>2227</v>
      </c>
      <c r="O160" s="7">
        <v>2434</v>
      </c>
      <c r="P160" s="7">
        <v>2619</v>
      </c>
      <c r="Q160" s="7">
        <v>2870</v>
      </c>
      <c r="R160" s="7">
        <v>3148</v>
      </c>
      <c r="S160" s="7">
        <v>3355</v>
      </c>
      <c r="T160" s="7">
        <v>3574</v>
      </c>
      <c r="U160" s="7">
        <v>3906</v>
      </c>
      <c r="V160" s="7">
        <v>4102</v>
      </c>
      <c r="W160" s="7">
        <v>4194</v>
      </c>
      <c r="X160" s="7">
        <v>4502</v>
      </c>
      <c r="Y160" s="7">
        <v>4644</v>
      </c>
      <c r="Z160" s="7">
        <v>4788</v>
      </c>
      <c r="AA160" s="7">
        <v>5104</v>
      </c>
      <c r="AB160" s="7">
        <v>5513</v>
      </c>
      <c r="AC160" s="7">
        <v>6028</v>
      </c>
      <c r="AD160" s="7">
        <v>6548</v>
      </c>
      <c r="AE160" s="7">
        <v>7611</v>
      </c>
      <c r="AF160" s="7">
        <v>8788</v>
      </c>
      <c r="AG160" s="7">
        <v>8874</v>
      </c>
      <c r="AH160" s="7">
        <v>9481</v>
      </c>
      <c r="AI160" s="7">
        <v>11576</v>
      </c>
      <c r="AJ160" s="7">
        <v>15314</v>
      </c>
      <c r="AK160" s="7">
        <v>17056</v>
      </c>
      <c r="AL160" s="7">
        <v>34129</v>
      </c>
      <c r="AM160" s="7">
        <v>39878</v>
      </c>
      <c r="AN160" s="7">
        <v>49919</v>
      </c>
      <c r="AO160" s="7">
        <v>63076</v>
      </c>
      <c r="AP160" s="7">
        <v>88418</v>
      </c>
      <c r="AQ160" s="7">
        <v>115036</v>
      </c>
      <c r="AR160" s="7">
        <v>86561</v>
      </c>
      <c r="AS160" s="7">
        <v>102936</v>
      </c>
      <c r="AT160" s="7">
        <v>112020</v>
      </c>
      <c r="AU160" s="7">
        <v>147722</v>
      </c>
      <c r="AV160" s="7">
        <v>194800</v>
      </c>
      <c r="AW160" s="7">
        <v>234602</v>
      </c>
      <c r="AX160" s="7">
        <v>309155</v>
      </c>
      <c r="AY160" s="7">
        <v>416172</v>
      </c>
      <c r="AZ160" s="7">
        <v>439126</v>
      </c>
      <c r="BA160" s="7">
        <v>530447</v>
      </c>
      <c r="BB160" s="7">
        <v>559391</v>
      </c>
      <c r="BC160" s="7">
        <v>571322</v>
      </c>
      <c r="BD160" s="7">
        <v>603366</v>
      </c>
      <c r="BE160" s="7">
        <v>810799</v>
      </c>
      <c r="BF160" s="7">
        <v>985202</v>
      </c>
      <c r="BG160" s="7">
        <v>1276237</v>
      </c>
      <c r="BH160" s="7">
        <v>1683980</v>
      </c>
      <c r="BI160" s="7">
        <v>2089245</v>
      </c>
      <c r="BJ160" s="7">
        <v>2048977</v>
      </c>
      <c r="BK160" s="7">
        <v>1821515</v>
      </c>
      <c r="BL160" s="7">
        <v>1399049</v>
      </c>
      <c r="BM160" s="7">
        <v>1779615</v>
      </c>
      <c r="BN160" s="7">
        <v>1964420</v>
      </c>
      <c r="BO160" s="7">
        <v>2045086</v>
      </c>
      <c r="BP160" s="7">
        <v>2344607</v>
      </c>
      <c r="BQ160" s="7">
        <v>2627511</v>
      </c>
      <c r="BR160" s="7">
        <v>1741398</v>
      </c>
      <c r="BS160" s="7">
        <v>2120860</v>
      </c>
      <c r="BT160" s="7">
        <v>2423211</v>
      </c>
      <c r="BU160" s="7">
        <v>2419115</v>
      </c>
      <c r="BV160" s="7">
        <v>2795947</v>
      </c>
      <c r="BW160" s="7">
        <v>3703444</v>
      </c>
      <c r="BX160" s="7">
        <v>4079838</v>
      </c>
      <c r="BY160" s="7">
        <v>4277665</v>
      </c>
      <c r="BZ160" s="7">
        <v>5006014</v>
      </c>
      <c r="CA160" s="7">
        <v>6154227</v>
      </c>
      <c r="CB160" s="7">
        <v>5813208</v>
      </c>
      <c r="CC160" s="7">
        <v>7497756</v>
      </c>
      <c r="CD160" s="7">
        <v>8697920</v>
      </c>
      <c r="CE160" s="7">
        <v>11293902</v>
      </c>
      <c r="CF160" s="7">
        <v>9148462</v>
      </c>
      <c r="CG160" s="7">
        <v>11411606</v>
      </c>
      <c r="CH160" s="7">
        <v>13981369</v>
      </c>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c r="DR160" s="7"/>
      <c r="DS160" s="7"/>
      <c r="DT160" s="7"/>
      <c r="DU160" s="7"/>
      <c r="DV160" s="7"/>
      <c r="DW160" s="7"/>
      <c r="DX160" s="7"/>
      <c r="DY160" s="7"/>
      <c r="DZ160" s="7"/>
      <c r="EA160" s="7"/>
      <c r="EB160" s="7"/>
      <c r="EC160" s="7"/>
      <c r="ED160" s="7"/>
      <c r="EE160" s="7"/>
      <c r="EF160" s="7"/>
      <c r="EG160" s="7"/>
      <c r="EH160" s="7"/>
      <c r="EI160" s="7"/>
      <c r="EJ160" s="7"/>
      <c r="EK160" s="7"/>
      <c r="EL160" s="7"/>
      <c r="EM160" s="7"/>
      <c r="EN160" s="7"/>
      <c r="EO160" s="7"/>
      <c r="EP160" s="7"/>
      <c r="EQ160" s="7"/>
      <c r="ER160" s="7"/>
      <c r="ES160" s="7"/>
      <c r="ET160" s="7"/>
      <c r="EU160" s="7"/>
      <c r="EV160" s="7"/>
      <c r="EW160" s="7"/>
      <c r="EX160" s="7"/>
      <c r="EY160" s="7"/>
      <c r="EZ160" s="7"/>
      <c r="FA160" s="7"/>
      <c r="FB160" s="7"/>
      <c r="FC160" s="7"/>
      <c r="FD160" s="7"/>
      <c r="FE160" s="7"/>
      <c r="FF160" s="7"/>
      <c r="FG160" s="7"/>
      <c r="FH160" s="7"/>
      <c r="FI160" s="7"/>
      <c r="FJ160" s="7"/>
    </row>
    <row r="161" spans="1:166">
      <c r="A161" s="7" t="s">
        <v>406</v>
      </c>
      <c r="B161" s="7" t="s">
        <v>88</v>
      </c>
      <c r="C161" s="7">
        <v>1000000</v>
      </c>
      <c r="D161" s="7" t="s">
        <v>89</v>
      </c>
      <c r="E161" s="7" t="s">
        <v>600</v>
      </c>
      <c r="F161" s="8" t="s">
        <v>601</v>
      </c>
      <c r="G161" s="7">
        <v>16879</v>
      </c>
      <c r="H161" s="7">
        <v>18059</v>
      </c>
      <c r="I161" s="7">
        <v>19070</v>
      </c>
      <c r="J161" s="7">
        <v>19929</v>
      </c>
      <c r="K161" s="7">
        <v>20696</v>
      </c>
      <c r="L161" s="7">
        <v>21236</v>
      </c>
      <c r="M161" s="7">
        <v>24923</v>
      </c>
      <c r="N161" s="7">
        <v>26374</v>
      </c>
      <c r="O161" s="7">
        <v>29695</v>
      </c>
      <c r="P161" s="7">
        <v>31849</v>
      </c>
      <c r="Q161" s="7">
        <v>31980</v>
      </c>
      <c r="R161" s="7">
        <v>34104</v>
      </c>
      <c r="S161" s="7">
        <v>38755</v>
      </c>
      <c r="T161" s="7">
        <v>38690</v>
      </c>
      <c r="U161" s="7">
        <v>40465</v>
      </c>
      <c r="V161" s="7">
        <v>41393</v>
      </c>
      <c r="W161" s="7">
        <v>37257</v>
      </c>
      <c r="X161" s="7">
        <v>37029</v>
      </c>
      <c r="Y161" s="7">
        <v>32565</v>
      </c>
      <c r="Z161" s="7">
        <v>28333</v>
      </c>
      <c r="AA161" s="7">
        <v>26236</v>
      </c>
      <c r="AB161" s="7">
        <v>33427</v>
      </c>
      <c r="AC161" s="7">
        <v>32564</v>
      </c>
      <c r="AD161" s="7">
        <v>34742</v>
      </c>
      <c r="AE161" s="7">
        <v>50902</v>
      </c>
      <c r="AF161" s="7">
        <v>62767</v>
      </c>
      <c r="AG161" s="7">
        <v>60043</v>
      </c>
      <c r="AH161" s="7">
        <v>53160</v>
      </c>
      <c r="AI161" s="7">
        <v>72368</v>
      </c>
      <c r="AJ161" s="7">
        <v>95444</v>
      </c>
      <c r="AK161" s="7">
        <v>69760</v>
      </c>
      <c r="AL161" s="7">
        <v>71419</v>
      </c>
      <c r="AM161" s="7">
        <v>80430</v>
      </c>
      <c r="AN161" s="7">
        <v>66996</v>
      </c>
      <c r="AO161" s="7">
        <v>49434</v>
      </c>
      <c r="AP161" s="7">
        <v>59836</v>
      </c>
      <c r="AQ161" s="7">
        <v>90310</v>
      </c>
      <c r="AR161" s="7">
        <v>49060</v>
      </c>
      <c r="AS161" s="7">
        <v>45430</v>
      </c>
      <c r="AT161" s="7">
        <v>108691</v>
      </c>
      <c r="AU161" s="7">
        <v>-5287</v>
      </c>
      <c r="AV161" s="7">
        <v>28731</v>
      </c>
      <c r="AW161" s="7">
        <v>103479</v>
      </c>
      <c r="AX161" s="7">
        <v>161475</v>
      </c>
      <c r="AY161" s="7">
        <v>115266</v>
      </c>
      <c r="AZ161" s="7">
        <v>206837</v>
      </c>
      <c r="BA161" s="7">
        <v>129508</v>
      </c>
      <c r="BB161" s="7">
        <v>177193</v>
      </c>
      <c r="BC161" s="7">
        <v>137559</v>
      </c>
      <c r="BD161" s="7">
        <v>115957</v>
      </c>
      <c r="BE161" s="7">
        <v>-10485</v>
      </c>
      <c r="BF161" s="7">
        <v>-70882</v>
      </c>
      <c r="BG161" s="7">
        <v>-176996</v>
      </c>
      <c r="BH161" s="7">
        <v>-187315</v>
      </c>
      <c r="BI161" s="7">
        <v>-284641</v>
      </c>
      <c r="BJ161" s="7">
        <v>-120589</v>
      </c>
      <c r="BK161" s="7">
        <v>160065</v>
      </c>
      <c r="BL161" s="7">
        <v>389607</v>
      </c>
      <c r="BM161" s="7">
        <v>77923</v>
      </c>
      <c r="BN161" s="7">
        <v>80872</v>
      </c>
      <c r="BO161" s="7">
        <v>14570</v>
      </c>
      <c r="BP161" s="7">
        <v>48470</v>
      </c>
      <c r="BQ161" s="7">
        <v>40936</v>
      </c>
      <c r="BR161" s="7">
        <v>771547</v>
      </c>
      <c r="BS161" s="7">
        <v>541398</v>
      </c>
      <c r="BT161" s="7">
        <v>527980</v>
      </c>
      <c r="BU161" s="7">
        <v>591248</v>
      </c>
      <c r="BV161" s="7">
        <v>458599</v>
      </c>
      <c r="BW161" s="7">
        <v>670272</v>
      </c>
      <c r="BX161" s="7">
        <v>579526</v>
      </c>
      <c r="BY161" s="7">
        <v>699549</v>
      </c>
      <c r="BZ161" s="7">
        <v>681600</v>
      </c>
      <c r="CA161" s="7">
        <v>445025</v>
      </c>
      <c r="CB161" s="7">
        <v>685664</v>
      </c>
      <c r="CC161" s="7">
        <v>493978</v>
      </c>
      <c r="CD161" s="7">
        <v>205109</v>
      </c>
      <c r="CE161" s="7">
        <v>124246</v>
      </c>
      <c r="CF161" s="7">
        <v>407923</v>
      </c>
      <c r="CG161" s="7">
        <v>371249</v>
      </c>
      <c r="CH161" s="7">
        <v>273089</v>
      </c>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c r="DU161" s="7"/>
      <c r="DV161" s="7"/>
      <c r="DW161" s="7"/>
      <c r="DX161" s="7"/>
      <c r="DY161" s="7"/>
      <c r="DZ161" s="7"/>
      <c r="EA161" s="7"/>
      <c r="EB161" s="7"/>
      <c r="EC161" s="7"/>
      <c r="ED161" s="7"/>
      <c r="EE161" s="7"/>
      <c r="EF161" s="7"/>
      <c r="EG161" s="7"/>
      <c r="EH161" s="7"/>
      <c r="EI161" s="7"/>
      <c r="EJ161" s="7"/>
      <c r="EK161" s="7"/>
      <c r="EL161" s="7"/>
      <c r="EM161" s="7"/>
      <c r="EN161" s="7"/>
      <c r="EO161" s="7"/>
      <c r="EP161" s="7"/>
      <c r="EQ161" s="7"/>
      <c r="ER161" s="7"/>
      <c r="ES161" s="7"/>
      <c r="ET161" s="7"/>
      <c r="EU161" s="7"/>
      <c r="EV161" s="7"/>
      <c r="EW161" s="7"/>
      <c r="EX161" s="7"/>
      <c r="EY161" s="7"/>
      <c r="EZ161" s="7"/>
      <c r="FA161" s="7"/>
      <c r="FB161" s="7"/>
      <c r="FC161" s="7"/>
      <c r="FD161" s="7"/>
      <c r="FE161" s="7"/>
      <c r="FF161" s="7"/>
      <c r="FG161" s="7"/>
      <c r="FH161" s="7"/>
      <c r="FI161" s="7"/>
      <c r="FJ161" s="7"/>
    </row>
    <row r="162" spans="1:166">
      <c r="A162" s="7" t="s">
        <v>409</v>
      </c>
      <c r="B162" s="7" t="s">
        <v>88</v>
      </c>
      <c r="C162" s="7">
        <v>1000000</v>
      </c>
      <c r="D162" s="7" t="s">
        <v>89</v>
      </c>
      <c r="E162" s="7" t="s">
        <v>602</v>
      </c>
      <c r="F162" s="8" t="s">
        <v>603</v>
      </c>
      <c r="G162" s="7">
        <v>0</v>
      </c>
      <c r="H162" s="7">
        <v>0</v>
      </c>
      <c r="I162" s="7">
        <v>0</v>
      </c>
      <c r="J162" s="7">
        <v>0</v>
      </c>
      <c r="K162" s="7">
        <v>0</v>
      </c>
      <c r="L162" s="7">
        <v>0</v>
      </c>
      <c r="M162" s="7">
        <v>0</v>
      </c>
      <c r="N162" s="7">
        <v>160</v>
      </c>
      <c r="O162" s="7">
        <v>191</v>
      </c>
      <c r="P162" s="7">
        <v>224</v>
      </c>
      <c r="Q162" s="7">
        <v>295</v>
      </c>
      <c r="R162" s="7">
        <v>339</v>
      </c>
      <c r="S162" s="7">
        <v>378</v>
      </c>
      <c r="T162" s="7">
        <v>469</v>
      </c>
      <c r="U162" s="7">
        <v>547</v>
      </c>
      <c r="V162" s="7">
        <v>613</v>
      </c>
      <c r="W162" s="7">
        <v>740</v>
      </c>
      <c r="X162" s="7">
        <v>768</v>
      </c>
      <c r="Y162" s="7">
        <v>895</v>
      </c>
      <c r="Z162" s="7">
        <v>1049</v>
      </c>
      <c r="AA162" s="7">
        <v>1203</v>
      </c>
      <c r="AB162" s="7">
        <v>1249</v>
      </c>
      <c r="AC162" s="7">
        <v>1470</v>
      </c>
      <c r="AD162" s="7">
        <v>1671</v>
      </c>
      <c r="AE162" s="7">
        <v>1710</v>
      </c>
      <c r="AF162" s="7">
        <v>1858</v>
      </c>
      <c r="AG162" s="7">
        <v>2199</v>
      </c>
      <c r="AH162" s="7">
        <v>2722</v>
      </c>
      <c r="AI162" s="7">
        <v>2697</v>
      </c>
      <c r="AJ162" s="7">
        <v>2670</v>
      </c>
      <c r="AK162" s="7">
        <v>3665</v>
      </c>
      <c r="AL162" s="7">
        <v>4130</v>
      </c>
      <c r="AM162" s="7">
        <v>4459</v>
      </c>
      <c r="AN162" s="7">
        <v>5270</v>
      </c>
      <c r="AO162" s="7">
        <v>6196</v>
      </c>
      <c r="AP162" s="7">
        <v>7566</v>
      </c>
      <c r="AQ162" s="7">
        <v>7953</v>
      </c>
      <c r="AR162" s="7">
        <v>9871</v>
      </c>
      <c r="AS162" s="7">
        <v>12011</v>
      </c>
      <c r="AT162" s="7">
        <v>12913</v>
      </c>
      <c r="AU162" s="7">
        <v>18707</v>
      </c>
      <c r="AV162" s="7">
        <v>18742</v>
      </c>
      <c r="AW162" s="7">
        <v>20250</v>
      </c>
      <c r="AX162" s="7">
        <v>19012</v>
      </c>
      <c r="AY162" s="7">
        <v>26280</v>
      </c>
      <c r="AZ162" s="7">
        <v>32331</v>
      </c>
      <c r="BA162" s="7">
        <v>44403</v>
      </c>
      <c r="BB162" s="7">
        <v>54321</v>
      </c>
      <c r="BC162" s="7">
        <v>66636</v>
      </c>
      <c r="BD162" s="7">
        <v>78325</v>
      </c>
      <c r="BE162" s="7">
        <v>83757</v>
      </c>
      <c r="BF162" s="7">
        <v>89185</v>
      </c>
      <c r="BG162" s="7">
        <v>97572</v>
      </c>
      <c r="BH162" s="7">
        <v>110453</v>
      </c>
      <c r="BI162" s="7">
        <v>92083</v>
      </c>
      <c r="BJ162" s="7">
        <v>72991</v>
      </c>
      <c r="BK162" s="7">
        <v>48408</v>
      </c>
      <c r="BL162" s="7">
        <v>49933</v>
      </c>
      <c r="BM162" s="7">
        <v>49764</v>
      </c>
      <c r="BN162" s="7">
        <v>46648</v>
      </c>
      <c r="BO162" s="7">
        <v>44763</v>
      </c>
      <c r="BP162" s="7">
        <v>64745</v>
      </c>
      <c r="BQ162" s="7">
        <v>69286</v>
      </c>
      <c r="BR162" s="7">
        <v>84024</v>
      </c>
      <c r="BS162" s="7">
        <v>75419</v>
      </c>
      <c r="BT162" s="7">
        <v>90802</v>
      </c>
      <c r="BU162" s="7">
        <v>93762</v>
      </c>
      <c r="BV162" s="7">
        <v>81441</v>
      </c>
      <c r="BW162" s="7">
        <v>78969</v>
      </c>
      <c r="BX162" s="7">
        <v>76104</v>
      </c>
      <c r="BY162" s="7">
        <v>91266</v>
      </c>
      <c r="BZ162" s="7">
        <v>100090</v>
      </c>
      <c r="CA162" s="7">
        <v>119256</v>
      </c>
      <c r="CB162" s="7">
        <v>84701</v>
      </c>
      <c r="CC162" s="7">
        <v>80125</v>
      </c>
      <c r="CD162" s="7">
        <v>77384</v>
      </c>
      <c r="CE162" s="7">
        <v>70876</v>
      </c>
      <c r="CF162" s="7">
        <v>73247</v>
      </c>
      <c r="CG162" s="7">
        <v>77343</v>
      </c>
      <c r="CH162" s="7">
        <v>81119</v>
      </c>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c r="DV162" s="7"/>
      <c r="DW162" s="7"/>
      <c r="DX162" s="7"/>
      <c r="DY162" s="7"/>
      <c r="DZ162" s="7"/>
      <c r="EA162" s="7"/>
      <c r="EB162" s="7"/>
      <c r="EC162" s="7"/>
      <c r="ED162" s="7"/>
      <c r="EE162" s="7"/>
      <c r="EF162" s="7"/>
      <c r="EG162" s="7"/>
      <c r="EH162" s="7"/>
      <c r="EI162" s="7"/>
      <c r="EJ162" s="7"/>
      <c r="EK162" s="7"/>
      <c r="EL162" s="7"/>
      <c r="EM162" s="7"/>
      <c r="EN162" s="7"/>
      <c r="EO162" s="7"/>
      <c r="EP162" s="7"/>
      <c r="EQ162" s="7"/>
      <c r="ER162" s="7"/>
      <c r="ES162" s="7"/>
      <c r="ET162" s="7"/>
      <c r="EU162" s="7"/>
      <c r="EV162" s="7"/>
      <c r="EW162" s="7"/>
      <c r="EX162" s="7"/>
      <c r="EY162" s="7"/>
      <c r="EZ162" s="7"/>
      <c r="FA162" s="7"/>
      <c r="FB162" s="7"/>
      <c r="FC162" s="7"/>
      <c r="FD162" s="7"/>
      <c r="FE162" s="7"/>
      <c r="FF162" s="7"/>
      <c r="FG162" s="7"/>
      <c r="FH162" s="7"/>
      <c r="FI162" s="7"/>
      <c r="FJ162" s="7"/>
    </row>
    <row r="163" spans="1:166">
      <c r="A163" s="7" t="s">
        <v>412</v>
      </c>
      <c r="B163" s="7" t="s">
        <v>88</v>
      </c>
      <c r="C163" s="7">
        <v>1000000</v>
      </c>
      <c r="D163" s="7" t="s">
        <v>89</v>
      </c>
      <c r="E163" s="7" t="s">
        <v>604</v>
      </c>
      <c r="F163" s="8" t="s">
        <v>605</v>
      </c>
      <c r="G163" s="7">
        <v>16879</v>
      </c>
      <c r="H163" s="7">
        <v>18059</v>
      </c>
      <c r="I163" s="7">
        <v>19070</v>
      </c>
      <c r="J163" s="7">
        <v>19929</v>
      </c>
      <c r="K163" s="7">
        <v>20696</v>
      </c>
      <c r="L163" s="7">
        <v>21236</v>
      </c>
      <c r="M163" s="7">
        <v>24923</v>
      </c>
      <c r="N163" s="7">
        <v>26214</v>
      </c>
      <c r="O163" s="7">
        <v>29504</v>
      </c>
      <c r="P163" s="7">
        <v>31625</v>
      </c>
      <c r="Q163" s="7">
        <v>31685</v>
      </c>
      <c r="R163" s="7">
        <v>33765</v>
      </c>
      <c r="S163" s="7">
        <v>38377</v>
      </c>
      <c r="T163" s="7">
        <v>38221</v>
      </c>
      <c r="U163" s="7">
        <v>39918</v>
      </c>
      <c r="V163" s="7">
        <v>40780</v>
      </c>
      <c r="W163" s="7">
        <v>36517</v>
      </c>
      <c r="X163" s="7">
        <v>36261</v>
      </c>
      <c r="Y163" s="7">
        <v>31670</v>
      </c>
      <c r="Z163" s="7">
        <v>27284</v>
      </c>
      <c r="AA163" s="7">
        <v>25033</v>
      </c>
      <c r="AB163" s="7">
        <v>32178</v>
      </c>
      <c r="AC163" s="7">
        <v>31094</v>
      </c>
      <c r="AD163" s="7">
        <v>33071</v>
      </c>
      <c r="AE163" s="7">
        <v>49192</v>
      </c>
      <c r="AF163" s="7">
        <v>60909</v>
      </c>
      <c r="AG163" s="7">
        <v>57844</v>
      </c>
      <c r="AH163" s="7">
        <v>50438</v>
      </c>
      <c r="AI163" s="7">
        <v>69671</v>
      </c>
      <c r="AJ163" s="7">
        <v>92774</v>
      </c>
      <c r="AK163" s="7">
        <v>66095</v>
      </c>
      <c r="AL163" s="7">
        <v>67289</v>
      </c>
      <c r="AM163" s="7">
        <v>75971</v>
      </c>
      <c r="AN163" s="7">
        <v>61726</v>
      </c>
      <c r="AO163" s="7">
        <v>43238</v>
      </c>
      <c r="AP163" s="7">
        <v>52270</v>
      </c>
      <c r="AQ163" s="7">
        <v>82357</v>
      </c>
      <c r="AR163" s="7">
        <v>39189</v>
      </c>
      <c r="AS163" s="7">
        <v>33419</v>
      </c>
      <c r="AT163" s="7">
        <v>95778</v>
      </c>
      <c r="AU163" s="7">
        <v>-23994</v>
      </c>
      <c r="AV163" s="7">
        <v>9989</v>
      </c>
      <c r="AW163" s="7">
        <v>83229</v>
      </c>
      <c r="AX163" s="7">
        <v>142463</v>
      </c>
      <c r="AY163" s="7">
        <v>88986</v>
      </c>
      <c r="AZ163" s="7">
        <v>174506</v>
      </c>
      <c r="BA163" s="7">
        <v>85105</v>
      </c>
      <c r="BB163" s="7">
        <v>122872</v>
      </c>
      <c r="BC163" s="7">
        <v>70923</v>
      </c>
      <c r="BD163" s="7">
        <v>37632</v>
      </c>
      <c r="BE163" s="7">
        <v>-94242</v>
      </c>
      <c r="BF163" s="7">
        <v>-160067</v>
      </c>
      <c r="BG163" s="7">
        <v>-274568</v>
      </c>
      <c r="BH163" s="7">
        <v>-297768</v>
      </c>
      <c r="BI163" s="7">
        <v>-376724</v>
      </c>
      <c r="BJ163" s="7">
        <v>-193580</v>
      </c>
      <c r="BK163" s="7">
        <v>111657</v>
      </c>
      <c r="BL163" s="7">
        <v>339674</v>
      </c>
      <c r="BM163" s="7">
        <v>28159</v>
      </c>
      <c r="BN163" s="7">
        <v>34224</v>
      </c>
      <c r="BO163" s="7">
        <v>-30193</v>
      </c>
      <c r="BP163" s="7">
        <v>-16275</v>
      </c>
      <c r="BQ163" s="7">
        <v>-28350</v>
      </c>
      <c r="BR163" s="7">
        <v>687523</v>
      </c>
      <c r="BS163" s="7">
        <v>465979</v>
      </c>
      <c r="BT163" s="7">
        <v>437178</v>
      </c>
      <c r="BU163" s="7">
        <v>497486</v>
      </c>
      <c r="BV163" s="7">
        <v>377158</v>
      </c>
      <c r="BW163" s="7">
        <v>591303</v>
      </c>
      <c r="BX163" s="7">
        <v>503422</v>
      </c>
      <c r="BY163" s="7">
        <v>608283</v>
      </c>
      <c r="BZ163" s="7">
        <v>581510</v>
      </c>
      <c r="CA163" s="7">
        <v>325769</v>
      </c>
      <c r="CB163" s="7">
        <v>600963</v>
      </c>
      <c r="CC163" s="7">
        <v>413853</v>
      </c>
      <c r="CD163" s="7">
        <v>127725</v>
      </c>
      <c r="CE163" s="7">
        <v>53370</v>
      </c>
      <c r="CF163" s="7">
        <v>334676</v>
      </c>
      <c r="CG163" s="7">
        <v>293906</v>
      </c>
      <c r="CH163" s="7">
        <v>191970</v>
      </c>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c r="DR163" s="7"/>
      <c r="DS163" s="7"/>
      <c r="DT163" s="7"/>
      <c r="DU163" s="7"/>
      <c r="DV163" s="7"/>
      <c r="DW163" s="7"/>
      <c r="DX163" s="7"/>
      <c r="DY163" s="7"/>
      <c r="DZ163" s="7"/>
      <c r="EA163" s="7"/>
      <c r="EB163" s="7"/>
      <c r="EC163" s="7"/>
      <c r="ED163" s="7"/>
      <c r="EE163" s="7"/>
      <c r="EF163" s="7"/>
      <c r="EG163" s="7"/>
      <c r="EH163" s="7"/>
      <c r="EI163" s="7"/>
      <c r="EJ163" s="7"/>
      <c r="EK163" s="7"/>
      <c r="EL163" s="7"/>
      <c r="EM163" s="7"/>
      <c r="EN163" s="7"/>
      <c r="EO163" s="7"/>
      <c r="EP163" s="7"/>
      <c r="EQ163" s="7"/>
      <c r="ER163" s="7"/>
      <c r="ES163" s="7"/>
      <c r="ET163" s="7"/>
      <c r="EU163" s="7"/>
      <c r="EV163" s="7"/>
      <c r="EW163" s="7"/>
      <c r="EX163" s="7"/>
      <c r="EY163" s="7"/>
      <c r="EZ163" s="7"/>
      <c r="FA163" s="7"/>
      <c r="FB163" s="7"/>
      <c r="FC163" s="7"/>
      <c r="FD163" s="7"/>
      <c r="FE163" s="7"/>
      <c r="FF163" s="7"/>
      <c r="FG163" s="7"/>
      <c r="FH163" s="7"/>
      <c r="FI163" s="7"/>
      <c r="FJ163" s="7"/>
    </row>
    <row r="164" spans="1:166">
      <c r="A164" s="7" t="s">
        <v>415</v>
      </c>
      <c r="B164" s="7" t="s">
        <v>88</v>
      </c>
      <c r="C164" s="7">
        <v>1000000</v>
      </c>
      <c r="D164" s="7" t="s">
        <v>89</v>
      </c>
      <c r="E164" s="7" t="s">
        <v>606</v>
      </c>
      <c r="F164" s="8" t="s">
        <v>607</v>
      </c>
      <c r="G164" s="7">
        <v>25226</v>
      </c>
      <c r="H164" s="7">
        <v>31120</v>
      </c>
      <c r="I164" s="7">
        <v>38320</v>
      </c>
      <c r="J164" s="7">
        <v>42419</v>
      </c>
      <c r="K164" s="7">
        <v>41600</v>
      </c>
      <c r="L164" s="7">
        <v>59445</v>
      </c>
      <c r="M164" s="7">
        <v>82680</v>
      </c>
      <c r="N164" s="7">
        <v>77733</v>
      </c>
      <c r="O164" s="7">
        <v>74070</v>
      </c>
      <c r="P164" s="7">
        <v>122786</v>
      </c>
      <c r="Q164" s="7">
        <v>183974</v>
      </c>
      <c r="R164" s="7">
        <v>208263</v>
      </c>
      <c r="S164" s="7">
        <v>182814</v>
      </c>
      <c r="T164" s="7">
        <v>261867</v>
      </c>
      <c r="U164" s="7">
        <v>305228</v>
      </c>
      <c r="V164" s="7">
        <v>308227</v>
      </c>
      <c r="W164" s="7">
        <v>383607</v>
      </c>
      <c r="X164" s="7">
        <v>388281</v>
      </c>
      <c r="Y164" s="7">
        <v>397884</v>
      </c>
      <c r="Z164" s="7">
        <v>406114</v>
      </c>
      <c r="AA164" s="7">
        <v>420791</v>
      </c>
      <c r="AB164" s="7">
        <v>429870</v>
      </c>
      <c r="AC164" s="7">
        <v>435041</v>
      </c>
      <c r="AD164" s="7">
        <v>452804</v>
      </c>
      <c r="AE164" s="7">
        <v>474062</v>
      </c>
      <c r="AF164" s="7">
        <v>468360</v>
      </c>
      <c r="AG164" s="7">
        <v>485536</v>
      </c>
      <c r="AH164" s="7">
        <v>511927</v>
      </c>
      <c r="AI164" s="7">
        <v>557696</v>
      </c>
      <c r="AJ164" s="7">
        <v>503231</v>
      </c>
      <c r="AK164" s="7">
        <v>803145</v>
      </c>
      <c r="AL164" s="7">
        <v>859366</v>
      </c>
      <c r="AM164" s="7">
        <v>928289</v>
      </c>
      <c r="AN164" s="7">
        <v>1047413</v>
      </c>
      <c r="AO164" s="7">
        <v>1215965</v>
      </c>
      <c r="AP164" s="7">
        <v>1365796</v>
      </c>
      <c r="AQ164" s="7">
        <v>1523906</v>
      </c>
      <c r="AR164" s="7">
        <v>1585422</v>
      </c>
      <c r="AS164" s="7">
        <v>1619257</v>
      </c>
      <c r="AT164" s="7">
        <v>1720981</v>
      </c>
      <c r="AU164" s="7">
        <v>1909947</v>
      </c>
      <c r="AV164" s="7">
        <v>1865798</v>
      </c>
      <c r="AW164" s="7">
        <v>1927993</v>
      </c>
      <c r="AX164" s="7">
        <v>2123721</v>
      </c>
      <c r="AY164" s="7">
        <v>2246176</v>
      </c>
      <c r="AZ164" s="7">
        <v>2296239</v>
      </c>
      <c r="BA164" s="7">
        <v>2450878</v>
      </c>
      <c r="BB164" s="7">
        <v>2704123</v>
      </c>
      <c r="BC164" s="7">
        <v>2807380</v>
      </c>
      <c r="BD164" s="7">
        <v>2835234</v>
      </c>
      <c r="BE164" s="7">
        <v>3008109</v>
      </c>
      <c r="BF164" s="7">
        <v>3213593</v>
      </c>
      <c r="BG164" s="7">
        <v>3165004</v>
      </c>
      <c r="BH164" s="7">
        <v>3568237</v>
      </c>
      <c r="BI164" s="7">
        <v>4076978</v>
      </c>
      <c r="BJ164" s="7">
        <v>4899177</v>
      </c>
      <c r="BK164" s="7">
        <v>4931965</v>
      </c>
      <c r="BL164" s="7">
        <v>5066038</v>
      </c>
      <c r="BM164" s="7">
        <v>5030897</v>
      </c>
      <c r="BN164" s="7">
        <v>5333824</v>
      </c>
      <c r="BO164" s="7">
        <v>5877163</v>
      </c>
      <c r="BP164" s="7">
        <v>6045738</v>
      </c>
      <c r="BQ164" s="7">
        <v>6427175</v>
      </c>
      <c r="BR164" s="7">
        <v>6413881</v>
      </c>
      <c r="BS164" s="7">
        <v>6548947</v>
      </c>
      <c r="BT164" s="7">
        <v>6962329</v>
      </c>
      <c r="BU164" s="7">
        <v>7268179</v>
      </c>
      <c r="BV164" s="7">
        <v>7718537</v>
      </c>
      <c r="BW164" s="7">
        <v>8001293</v>
      </c>
      <c r="BX164" s="7">
        <v>8628405</v>
      </c>
      <c r="BY164" s="7">
        <v>9324357</v>
      </c>
      <c r="BZ164" s="7">
        <v>10073475</v>
      </c>
      <c r="CA164" s="7">
        <v>9893119</v>
      </c>
      <c r="CB164" s="7">
        <v>10529425</v>
      </c>
      <c r="CC164" s="7">
        <v>12614624</v>
      </c>
      <c r="CD164" s="7">
        <v>11690427</v>
      </c>
      <c r="CE164" s="7">
        <v>11900964</v>
      </c>
      <c r="CF164" s="7">
        <v>14289305</v>
      </c>
      <c r="CG164" s="7">
        <v>15574338</v>
      </c>
      <c r="CH164" s="7">
        <v>15710163</v>
      </c>
      <c r="CI164" s="7"/>
      <c r="CJ164" s="7"/>
      <c r="CK164" s="7"/>
      <c r="CL164" s="7"/>
      <c r="CM164" s="7"/>
      <c r="CN164" s="7"/>
      <c r="CO164" s="7"/>
      <c r="CP164" s="7"/>
      <c r="CQ164" s="7"/>
      <c r="CR164" s="7"/>
      <c r="CS164" s="7"/>
      <c r="CT164" s="7"/>
      <c r="CU164" s="7"/>
      <c r="CV164" s="7"/>
      <c r="CW164" s="7"/>
      <c r="CX164" s="7"/>
      <c r="CY164" s="7"/>
      <c r="CZ164" s="7"/>
      <c r="DA164" s="7"/>
      <c r="DB164" s="7"/>
      <c r="DC164" s="7"/>
      <c r="DD164" s="7"/>
      <c r="DE164" s="7"/>
      <c r="DF164" s="7"/>
      <c r="DG164" s="7"/>
      <c r="DH164" s="7"/>
      <c r="DI164" s="7"/>
      <c r="DJ164" s="7"/>
      <c r="DK164" s="7"/>
      <c r="DL164" s="7"/>
      <c r="DM164" s="7"/>
      <c r="DN164" s="7"/>
      <c r="DO164" s="7"/>
      <c r="DP164" s="7"/>
      <c r="DQ164" s="7"/>
      <c r="DR164" s="7"/>
      <c r="DS164" s="7"/>
      <c r="DT164" s="7"/>
      <c r="DU164" s="7"/>
      <c r="DV164" s="7"/>
      <c r="DW164" s="7"/>
      <c r="DX164" s="7"/>
      <c r="DY164" s="7"/>
      <c r="DZ164" s="7"/>
      <c r="EA164" s="7"/>
      <c r="EB164" s="7"/>
      <c r="EC164" s="7"/>
      <c r="ED164" s="7"/>
      <c r="EE164" s="7"/>
      <c r="EF164" s="7"/>
      <c r="EG164" s="7"/>
      <c r="EH164" s="7"/>
      <c r="EI164" s="7"/>
      <c r="EJ164" s="7"/>
      <c r="EK164" s="7"/>
      <c r="EL164" s="7"/>
      <c r="EM164" s="7"/>
      <c r="EN164" s="7"/>
      <c r="EO164" s="7"/>
      <c r="EP164" s="7"/>
      <c r="EQ164" s="7"/>
      <c r="ER164" s="7"/>
      <c r="ES164" s="7"/>
      <c r="ET164" s="7"/>
      <c r="EU164" s="7"/>
      <c r="EV164" s="7"/>
      <c r="EW164" s="7"/>
      <c r="EX164" s="7"/>
      <c r="EY164" s="7"/>
      <c r="EZ164" s="7"/>
      <c r="FA164" s="7"/>
      <c r="FB164" s="7"/>
      <c r="FC164" s="7"/>
      <c r="FD164" s="7"/>
      <c r="FE164" s="7"/>
      <c r="FF164" s="7"/>
      <c r="FG164" s="7"/>
      <c r="FH164" s="7"/>
      <c r="FI164" s="7"/>
      <c r="FJ164" s="7"/>
    </row>
    <row r="165" spans="1:166">
      <c r="A165" s="7" t="s">
        <v>418</v>
      </c>
      <c r="B165" s="7" t="s">
        <v>88</v>
      </c>
      <c r="C165" s="7">
        <v>1000000</v>
      </c>
      <c r="D165" s="7" t="s">
        <v>89</v>
      </c>
      <c r="E165" s="7" t="s">
        <v>608</v>
      </c>
      <c r="F165" s="8" t="s">
        <v>609</v>
      </c>
      <c r="G165" s="7">
        <v>13697</v>
      </c>
      <c r="H165" s="7">
        <v>20041</v>
      </c>
      <c r="I165" s="7">
        <v>23392</v>
      </c>
      <c r="J165" s="7">
        <v>24980</v>
      </c>
      <c r="K165" s="7">
        <v>24718</v>
      </c>
      <c r="L165" s="7">
        <v>32694</v>
      </c>
      <c r="M165" s="7">
        <v>32316</v>
      </c>
      <c r="N165" s="7">
        <v>33077</v>
      </c>
      <c r="O165" s="7">
        <v>32800</v>
      </c>
      <c r="P165" s="7">
        <v>34832</v>
      </c>
      <c r="Q165" s="7">
        <v>43874</v>
      </c>
      <c r="R165" s="7">
        <v>47992</v>
      </c>
      <c r="S165" s="7">
        <v>49578</v>
      </c>
      <c r="T165" s="7">
        <v>53810</v>
      </c>
      <c r="U165" s="7">
        <v>59100</v>
      </c>
      <c r="V165" s="7">
        <v>61935</v>
      </c>
      <c r="W165" s="7">
        <v>65676</v>
      </c>
      <c r="X165" s="7">
        <v>68611</v>
      </c>
      <c r="Y165" s="7">
        <v>75976</v>
      </c>
      <c r="Z165" s="7">
        <v>82924</v>
      </c>
      <c r="AA165" s="7">
        <v>94592</v>
      </c>
      <c r="AB165" s="7">
        <v>103800</v>
      </c>
      <c r="AC165" s="7">
        <v>109723</v>
      </c>
      <c r="AD165" s="7">
        <v>126213</v>
      </c>
      <c r="AE165" s="7">
        <v>145730</v>
      </c>
      <c r="AF165" s="7">
        <v>153602</v>
      </c>
      <c r="AG165" s="7">
        <v>167228</v>
      </c>
      <c r="AH165" s="7">
        <v>190373</v>
      </c>
      <c r="AI165" s="7">
        <v>228428</v>
      </c>
      <c r="AJ165" s="7">
        <v>165205</v>
      </c>
      <c r="AK165" s="7">
        <v>176372</v>
      </c>
      <c r="AL165" s="7">
        <v>195180</v>
      </c>
      <c r="AM165" s="7">
        <v>227047</v>
      </c>
      <c r="AN165" s="7">
        <v>271823</v>
      </c>
      <c r="AO165" s="7">
        <v>327378</v>
      </c>
      <c r="AP165" s="7">
        <v>356520</v>
      </c>
      <c r="AQ165" s="7">
        <v>383423</v>
      </c>
      <c r="AR165" s="7">
        <v>394163</v>
      </c>
      <c r="AS165" s="7">
        <v>401994</v>
      </c>
      <c r="AT165" s="7">
        <v>436676</v>
      </c>
      <c r="AU165" s="7">
        <v>479653</v>
      </c>
      <c r="AV165" s="7">
        <v>477971</v>
      </c>
      <c r="AW165" s="7">
        <v>522356</v>
      </c>
      <c r="AX165" s="7">
        <v>576096</v>
      </c>
      <c r="AY165" s="7">
        <v>597901</v>
      </c>
      <c r="AZ165" s="7">
        <v>626310</v>
      </c>
      <c r="BA165" s="7">
        <v>649415</v>
      </c>
      <c r="BB165" s="7">
        <v>682817</v>
      </c>
      <c r="BC165" s="7">
        <v>719258</v>
      </c>
      <c r="BD165" s="7">
        <v>796530</v>
      </c>
      <c r="BE165" s="7">
        <v>877498</v>
      </c>
      <c r="BF165" s="7">
        <v>927011</v>
      </c>
      <c r="BG165" s="7">
        <v>992089</v>
      </c>
      <c r="BH165" s="7">
        <v>1049696</v>
      </c>
      <c r="BI165" s="7">
        <v>1228170</v>
      </c>
      <c r="BJ165" s="7">
        <v>1541422</v>
      </c>
      <c r="BK165" s="7">
        <v>1437691</v>
      </c>
      <c r="BL165" s="7">
        <v>1457412</v>
      </c>
      <c r="BM165" s="7">
        <v>1402680</v>
      </c>
      <c r="BN165" s="7">
        <v>1499936</v>
      </c>
      <c r="BO165" s="7">
        <v>1699382</v>
      </c>
      <c r="BP165" s="7">
        <v>1812989</v>
      </c>
      <c r="BQ165" s="7">
        <v>1898892</v>
      </c>
      <c r="BR165" s="7">
        <v>1668971</v>
      </c>
      <c r="BS165" s="7">
        <v>1582043</v>
      </c>
      <c r="BT165" s="7">
        <v>1738907</v>
      </c>
      <c r="BU165" s="7">
        <v>1762612</v>
      </c>
      <c r="BV165" s="7">
        <v>1830684</v>
      </c>
      <c r="BW165" s="7">
        <v>1931206</v>
      </c>
      <c r="BX165" s="7">
        <v>2079753</v>
      </c>
      <c r="BY165" s="7">
        <v>2104094</v>
      </c>
      <c r="BZ165" s="7">
        <v>2288325</v>
      </c>
      <c r="CA165" s="7">
        <v>2369669</v>
      </c>
      <c r="CB165" s="7">
        <v>2690361</v>
      </c>
      <c r="CC165" s="7">
        <v>2920483</v>
      </c>
      <c r="CD165" s="7">
        <v>2764601</v>
      </c>
      <c r="CE165" s="7">
        <v>3194373</v>
      </c>
      <c r="CF165" s="7">
        <v>3595291</v>
      </c>
      <c r="CG165" s="7">
        <v>3852249</v>
      </c>
      <c r="CH165" s="7">
        <v>3956144</v>
      </c>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c r="DR165" s="7"/>
      <c r="DS165" s="7"/>
      <c r="DT165" s="7"/>
      <c r="DU165" s="7"/>
      <c r="DV165" s="7"/>
      <c r="DW165" s="7"/>
      <c r="DX165" s="7"/>
      <c r="DY165" s="7"/>
      <c r="DZ165" s="7"/>
      <c r="EA165" s="7"/>
      <c r="EB165" s="7"/>
      <c r="EC165" s="7"/>
      <c r="ED165" s="7"/>
      <c r="EE165" s="7"/>
      <c r="EF165" s="7"/>
      <c r="EG165" s="7"/>
      <c r="EH165" s="7"/>
      <c r="EI165" s="7"/>
      <c r="EJ165" s="7"/>
      <c r="EK165" s="7"/>
      <c r="EL165" s="7"/>
      <c r="EM165" s="7"/>
      <c r="EN165" s="7"/>
      <c r="EO165" s="7"/>
      <c r="EP165" s="7"/>
      <c r="EQ165" s="7"/>
      <c r="ER165" s="7"/>
      <c r="ES165" s="7"/>
      <c r="ET165" s="7"/>
      <c r="EU165" s="7"/>
      <c r="EV165" s="7"/>
      <c r="EW165" s="7"/>
      <c r="EX165" s="7"/>
      <c r="EY165" s="7"/>
      <c r="EZ165" s="7"/>
      <c r="FA165" s="7"/>
      <c r="FB165" s="7"/>
      <c r="FC165" s="7"/>
      <c r="FD165" s="7"/>
      <c r="FE165" s="7"/>
      <c r="FF165" s="7"/>
      <c r="FG165" s="7"/>
      <c r="FH165" s="7"/>
      <c r="FI165" s="7"/>
      <c r="FJ165" s="7"/>
    </row>
    <row r="166" spans="1:166">
      <c r="A166" s="7" t="s">
        <v>421</v>
      </c>
      <c r="B166" s="7" t="s">
        <v>88</v>
      </c>
      <c r="C166" s="7">
        <v>1000000</v>
      </c>
      <c r="D166" s="7" t="s">
        <v>89</v>
      </c>
      <c r="E166" s="7" t="s">
        <v>610</v>
      </c>
      <c r="F166" s="8" t="s">
        <v>611</v>
      </c>
      <c r="G166" s="7">
        <v>10105</v>
      </c>
      <c r="H166" s="7">
        <v>8147</v>
      </c>
      <c r="I166" s="7">
        <v>10333</v>
      </c>
      <c r="J166" s="7">
        <v>11108</v>
      </c>
      <c r="K166" s="7">
        <v>8806</v>
      </c>
      <c r="L166" s="7">
        <v>16061</v>
      </c>
      <c r="M166" s="7">
        <v>20537</v>
      </c>
      <c r="N166" s="7">
        <v>17381</v>
      </c>
      <c r="O166" s="7">
        <v>17986</v>
      </c>
      <c r="P166" s="7">
        <v>14767</v>
      </c>
      <c r="Q166" s="7">
        <v>18430</v>
      </c>
      <c r="R166" s="7">
        <v>16754</v>
      </c>
      <c r="S166" s="7">
        <v>14621</v>
      </c>
      <c r="T166" s="7">
        <v>12026</v>
      </c>
      <c r="U166" s="7">
        <v>14150</v>
      </c>
      <c r="V166" s="7">
        <v>12560</v>
      </c>
      <c r="W166" s="7">
        <v>13274</v>
      </c>
      <c r="X166" s="7">
        <v>14355</v>
      </c>
      <c r="Y166" s="7">
        <v>15744</v>
      </c>
      <c r="Z166" s="7">
        <v>16211</v>
      </c>
      <c r="AA166" s="7">
        <v>18294</v>
      </c>
      <c r="AB166" s="7">
        <v>17414</v>
      </c>
      <c r="AC166" s="7">
        <v>13225</v>
      </c>
      <c r="AD166" s="7">
        <v>14330</v>
      </c>
      <c r="AE166" s="7">
        <v>12628</v>
      </c>
      <c r="AF166" s="7">
        <v>9996</v>
      </c>
      <c r="AG166" s="7">
        <v>13086</v>
      </c>
      <c r="AH166" s="7">
        <v>15521</v>
      </c>
      <c r="AI166" s="7">
        <v>19305</v>
      </c>
      <c r="AJ166" s="7">
        <v>24516</v>
      </c>
      <c r="AK166" s="7">
        <v>22292</v>
      </c>
      <c r="AL166" s="7">
        <v>27790</v>
      </c>
      <c r="AM166" s="7">
        <v>29134</v>
      </c>
      <c r="AN166" s="7">
        <v>34055</v>
      </c>
      <c r="AO166" s="7">
        <v>40986</v>
      </c>
      <c r="AP166" s="7">
        <v>43864</v>
      </c>
      <c r="AQ166" s="7">
        <v>39864</v>
      </c>
      <c r="AR166" s="7">
        <v>35585</v>
      </c>
      <c r="AS166" s="7">
        <v>38646</v>
      </c>
      <c r="AT166" s="7">
        <v>42167</v>
      </c>
      <c r="AU166" s="7">
        <v>39009</v>
      </c>
      <c r="AV166" s="7">
        <v>42784</v>
      </c>
      <c r="AW166" s="7">
        <v>47866</v>
      </c>
      <c r="AX166" s="7">
        <v>44371</v>
      </c>
      <c r="AY166" s="7">
        <v>38289</v>
      </c>
      <c r="AZ166" s="7">
        <v>38302</v>
      </c>
      <c r="BA166" s="7">
        <v>28892</v>
      </c>
      <c r="BB166" s="7">
        <v>35344</v>
      </c>
      <c r="BC166" s="7">
        <v>40725</v>
      </c>
      <c r="BD166" s="7">
        <v>40315</v>
      </c>
      <c r="BE166" s="7">
        <v>40309</v>
      </c>
      <c r="BF166" s="7">
        <v>49872</v>
      </c>
      <c r="BG166" s="7">
        <v>59214</v>
      </c>
      <c r="BH166" s="7">
        <v>64058</v>
      </c>
      <c r="BI166" s="7">
        <v>71032</v>
      </c>
      <c r="BJ166" s="7">
        <v>77992</v>
      </c>
      <c r="BK166" s="7">
        <v>81045</v>
      </c>
      <c r="BL166" s="7">
        <v>92954</v>
      </c>
      <c r="BM166" s="7">
        <v>81222</v>
      </c>
      <c r="BN166" s="7">
        <v>87996</v>
      </c>
      <c r="BO166" s="7">
        <v>86222</v>
      </c>
      <c r="BP166" s="7">
        <v>85421</v>
      </c>
      <c r="BQ166" s="7">
        <v>35828</v>
      </c>
      <c r="BR166" s="7">
        <v>38954</v>
      </c>
      <c r="BS166" s="7">
        <v>35700</v>
      </c>
      <c r="BT166" s="7">
        <v>78398</v>
      </c>
      <c r="BU166" s="7">
        <v>91745</v>
      </c>
      <c r="BV166" s="7">
        <v>93102</v>
      </c>
      <c r="BW166" s="7">
        <v>83191</v>
      </c>
      <c r="BX166" s="7">
        <v>95409</v>
      </c>
      <c r="BY166" s="7">
        <v>74206</v>
      </c>
      <c r="BZ166" s="7">
        <v>66113</v>
      </c>
      <c r="CA166" s="7">
        <v>286554</v>
      </c>
      <c r="CB166" s="7">
        <v>275257</v>
      </c>
      <c r="CC166" s="7">
        <v>267738</v>
      </c>
      <c r="CD166" s="7">
        <v>275391</v>
      </c>
      <c r="CE166" s="7">
        <v>249846</v>
      </c>
      <c r="CF166" s="7">
        <v>265597</v>
      </c>
      <c r="CG166" s="7">
        <v>249704</v>
      </c>
      <c r="CH166" s="7">
        <v>238976</v>
      </c>
      <c r="CI166" s="7"/>
      <c r="CJ166" s="7"/>
      <c r="CK166" s="7"/>
      <c r="CL166" s="7"/>
      <c r="CM166" s="7"/>
      <c r="CN166" s="7"/>
      <c r="CO166" s="7"/>
      <c r="CP166" s="7"/>
      <c r="CQ166" s="7"/>
      <c r="CR166" s="7"/>
      <c r="CS166" s="7"/>
      <c r="CT166" s="7"/>
      <c r="CU166" s="7"/>
      <c r="CV166" s="7"/>
      <c r="CW166" s="7"/>
      <c r="CX166" s="7"/>
      <c r="CY166" s="7"/>
      <c r="CZ166" s="7"/>
      <c r="DA166" s="7"/>
      <c r="DB166" s="7"/>
      <c r="DC166" s="7"/>
      <c r="DD166" s="7"/>
      <c r="DE166" s="7"/>
      <c r="DF166" s="7"/>
      <c r="DG166" s="7"/>
      <c r="DH166" s="7"/>
      <c r="DI166" s="7"/>
      <c r="DJ166" s="7"/>
      <c r="DK166" s="7"/>
      <c r="DL166" s="7"/>
      <c r="DM166" s="7"/>
      <c r="DN166" s="7"/>
      <c r="DO166" s="7"/>
      <c r="DP166" s="7"/>
      <c r="DQ166" s="7"/>
      <c r="DR166" s="7"/>
      <c r="DS166" s="7"/>
      <c r="DT166" s="7"/>
      <c r="DU166" s="7"/>
      <c r="DV166" s="7"/>
      <c r="DW166" s="7"/>
      <c r="DX166" s="7"/>
      <c r="DY166" s="7"/>
      <c r="DZ166" s="7"/>
      <c r="EA166" s="7"/>
      <c r="EB166" s="7"/>
      <c r="EC166" s="7"/>
      <c r="ED166" s="7"/>
      <c r="EE166" s="7"/>
      <c r="EF166" s="7"/>
      <c r="EG166" s="7"/>
      <c r="EH166" s="7"/>
      <c r="EI166" s="7"/>
      <c r="EJ166" s="7"/>
      <c r="EK166" s="7"/>
      <c r="EL166" s="7"/>
      <c r="EM166" s="7"/>
      <c r="EN166" s="7"/>
      <c r="EO166" s="7"/>
      <c r="EP166" s="7"/>
      <c r="EQ166" s="7"/>
      <c r="ER166" s="7"/>
      <c r="ES166" s="7"/>
      <c r="ET166" s="7"/>
      <c r="EU166" s="7"/>
      <c r="EV166" s="7"/>
      <c r="EW166" s="7"/>
      <c r="EX166" s="7"/>
      <c r="EY166" s="7"/>
      <c r="EZ166" s="7"/>
      <c r="FA166" s="7"/>
      <c r="FB166" s="7"/>
      <c r="FC166" s="7"/>
      <c r="FD166" s="7"/>
      <c r="FE166" s="7"/>
      <c r="FF166" s="7"/>
      <c r="FG166" s="7"/>
      <c r="FH166" s="7"/>
      <c r="FI166" s="7"/>
      <c r="FJ166" s="7"/>
    </row>
    <row r="167" spans="1:166">
      <c r="A167" s="7" t="s">
        <v>424</v>
      </c>
      <c r="B167" s="7" t="s">
        <v>88</v>
      </c>
      <c r="C167" s="7">
        <v>1000000</v>
      </c>
      <c r="D167" s="7" t="s">
        <v>89</v>
      </c>
      <c r="E167" s="7" t="s">
        <v>612</v>
      </c>
      <c r="F167" s="8" t="s">
        <v>613</v>
      </c>
      <c r="G167" s="7">
        <v>1424</v>
      </c>
      <c r="H167" s="7">
        <v>2932</v>
      </c>
      <c r="I167" s="7">
        <v>4595</v>
      </c>
      <c r="J167" s="7">
        <v>6331</v>
      </c>
      <c r="K167" s="7">
        <v>8076</v>
      </c>
      <c r="L167" s="7">
        <v>10690</v>
      </c>
      <c r="M167" s="7">
        <v>29827</v>
      </c>
      <c r="N167" s="7">
        <v>27275</v>
      </c>
      <c r="O167" s="7">
        <v>23284</v>
      </c>
      <c r="P167" s="7">
        <v>73187</v>
      </c>
      <c r="Q167" s="7">
        <v>121670</v>
      </c>
      <c r="R167" s="7">
        <v>143517</v>
      </c>
      <c r="S167" s="7">
        <v>118615</v>
      </c>
      <c r="T167" s="7">
        <v>196031</v>
      </c>
      <c r="U167" s="7">
        <v>231978</v>
      </c>
      <c r="V167" s="7">
        <v>233732</v>
      </c>
      <c r="W167" s="7">
        <v>304657</v>
      </c>
      <c r="X167" s="7">
        <v>305315</v>
      </c>
      <c r="Y167" s="7">
        <v>306164</v>
      </c>
      <c r="Z167" s="7">
        <v>306979</v>
      </c>
      <c r="AA167" s="7">
        <v>307905</v>
      </c>
      <c r="AB167" s="7">
        <v>308656</v>
      </c>
      <c r="AC167" s="7">
        <v>312093</v>
      </c>
      <c r="AD167" s="7">
        <v>312261</v>
      </c>
      <c r="AE167" s="7">
        <v>315704</v>
      </c>
      <c r="AF167" s="7">
        <v>304762</v>
      </c>
      <c r="AG167" s="7">
        <v>305222</v>
      </c>
      <c r="AH167" s="7">
        <v>306033</v>
      </c>
      <c r="AI167" s="7">
        <v>309963</v>
      </c>
      <c r="AJ167" s="7">
        <v>313510</v>
      </c>
      <c r="AK167" s="7">
        <v>604481</v>
      </c>
      <c r="AL167" s="7">
        <v>636396</v>
      </c>
      <c r="AM167" s="7">
        <v>672108</v>
      </c>
      <c r="AN167" s="7">
        <v>741535</v>
      </c>
      <c r="AO167" s="7">
        <v>847601</v>
      </c>
      <c r="AP167" s="7">
        <v>965412</v>
      </c>
      <c r="AQ167" s="7">
        <v>1100619</v>
      </c>
      <c r="AR167" s="7">
        <v>1155674</v>
      </c>
      <c r="AS167" s="7">
        <v>1178617</v>
      </c>
      <c r="AT167" s="7">
        <v>1242138</v>
      </c>
      <c r="AU167" s="7">
        <v>1391285</v>
      </c>
      <c r="AV167" s="7">
        <v>1345043</v>
      </c>
      <c r="AW167" s="7">
        <v>1357771</v>
      </c>
      <c r="AX167" s="7">
        <v>1503254</v>
      </c>
      <c r="AY167" s="7">
        <v>1609986</v>
      </c>
      <c r="AZ167" s="7">
        <v>1631627</v>
      </c>
      <c r="BA167" s="7">
        <v>1772571</v>
      </c>
      <c r="BB167" s="7">
        <v>1985962</v>
      </c>
      <c r="BC167" s="7">
        <v>2047397</v>
      </c>
      <c r="BD167" s="7">
        <v>1998389</v>
      </c>
      <c r="BE167" s="7">
        <v>2090302</v>
      </c>
      <c r="BF167" s="7">
        <v>2236710</v>
      </c>
      <c r="BG167" s="7">
        <v>2113701</v>
      </c>
      <c r="BH167" s="7">
        <v>2454483</v>
      </c>
      <c r="BI167" s="7">
        <v>2777776</v>
      </c>
      <c r="BJ167" s="7">
        <v>3279763</v>
      </c>
      <c r="BK167" s="7">
        <v>3413229</v>
      </c>
      <c r="BL167" s="7">
        <v>3515672</v>
      </c>
      <c r="BM167" s="7">
        <v>3546995</v>
      </c>
      <c r="BN167" s="7">
        <v>3745892</v>
      </c>
      <c r="BO167" s="7">
        <v>4091559</v>
      </c>
      <c r="BP167" s="7">
        <v>4147328</v>
      </c>
      <c r="BQ167" s="7">
        <v>4492455</v>
      </c>
      <c r="BR167" s="7">
        <v>4705956</v>
      </c>
      <c r="BS167" s="7">
        <v>4931204</v>
      </c>
      <c r="BT167" s="7">
        <v>5145024</v>
      </c>
      <c r="BU167" s="7">
        <v>5413822</v>
      </c>
      <c r="BV167" s="7">
        <v>5794751</v>
      </c>
      <c r="BW167" s="7">
        <v>5986896</v>
      </c>
      <c r="BX167" s="7">
        <v>6453243</v>
      </c>
      <c r="BY167" s="7">
        <v>7146057</v>
      </c>
      <c r="BZ167" s="7">
        <v>7719037</v>
      </c>
      <c r="CA167" s="7">
        <v>7236896</v>
      </c>
      <c r="CB167" s="7">
        <v>7563807</v>
      </c>
      <c r="CC167" s="7">
        <v>9426403</v>
      </c>
      <c r="CD167" s="7">
        <v>8650435</v>
      </c>
      <c r="CE167" s="7">
        <v>8456745</v>
      </c>
      <c r="CF167" s="7">
        <v>10428417</v>
      </c>
      <c r="CG167" s="7">
        <v>11472385</v>
      </c>
      <c r="CH167" s="7">
        <v>11515043</v>
      </c>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c r="DR167" s="7"/>
      <c r="DS167" s="7"/>
      <c r="DT167" s="7"/>
      <c r="DU167" s="7"/>
      <c r="DV167" s="7"/>
      <c r="DW167" s="7"/>
      <c r="DX167" s="7"/>
      <c r="DY167" s="7"/>
      <c r="DZ167" s="7"/>
      <c r="EA167" s="7"/>
      <c r="EB167" s="7"/>
      <c r="EC167" s="7"/>
      <c r="ED167" s="7"/>
      <c r="EE167" s="7"/>
      <c r="EF167" s="7"/>
      <c r="EG167" s="7"/>
      <c r="EH167" s="7"/>
      <c r="EI167" s="7"/>
      <c r="EJ167" s="7"/>
      <c r="EK167" s="7"/>
      <c r="EL167" s="7"/>
      <c r="EM167" s="7"/>
      <c r="EN167" s="7"/>
      <c r="EO167" s="7"/>
      <c r="EP167" s="7"/>
      <c r="EQ167" s="7"/>
      <c r="ER167" s="7"/>
      <c r="ES167" s="7"/>
      <c r="ET167" s="7"/>
      <c r="EU167" s="7"/>
      <c r="EV167" s="7"/>
      <c r="EW167" s="7"/>
      <c r="EX167" s="7"/>
      <c r="EY167" s="7"/>
      <c r="EZ167" s="7"/>
      <c r="FA167" s="7"/>
      <c r="FB167" s="7"/>
      <c r="FC167" s="7"/>
      <c r="FD167" s="7"/>
      <c r="FE167" s="7"/>
      <c r="FF167" s="7"/>
      <c r="FG167" s="7"/>
      <c r="FH167" s="7"/>
      <c r="FI167" s="7"/>
      <c r="FJ167" s="7"/>
    </row>
    <row r="168" spans="1:166">
      <c r="A168" s="7" t="s">
        <v>486</v>
      </c>
      <c r="B168" s="7" t="s">
        <v>88</v>
      </c>
      <c r="C168" s="7">
        <v>1000000</v>
      </c>
      <c r="D168" s="7" t="s">
        <v>89</v>
      </c>
      <c r="E168" s="7" t="s">
        <v>614</v>
      </c>
      <c r="F168" s="8" t="s">
        <v>615</v>
      </c>
      <c r="G168" s="7">
        <v>94234</v>
      </c>
      <c r="H168" s="7">
        <v>114119</v>
      </c>
      <c r="I168" s="7">
        <v>152060</v>
      </c>
      <c r="J168" s="7">
        <v>175681</v>
      </c>
      <c r="K168" s="7">
        <v>174202</v>
      </c>
      <c r="L168" s="7">
        <v>173704</v>
      </c>
      <c r="M168" s="7">
        <v>166309</v>
      </c>
      <c r="N168" s="7">
        <v>188854</v>
      </c>
      <c r="O168" s="7">
        <v>209350</v>
      </c>
      <c r="P168" s="7">
        <v>119119</v>
      </c>
      <c r="Q168" s="7">
        <v>56114</v>
      </c>
      <c r="R168" s="7">
        <v>53576</v>
      </c>
      <c r="S168" s="7">
        <v>124162</v>
      </c>
      <c r="T168" s="7">
        <v>-16696</v>
      </c>
      <c r="U168" s="7">
        <v>-67477</v>
      </c>
      <c r="V168" s="7">
        <v>-67065</v>
      </c>
      <c r="W168" s="7">
        <v>-188619</v>
      </c>
      <c r="X168" s="7">
        <v>-156064</v>
      </c>
      <c r="Y168" s="7">
        <v>-174746</v>
      </c>
      <c r="Z168" s="7">
        <v>-221358</v>
      </c>
      <c r="AA168" s="7">
        <v>-247626</v>
      </c>
      <c r="AB168" s="7">
        <v>-129105</v>
      </c>
      <c r="AC168" s="7">
        <v>-235510</v>
      </c>
      <c r="AD168" s="7">
        <v>-300195</v>
      </c>
      <c r="AE168" s="7">
        <v>-92032</v>
      </c>
      <c r="AF168" s="7">
        <v>-16090</v>
      </c>
      <c r="AG168" s="7">
        <v>-26916</v>
      </c>
      <c r="AH168" s="7">
        <v>-90139</v>
      </c>
      <c r="AI168" s="7">
        <v>280546</v>
      </c>
      <c r="AJ168" s="7">
        <v>890974</v>
      </c>
      <c r="AK168" s="7">
        <v>740922</v>
      </c>
      <c r="AL168" s="7">
        <v>819237</v>
      </c>
      <c r="AM168" s="7">
        <v>1143942</v>
      </c>
      <c r="AN168" s="7">
        <v>1431423</v>
      </c>
      <c r="AO168" s="7">
        <v>1685892</v>
      </c>
      <c r="AP168" s="7">
        <v>1779612</v>
      </c>
      <c r="AQ168" s="7">
        <v>2241725</v>
      </c>
      <c r="AR168" s="7">
        <v>2350007</v>
      </c>
      <c r="AS168" s="7">
        <v>2303951</v>
      </c>
      <c r="AT168" s="7">
        <v>2549138</v>
      </c>
      <c r="AU168" s="7">
        <v>2484300</v>
      </c>
      <c r="AV168" s="7">
        <v>2345455</v>
      </c>
      <c r="AW168" s="7">
        <v>2457307</v>
      </c>
      <c r="AX168" s="7">
        <v>2458206</v>
      </c>
      <c r="AY168" s="7">
        <v>2095570</v>
      </c>
      <c r="AZ168" s="7">
        <v>2116276</v>
      </c>
      <c r="BA168" s="7">
        <v>986686</v>
      </c>
      <c r="BB168" s="7">
        <v>202675</v>
      </c>
      <c r="BC168" s="7">
        <v>92900</v>
      </c>
      <c r="BD168" s="7">
        <v>567771</v>
      </c>
      <c r="BE168" s="7">
        <v>-514882</v>
      </c>
      <c r="BF168" s="7">
        <v>-882002</v>
      </c>
      <c r="BG168" s="7">
        <v>-1848535</v>
      </c>
      <c r="BH168" s="7">
        <v>-3730197</v>
      </c>
      <c r="BI168" s="7">
        <v>-6356062</v>
      </c>
      <c r="BJ168" s="7">
        <v>-3318456</v>
      </c>
      <c r="BK168" s="7">
        <v>-2563288</v>
      </c>
      <c r="BL168" s="7">
        <v>351343</v>
      </c>
      <c r="BM168" s="7">
        <v>-1390187</v>
      </c>
      <c r="BN168" s="7">
        <v>-1112647</v>
      </c>
      <c r="BO168" s="7">
        <v>-77032</v>
      </c>
      <c r="BP168" s="7">
        <v>54342</v>
      </c>
      <c r="BQ168" s="7">
        <v>376153</v>
      </c>
      <c r="BR168" s="7">
        <v>2440548</v>
      </c>
      <c r="BS168" s="7">
        <v>-1530876</v>
      </c>
      <c r="BT168" s="7">
        <v>-3981391</v>
      </c>
      <c r="BU168" s="7">
        <v>-4034802</v>
      </c>
      <c r="BV168" s="7">
        <v>-5457543</v>
      </c>
      <c r="BW168" s="7">
        <v>-9369167</v>
      </c>
      <c r="BX168" s="7">
        <v>-11659624</v>
      </c>
      <c r="BY168" s="7">
        <v>-10766905</v>
      </c>
      <c r="BZ168" s="7">
        <v>-11805883</v>
      </c>
      <c r="CA168" s="7">
        <v>-14228802</v>
      </c>
      <c r="CB168" s="7">
        <v>-12608760</v>
      </c>
      <c r="CC168" s="7">
        <v>-18256226</v>
      </c>
      <c r="CD168" s="7">
        <v>-25998644</v>
      </c>
      <c r="CE168" s="7">
        <v>-33470561</v>
      </c>
      <c r="CF168" s="7">
        <v>-20937221</v>
      </c>
      <c r="CG168" s="7">
        <v>-31609866</v>
      </c>
      <c r="CH168" s="7">
        <v>-43723326</v>
      </c>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c r="ER168" s="7"/>
      <c r="ES168" s="7"/>
      <c r="ET168" s="7"/>
      <c r="EU168" s="7"/>
      <c r="EV168" s="7"/>
      <c r="EW168" s="7"/>
      <c r="EX168" s="7"/>
      <c r="EY168" s="7"/>
      <c r="EZ168" s="7"/>
      <c r="FA168" s="7"/>
      <c r="FB168" s="7"/>
      <c r="FC168" s="7"/>
      <c r="FD168" s="7"/>
      <c r="FE168" s="7"/>
      <c r="FF168" s="7"/>
      <c r="FG168" s="7"/>
      <c r="FH168" s="7"/>
      <c r="FI168" s="7"/>
      <c r="FJ168" s="7"/>
    </row>
    <row r="172" spans="1:166">
      <c r="A172" t="s">
        <v>1855</v>
      </c>
      <c r="H172">
        <f>(H17-H13)/'B1'!H16</f>
        <v>3.7810215632805518E-2</v>
      </c>
      <c r="I172">
        <f>(I17-I13)/'B1'!I16</f>
        <v>4.1554780802611081E-2</v>
      </c>
      <c r="J172">
        <f>(J17-J13)/'B1'!J16</f>
        <v>4.5228878559813501E-2</v>
      </c>
      <c r="K172">
        <f>(K17-K13)/'B1'!K16</f>
        <v>4.6295028078345429E-2</v>
      </c>
      <c r="L172">
        <f>(L17-L13)/'B1'!L16</f>
        <v>4.532629264920849E-2</v>
      </c>
      <c r="M172">
        <f>(M17-M13)/'B1'!M16</f>
        <v>3.3783542836765622E-2</v>
      </c>
      <c r="N172">
        <f>(N17-N13)/'B1'!N16</f>
        <v>3.4600786381508673E-2</v>
      </c>
      <c r="O172">
        <f>(O17-O13)/'B1'!O16</f>
        <v>3.7232014479371946E-2</v>
      </c>
      <c r="P172">
        <f>(P17-P13)/'B1'!P16</f>
        <v>2.7127991872329952E-2</v>
      </c>
      <c r="Q172">
        <f>(Q17-Q13)/'B1'!Q16</f>
        <v>2.2379954450632525E-2</v>
      </c>
      <c r="R172">
        <f>(R17-R13)/'B1'!R16</f>
        <v>2.0980915473134142E-2</v>
      </c>
      <c r="S172">
        <f>(S17-S13)/'B1'!S16</f>
        <v>2.443908317721907E-2</v>
      </c>
      <c r="T172">
        <f>(T17-T13)/'B1'!T16</f>
        <v>1.9019475929726554E-2</v>
      </c>
      <c r="U172">
        <f>(U17-U13)/'B1'!U16</f>
        <v>1.8045546179939399E-2</v>
      </c>
      <c r="V172">
        <f>(V17-V13)/'B1'!V16</f>
        <v>1.8602397392827912E-2</v>
      </c>
      <c r="W172">
        <f>(W17-W13)/'B1'!W16</f>
        <v>1.6502601413422361E-2</v>
      </c>
      <c r="X172">
        <f>(X17-X13)/'B1'!X16</f>
        <v>1.8558676873463114E-2</v>
      </c>
      <c r="Y172">
        <f>(Y17-Y13)/'B1'!Y16</f>
        <v>1.8719280386983082E-2</v>
      </c>
      <c r="Z172">
        <f>(Z17-Z13)/'B1'!Z16</f>
        <v>1.9343319221671904E-2</v>
      </c>
      <c r="AA172">
        <f>(AA17-AA13)/'B1'!AA16</f>
        <v>2.0577244932236595E-2</v>
      </c>
      <c r="AB172">
        <f>(AB17-AB13)/'B1'!AB16</f>
        <v>2.3118966282372529E-2</v>
      </c>
      <c r="AC172">
        <f>(AC17-AC13)/'B1'!AC16</f>
        <v>2.1384938592245634E-2</v>
      </c>
      <c r="AD172">
        <f>(AD17-AD13)/'B1'!AD16</f>
        <v>2.1022971697413489E-2</v>
      </c>
      <c r="AE172">
        <f>(AE17-AE13)/'B1'!AE16</f>
        <v>2.5378117112376294E-2</v>
      </c>
      <c r="AF172">
        <f>(AF17-AF13)/'B1'!AF16</f>
        <v>2.7552786373579469E-2</v>
      </c>
      <c r="AG172">
        <f>(AG17-AG13)/'B1'!AG16</f>
        <v>2.5802162400370785E-2</v>
      </c>
      <c r="AH172">
        <f>(AH17-AH13)/'B1'!AH16</f>
        <v>2.3509201173017389E-2</v>
      </c>
      <c r="AI172">
        <f>(AI17-AI13)/'B1'!AI16</f>
        <v>2.7842181565775274E-2</v>
      </c>
      <c r="AJ172">
        <f>(AJ17-AJ13)/'B1'!AJ16</f>
        <v>4.2019104772394934E-2</v>
      </c>
      <c r="AK172">
        <f>(AK17-AK13)/'B1'!AK16</f>
        <v>3.5331848091516953E-2</v>
      </c>
      <c r="AL172">
        <f>(AL17-AL13)/'B1'!AL16</f>
        <v>3.2852990290061231E-2</v>
      </c>
      <c r="AM172">
        <f>(AM17-AM13)/'B1'!AM16</f>
        <v>3.8126367562965516E-2</v>
      </c>
      <c r="AN172">
        <f>(AN17-AN13)/'B1'!AN16</f>
        <v>3.9625663613934922E-2</v>
      </c>
      <c r="AO172">
        <f>(AO17-AO13)/'B1'!AO16</f>
        <v>3.6193192955903737E-2</v>
      </c>
      <c r="AP172">
        <f>(AP17-AP13)/'B1'!AP16</f>
        <v>3.9511981775237556E-2</v>
      </c>
      <c r="AQ172">
        <f>(AQ17-AQ13)/'B1'!AQ16</f>
        <v>5.1656414608397261E-2</v>
      </c>
      <c r="AR172">
        <f>(AR17-AR13)/'B1'!AR16</f>
        <v>5.3498538964157898E-2</v>
      </c>
      <c r="AS172">
        <f>(AS17-AS13)/'B1'!AS16</f>
        <v>5.0096801728699805E-2</v>
      </c>
      <c r="AT172">
        <f>(AT17-AT13)/'B1'!AT16</f>
        <v>5.4455091982168642E-2</v>
      </c>
      <c r="AU172">
        <f>(AU17-AU13)/'B1'!AU16</f>
        <v>5.0949248833282293E-2</v>
      </c>
      <c r="AV172">
        <f>(AV17-AV13)/'B1'!AV16</f>
        <v>5.0604089894081453E-2</v>
      </c>
      <c r="AW172">
        <f>(AW17-AW13)/'B1'!AW16</f>
        <v>4.8859233299388787E-2</v>
      </c>
      <c r="AX172">
        <f>(AX17-AX13)/'B1'!AX16</f>
        <v>5.2421334955185937E-2</v>
      </c>
      <c r="AY172">
        <f>(AY17-AY13)/'B1'!AY16</f>
        <v>5.2899230996067331E-2</v>
      </c>
      <c r="AZ172">
        <f>(AZ17-AZ13)/'B1'!AZ16</f>
        <v>5.3283923939416063E-2</v>
      </c>
      <c r="BA172">
        <f>(BA17-BA13)/'B1'!BA16</f>
        <v>4.2560238529961061E-2</v>
      </c>
      <c r="BB172">
        <f>(BB17-BB13)/'B1'!BB16</f>
        <v>3.6641530878591053E-2</v>
      </c>
      <c r="BC172">
        <f>(BC17-BC13)/'B1'!BC16</f>
        <v>3.4047571307577816E-2</v>
      </c>
      <c r="BD172">
        <f>(BD17-BD13)/'B1'!BD16</f>
        <v>3.8193212910167133E-2</v>
      </c>
      <c r="BE172">
        <f>(BE17-BE13)/'B1'!BE16</f>
        <v>3.2455064979100216E-2</v>
      </c>
      <c r="BF172">
        <f>(BF17-BF13)/'B1'!BF16</f>
        <v>3.0714682406990098E-2</v>
      </c>
      <c r="BG172">
        <f>(BG17-BG13)/'B1'!BG16</f>
        <v>2.7598990267477832E-2</v>
      </c>
      <c r="BH172">
        <f>(BH17-BH13)/'B1'!BH16</f>
        <v>2.5707555153909632E-2</v>
      </c>
      <c r="BI172">
        <f>(BI17-BI13)/'B1'!BI16</f>
        <v>1.9204110114541477E-2</v>
      </c>
      <c r="BJ172">
        <f>(BJ17-BJ13)/'B1'!BJ16</f>
        <v>2.4278668663231497E-2</v>
      </c>
      <c r="BK172">
        <f>(BK17-BK13)/'B1'!BK16</f>
        <v>2.6711908123433811E-2</v>
      </c>
      <c r="BL172">
        <f>(BL17-BL13)/'B1'!BL16</f>
        <v>3.2651648499118453E-2</v>
      </c>
      <c r="BM172">
        <f>(BM17-BM13)/'B1'!BM16</f>
        <v>2.7489313922062199E-2</v>
      </c>
      <c r="BN172">
        <f>(BN17-BN13)/'B1'!BN16</f>
        <v>2.9062900885733236E-2</v>
      </c>
      <c r="BO172">
        <f>(BO17-BO13)/'B1'!BO16</f>
        <v>2.5867890750366111E-2</v>
      </c>
      <c r="BP172">
        <f>(BP17-BP13)/'B1'!BP16</f>
        <v>3.2030004242614166E-2</v>
      </c>
      <c r="BQ172">
        <f>(BQ17-BQ13)/'B1'!BQ16</f>
        <v>3.3979641364440961E-2</v>
      </c>
      <c r="BR172">
        <f>(BR17-BR13)/'B1'!BR16</f>
        <v>4.5404901865175998E-2</v>
      </c>
      <c r="BS172">
        <f>(BS17-BS13)/'B1'!BS16</f>
        <v>3.1170957994351971E-2</v>
      </c>
      <c r="BT172">
        <f>(BT17-BT13)/'B1'!BT16</f>
        <v>2.5004494766706128E-2</v>
      </c>
      <c r="BU172">
        <f>(BU17-BU13)/'B1'!BU16</f>
        <v>2.7716750209938665E-2</v>
      </c>
      <c r="BV172">
        <f>(BV17-BV13)/'B1'!BV16</f>
        <v>2.9746752560684223E-2</v>
      </c>
      <c r="BW172">
        <f>(BW17-BW13)/'B1'!BW16</f>
        <v>2.2965260059904465E-2</v>
      </c>
      <c r="BX172">
        <f>(BX17-BX13)/'B1'!BX16</f>
        <v>2.3421174067547342E-2</v>
      </c>
      <c r="BY172">
        <f>(BY17-BY13)/'B1'!BY16</f>
        <v>2.6086101076477772E-2</v>
      </c>
      <c r="BZ172">
        <f>(BZ17-BZ13)/'B1'!BZ16</f>
        <v>2.6237500579033977E-2</v>
      </c>
      <c r="CA172">
        <f>(CA17-CA13)/'B1'!CA16</f>
        <v>2.3776221077483787E-2</v>
      </c>
      <c r="CB172">
        <f>(CB17-CB13)/'B1'!CB16</f>
        <v>2.6837496308644192E-2</v>
      </c>
      <c r="CC172">
        <f>(CC17-CC13)/'B1'!CC16</f>
        <v>2.3234190646865639E-2</v>
      </c>
      <c r="CD172">
        <f>(CD17-CD13)/'B1'!CD16</f>
        <v>2.0502571567762602E-2</v>
      </c>
      <c r="CE172">
        <f>(CE17-CE13)/'B1'!CE16</f>
        <v>2.3126349103344428E-2</v>
      </c>
      <c r="CF172">
        <f>(CF17-CF13)/'B1'!CF16</f>
        <v>2.9994332575293343E-2</v>
      </c>
      <c r="CG172">
        <f>(CG17-CG13)/'B1'!CG16</f>
        <v>2.543934969026623E-2</v>
      </c>
      <c r="CH172">
        <f>(CH17-CH13)/'B1'!CH16</f>
        <v>2.2344114924751031E-2</v>
      </c>
    </row>
    <row r="173" spans="1:166">
      <c r="A173" t="s">
        <v>1854</v>
      </c>
      <c r="H173">
        <f>H34/'B1'!H16</f>
        <v>-6.7118861568780219E-2</v>
      </c>
      <c r="I173">
        <f>I34/'B1'!I16</f>
        <v>-2.2565091610414659E-2</v>
      </c>
      <c r="J173">
        <f>J34/'B1'!J16</f>
        <v>-1.8779410283346046E-3</v>
      </c>
      <c r="K173">
        <f>K34/'B1'!K16</f>
        <v>4.6226544308998765E-2</v>
      </c>
      <c r="L173">
        <f>L34/'B1'!L16</f>
        <v>-1.9835918820609866E-2</v>
      </c>
      <c r="M173">
        <f>M34/'B1'!M16</f>
        <v>-3.5361504858696623E-2</v>
      </c>
      <c r="N173">
        <f>N34/'B1'!N16</f>
        <v>-4.4773744857837675E-3</v>
      </c>
      <c r="O173">
        <f>O34/'B1'!O16</f>
        <v>-1.0253159323622231E-2</v>
      </c>
      <c r="P173">
        <f>P34/'B1'!P16</f>
        <v>1.1528923273027873E-2</v>
      </c>
      <c r="Q173">
        <f>Q34/'B1'!Q16</f>
        <v>-3.7798319649384699E-4</v>
      </c>
      <c r="R173">
        <f>R34/'B1'!R16</f>
        <v>-1.0237535372092186E-2</v>
      </c>
      <c r="S173">
        <f>S34/'B1'!S16</f>
        <v>-3.9702564882470731E-3</v>
      </c>
      <c r="T173">
        <f>T34/'B1'!T16</f>
        <v>9.498667257104413E-3</v>
      </c>
      <c r="U173">
        <f>U34/'B1'!U16</f>
        <v>1.9208947476430185E-3</v>
      </c>
      <c r="V173">
        <f>V34/'B1'!V16</f>
        <v>1.094693175673879E-3</v>
      </c>
      <c r="W173">
        <f>W34/'B1'!W16</f>
        <v>3.3839225046177848E-3</v>
      </c>
      <c r="X173">
        <f>X34/'B1'!X16</f>
        <v>4.5295038399616686E-3</v>
      </c>
      <c r="Y173">
        <f>Y34/'B1'!Y16</f>
        <v>7.3673991995649862E-3</v>
      </c>
      <c r="Z173">
        <f>Z34/'B1'!Z16</f>
        <v>6.1016920035946625E-3</v>
      </c>
      <c r="AA173">
        <f>AA34/'B1'!AA16</f>
        <v>1.7390477153074845E-3</v>
      </c>
      <c r="AB173">
        <f>AB34/'B1'!AB16</f>
        <v>-7.2718996213873045E-3</v>
      </c>
      <c r="AC173">
        <f>AC34/'B1'!AC16</f>
        <v>-3.0371073690186839E-3</v>
      </c>
      <c r="AD173">
        <f>AD34/'B1'!AD16</f>
        <v>-4.9779948580498537E-3</v>
      </c>
      <c r="AE173">
        <f>AE34/'B1'!AE16</f>
        <v>-1.2484176932709564E-2</v>
      </c>
      <c r="AF173">
        <f>AF34/'B1'!AF16</f>
        <v>-1.168352851731313E-2</v>
      </c>
      <c r="AG173">
        <f>AG34/'B1'!AG16</f>
        <v>-4.7586484617780922E-3</v>
      </c>
      <c r="AH173">
        <f>AH34/'B1'!AH16</f>
        <v>-4.03408763901474E-3</v>
      </c>
      <c r="AI173">
        <f>AI34/'B1'!AI16</f>
        <v>-1.4300805222440515E-2</v>
      </c>
      <c r="AJ173">
        <f>AJ34/'B1'!AJ16</f>
        <v>-3.7374897924302562E-2</v>
      </c>
      <c r="AK173">
        <f>AK34/'B1'!AK16</f>
        <v>1.2705498962941037E-2</v>
      </c>
      <c r="AL173">
        <f>AL34/'B1'!AL16</f>
        <v>-1.4361464921503462E-3</v>
      </c>
      <c r="AM173">
        <f>AM34/'B1'!AM16</f>
        <v>-4.20741676676256E-3</v>
      </c>
      <c r="AN173">
        <f>AN34/'B1'!AN16</f>
        <v>-1.4100908069287108E-2</v>
      </c>
      <c r="AO173">
        <f>AO34/'B1'!AO16</f>
        <v>-1.9292969123955488E-2</v>
      </c>
      <c r="AP173">
        <f>AP34/'B1'!AP16</f>
        <v>-2.0032427110032794E-2</v>
      </c>
      <c r="AQ173">
        <f>AQ34/'B1'!AQ16</f>
        <v>-2.4781970428959431E-2</v>
      </c>
      <c r="AR173">
        <f>AR34/'B1'!AR16</f>
        <v>2.4120627590434886E-3</v>
      </c>
      <c r="AS173">
        <f>AS34/'B1'!AS16</f>
        <v>4.1651643862786461E-3</v>
      </c>
      <c r="AT173">
        <f>AT34/'B1'!AT16</f>
        <v>-1.5576929114083003E-2</v>
      </c>
      <c r="AU173">
        <f>AU34/'B1'!AU16</f>
        <v>1.0564379497236683E-3</v>
      </c>
      <c r="AV173">
        <f>AV34/'B1'!AV16</f>
        <v>-5.672201132230565E-3</v>
      </c>
      <c r="AW173">
        <f>AW34/'B1'!AW16</f>
        <v>-2.9782379525495299E-4</v>
      </c>
      <c r="AX173">
        <f>AX34/'B1'!AX16</f>
        <v>2.928414621173128E-3</v>
      </c>
      <c r="AY173">
        <f>AY34/'B1'!AY16</f>
        <v>-7.8717009599419043E-3</v>
      </c>
      <c r="AZ173">
        <f>AZ34/'B1'!AZ16</f>
        <v>-9.0931932081863009E-3</v>
      </c>
      <c r="BA173">
        <f>BA34/'B1'!BA16</f>
        <v>6.2047569803516027E-4</v>
      </c>
      <c r="BB173">
        <f>BB34/'B1'!BB16</f>
        <v>-1.5820728802161102E-3</v>
      </c>
      <c r="BC173">
        <f>BC34/'B1'!BC16</f>
        <v>-2.5181697814304388E-3</v>
      </c>
      <c r="BD173">
        <f>BD34/'B1'!BD16</f>
        <v>-3.6823347080484322E-3</v>
      </c>
      <c r="BE173">
        <f>BE34/'B1'!BE16</f>
        <v>-3.5918476386677823E-3</v>
      </c>
      <c r="BF173">
        <f>BF34/'B1'!BF16</f>
        <v>-2.3936147013070089E-4</v>
      </c>
      <c r="BG173">
        <f>BG34/'B1'!BG16</f>
        <v>-5.9094126274011598E-3</v>
      </c>
      <c r="BH173">
        <f>BH34/'B1'!BH16</f>
        <v>-9.7693340433968635E-3</v>
      </c>
      <c r="BI173">
        <f>BI34/'B1'!BI16</f>
        <v>-8.6683905188783689E-3</v>
      </c>
      <c r="BJ173">
        <f>BJ34/'B1'!BJ16</f>
        <v>-1.7059898212372214E-2</v>
      </c>
      <c r="BK173">
        <f>BK34/'B1'!BK16</f>
        <v>-6.764122322432271E-3</v>
      </c>
      <c r="BL173">
        <f>BL34/'B1'!BL16</f>
        <v>5.4202106959817115E-3</v>
      </c>
      <c r="BM173">
        <f>BM34/'B1'!BM16</f>
        <v>8.7694322167210341E-3</v>
      </c>
      <c r="BN173">
        <f>BN34/'B1'!BN16</f>
        <v>7.8147538200636687E-3</v>
      </c>
      <c r="BO173">
        <f>BO34/'B1'!BO16</f>
        <v>1.0737290686135003E-2</v>
      </c>
      <c r="BP173">
        <f>BP34/'B1'!BP16</f>
        <v>2.172173896685167E-3</v>
      </c>
      <c r="BQ173">
        <f>BQ34/'B1'!BQ16</f>
        <v>-6.934967661733981E-4</v>
      </c>
      <c r="BR173">
        <f>BR34/'B1'!BR16</f>
        <v>1.1694712312823169E-3</v>
      </c>
      <c r="BS173">
        <f>BS34/'B1'!BS16</f>
        <v>2.4489457172265097E-2</v>
      </c>
      <c r="BT173">
        <f>BT34/'B1'!BT16</f>
        <v>2.125303075323054E-2</v>
      </c>
      <c r="BU173">
        <f>BU34/'B1'!BU16</f>
        <v>1.7420199949245981E-2</v>
      </c>
      <c r="BV173">
        <f>BV34/'B1'!BV16</f>
        <v>9.8460481049534466E-3</v>
      </c>
      <c r="BW173">
        <f>BW34/'B1'!BW16</f>
        <v>9.57100037209495E-3</v>
      </c>
      <c r="BX173">
        <f>BX34/'B1'!BX16</f>
        <v>4.0010785731137847E-3</v>
      </c>
      <c r="BY173">
        <f>BY34/'B1'!BY16</f>
        <v>1.0739830480203988E-4</v>
      </c>
      <c r="BZ173">
        <f>BZ34/'B1'!BZ16</f>
        <v>9.7584720233206447E-4</v>
      </c>
      <c r="CA173">
        <f>CA34/'B1'!CA16</f>
        <v>-3.1459531360714145E-3</v>
      </c>
      <c r="CB173">
        <f>CB34/'B1'!CB16</f>
        <v>4.5850891020710369E-4</v>
      </c>
      <c r="CC173">
        <f>CC34/'B1'!CC16</f>
        <v>1.3411410947946885E-3</v>
      </c>
      <c r="CD173">
        <f>CD34/'B1'!CD16</f>
        <v>4.6280093113107027E-3</v>
      </c>
      <c r="CE173">
        <f>CE34/'B1'!CE16</f>
        <v>3.3867483493739033E-3</v>
      </c>
      <c r="CF173">
        <f>CF34/'B1'!CF16</f>
        <v>-4.2326933168938992E-3</v>
      </c>
      <c r="CG173">
        <f>CG34/'B1'!CG16</f>
        <v>5.8179072123569541E-4</v>
      </c>
      <c r="CH173">
        <f>CH34/'B1'!CH16</f>
        <v>-1.8425546876266917E-4</v>
      </c>
    </row>
    <row r="174" spans="1:166">
      <c r="A174" t="s">
        <v>1856</v>
      </c>
      <c r="H174">
        <f>(H3-H6-H9-H23--H24-H30)/'B1'!H16</f>
        <v>2.2411145993262906E-2</v>
      </c>
      <c r="I174">
        <f>(I3-I6-I9-I23--I24-I30)/'B1'!I16</f>
        <v>3.5271864105036715E-2</v>
      </c>
      <c r="J174">
        <f>(J3-J6-J9-J23--J24-J30)/'B1'!J16</f>
        <v>7.2081276712092218E-2</v>
      </c>
      <c r="K174">
        <f>(K3-K6-K9-K23--K24-K30)/'B1'!K16</f>
        <v>8.5543076290919048E-2</v>
      </c>
      <c r="L174">
        <f>(L3-L6-L9-L23--L24-L30)/'B1'!L16</f>
        <v>6.2278326100012465E-2</v>
      </c>
      <c r="M174">
        <f>(M3-M6-M9-M23--M24-M30)/'B1'!M16</f>
        <v>4.1517339752161896E-2</v>
      </c>
      <c r="N174">
        <f>(N3-N6-N9-N23--N24-N30)/'B1'!N16</f>
        <v>4.5810132048455646E-2</v>
      </c>
      <c r="O174">
        <f>(O3-O6-O9-O23--O24-O30)/'B1'!O16</f>
        <v>3.969883641341547E-2</v>
      </c>
      <c r="P174">
        <f>(P3-P6-P9-P23--P24-P30)/'B1'!P16</f>
        <v>3.6483015819929202E-2</v>
      </c>
      <c r="Q174">
        <f>(Q3-Q6-Q9-Q23--Q24-Q30)/'B1'!Q16</f>
        <v>3.7781573558400797E-2</v>
      </c>
      <c r="R174">
        <f>(R3-R6-R9-R23--R24-R30)/'B1'!R16</f>
        <v>2.3472042025326101E-2</v>
      </c>
      <c r="S174">
        <f>(S3-S6-S9-S23--S24-S30)/'B1'!S16</f>
        <v>2.5351573931337374E-2</v>
      </c>
      <c r="T174">
        <f>(T3-T6-T9-T23--T24-T30)/'B1'!T16</f>
        <v>2.7457058427789179E-2</v>
      </c>
      <c r="U174">
        <f>(U3-U6-U9-U23--U24-U30)/'B1'!U16</f>
        <v>2.9815364743659388E-2</v>
      </c>
      <c r="V174">
        <f>(V3-V6-V9-V23--V24-V30)/'B1'!V16</f>
        <v>2.5365562518651148E-2</v>
      </c>
      <c r="W174">
        <f>(W3-W6-W9-W23--W24-W30)/'B1'!W16</f>
        <v>2.4341183771890016E-2</v>
      </c>
      <c r="X174">
        <f>(X3-X6-X9-X23--X24-X30)/'B1'!X16</f>
        <v>3.114918316250976E-2</v>
      </c>
      <c r="Y174">
        <f>(Y3-Y6-Y9-Y23--Y24-Y30)/'B1'!Y16</f>
        <v>3.3568494047457563E-2</v>
      </c>
      <c r="Z174">
        <f>(Z3-Z6-Z9-Z23--Z24-Z30)/'B1'!Z16</f>
        <v>3.3413823129310134E-2</v>
      </c>
      <c r="AA174">
        <f>(AA3-AA6-AA9-AA23--AA24-AA30)/'B1'!AA16</f>
        <v>3.2284851061215473E-2</v>
      </c>
      <c r="AB174">
        <f>(AB3-AB6-AB9-AB23--AB24-AB30)/'B1'!AB16</f>
        <v>3.266378922403624E-2</v>
      </c>
      <c r="AC174">
        <f>(AC3-AC6-AC9-AC23--AC24-AC30)/'B1'!AC16</f>
        <v>2.9813903339760188E-2</v>
      </c>
      <c r="AD174">
        <f>(AD3-AD6-AD9-AD23--AD24-AD30)/'B1'!AD16</f>
        <v>2.6230503959520219E-2</v>
      </c>
      <c r="AE174">
        <f>(AE3-AE6-AE9-AE23--AE24-AE30)/'B1'!AE16</f>
        <v>2.448462920251741E-2</v>
      </c>
      <c r="AF174">
        <f>(AF3-AF6-AF9-AF23--AF24-AF30)/'B1'!AF16</f>
        <v>2.3106126287147203E-2</v>
      </c>
      <c r="AG174">
        <f>(AG3-AG6-AG9-AG23--AG24-AG30)/'B1'!AG16</f>
        <v>3.0823702825708708E-2</v>
      </c>
      <c r="AH174">
        <f>(AH3-AH6-AH9-AH23--AH24-AH30)/'B1'!AH16</f>
        <v>2.9836722511253015E-2</v>
      </c>
      <c r="AI174">
        <f>(AI3-AI6-AI9-AI23--AI24-AI30)/'B1'!AI16</f>
        <v>3.1861079194002939E-2</v>
      </c>
      <c r="AJ174">
        <f>(AJ3-AJ6-AJ9-AJ23--AJ24-AJ30)/'B1'!AJ16</f>
        <v>3.0411911046964318E-2</v>
      </c>
      <c r="AK174">
        <f>(AK3-AK6-AK9-AK23--AK24-AK30)/'B1'!AK16</f>
        <v>4.8631491676587035E-2</v>
      </c>
      <c r="AL174">
        <f>(AL3-AL6-AL9-AL23--AL24-AL30)/'B1'!AL16</f>
        <v>5.1686300295236826E-2</v>
      </c>
      <c r="AM174">
        <f>(AM3-AM6-AM9-AM23--AM24-AM30)/'B1'!AM16</f>
        <v>5.7303430193621156E-2</v>
      </c>
      <c r="AN174">
        <f>(AN3-AN6-AN9-AN23--AN24-AN30)/'B1'!AN16</f>
        <v>5.1590735884883165E-2</v>
      </c>
      <c r="AO174">
        <f>(AO3-AO6-AO9-AO23--AO24-AO30)/'B1'!AO16</f>
        <v>3.5948732910590309E-2</v>
      </c>
      <c r="AP174">
        <f>(AP3-AP6-AP9-AP23--AP24-AP30)/'B1'!AP16</f>
        <v>2.9699078095678139E-2</v>
      </c>
      <c r="AQ174">
        <f>(AQ3-AQ6-AQ9-AQ23--AQ24-AQ30)/'B1'!AQ16</f>
        <v>4.815231840729791E-2</v>
      </c>
      <c r="AR174">
        <f>(AR3-AR6-AR9-AR23--AR24-AR30)/'B1'!AR16</f>
        <v>5.5949027053178911E-2</v>
      </c>
      <c r="AS174">
        <f>(AS3-AS6-AS9-AS23--AS24-AS30)/'B1'!AS16</f>
        <v>6.734405125071366E-2</v>
      </c>
      <c r="AT174">
        <f>(AT3-AT6-AT9-AT23--AT24-AT30)/'B1'!AT16</f>
        <v>7.1378005901927541E-2</v>
      </c>
      <c r="AU174">
        <f>(AU3-AU6-AU9-AU23--AU24-AU30)/'B1'!AU16</f>
        <v>6.8554323668986519E-2</v>
      </c>
      <c r="AV174">
        <f>(AV3-AV6-AV9-AV23--AV24-AV30)/'B1'!AV16</f>
        <v>6.5009189035280718E-2</v>
      </c>
      <c r="AW174">
        <f>(AW3-AW6-AW9-AW23--AW24-AW30)/'B1'!AW16</f>
        <v>7.5514911054639769E-2</v>
      </c>
      <c r="AX174">
        <f>(AX3-AX6-AX9-AX23--AX24-AX30)/'B1'!AX16</f>
        <v>7.717545128370995E-2</v>
      </c>
      <c r="AY174">
        <f>(AY3-AY6-AY9-AY23--AY24-AY30)/'B1'!AY16</f>
        <v>6.1319781996945627E-2</v>
      </c>
      <c r="AZ174">
        <f>(AZ3-AZ6-AZ9-AZ23--AZ24-AZ30)/'B1'!AZ16</f>
        <v>5.7592944271489019E-2</v>
      </c>
      <c r="BA174">
        <f>(BA3-BA6-BA9-BA23--BA24-BA30)/'B1'!BA16</f>
        <v>5.2473322904305654E-2</v>
      </c>
      <c r="BB174">
        <f>(BB3-BB6-BB9-BB23--BB24-BB30)/'B1'!BB16</f>
        <v>4.5260538875256259E-2</v>
      </c>
      <c r="BC174">
        <f>(BC3-BC6-BC9-BC23--BC24-BC30)/'B1'!BC16</f>
        <v>4.4310114925149094E-2</v>
      </c>
      <c r="BD174">
        <f>(BD3-BD6-BD9-BD23--BD24-BD30)/'B1'!BD16</f>
        <v>5.2573088105791657E-2</v>
      </c>
      <c r="BE174">
        <f>(BE3-BE6-BE9-BE23--BE24-BE30)/'B1'!BE16</f>
        <v>4.2261299659066026E-2</v>
      </c>
      <c r="BF174">
        <f>(BF3-BF6-BF9-BF23--BF24-BF30)/'B1'!BF16</f>
        <v>4.2055856825087591E-2</v>
      </c>
      <c r="BG174">
        <f>(BG3-BG6-BG9-BG23--BG24-BG30)/'B1'!BG16</f>
        <v>3.5577793329858207E-2</v>
      </c>
      <c r="BH174">
        <f>(BH3-BH6-BH9-BH23--BH24-BH30)/'B1'!BH16</f>
        <v>2.5847474043746852E-2</v>
      </c>
      <c r="BI174">
        <f>(BI3-BI6-BI9-BI23--BI24-BI30)/'B1'!BI16</f>
        <v>1.9546808067765972E-2</v>
      </c>
      <c r="BJ174">
        <f>(BJ3-BJ6-BJ9-BJ23--BJ24-BJ30)/'B1'!BJ16</f>
        <v>1.7078346674200023E-2</v>
      </c>
      <c r="BK174">
        <f>(BK3-BK6-BK9-BK23--BK24-BK30)/'B1'!BK16</f>
        <v>2.4629267317872319E-2</v>
      </c>
      <c r="BL174">
        <f>(BL3-BL6-BL9-BL23--BL24-BL30)/'B1'!BL16</f>
        <v>4.90612782711983E-2</v>
      </c>
      <c r="BM174">
        <f>(BM3-BM6-BM9-BM23--BM24-BM30)/'B1'!BM16</f>
        <v>4.6480907691319476E-2</v>
      </c>
      <c r="BN174">
        <f>(BN3-BN6-BN9-BN23--BN24-BN30)/'B1'!BN16</f>
        <v>4.8586904588976722E-2</v>
      </c>
      <c r="BO174">
        <f>(BO3-BO6-BO9-BO23--BO24-BO30)/'B1'!BO16</f>
        <v>4.9908305594900365E-2</v>
      </c>
      <c r="BP174">
        <f>(BP3-BP6-BP9-BP23--BP24-BP30)/'B1'!BP16</f>
        <v>4.7463689014896678E-2</v>
      </c>
      <c r="BQ174">
        <f>(BQ3-BQ6-BQ9-BQ23--BQ24-BQ30)/'B1'!BQ16</f>
        <v>4.1967664137681125E-2</v>
      </c>
      <c r="BR174">
        <f>(BR3-BR6-BR9-BR23--BR24-BR30)/'B1'!BR16</f>
        <v>5.2281257514269854E-2</v>
      </c>
      <c r="BS174">
        <f>(BS3-BS6-BS9-BS23--BS24-BS30)/'B1'!BS16</f>
        <v>5.7970080129350017E-2</v>
      </c>
      <c r="BT174">
        <f>(BT3-BT6-BT9-BT23--BT24-BT30)/'B1'!BT16</f>
        <v>5.7691865663519401E-2</v>
      </c>
      <c r="BU174">
        <f>(BU3-BU6-BU9-BU23--BU24-BU30)/'B1'!BU16</f>
        <v>5.4819685583905292E-2</v>
      </c>
      <c r="BV174">
        <f>(BV3-BV6-BV9-BV23--BV24-BV30)/'B1'!BV16</f>
        <v>4.9564625947723602E-2</v>
      </c>
      <c r="BW174">
        <f>(BW3-BW6-BW9-BW23--BW24-BW30)/'B1'!BW16</f>
        <v>4.1511720628881733E-2</v>
      </c>
      <c r="BX174">
        <f>(BX3-BX6-BX9-BX23--BX24-BX30)/'B1'!BX16</f>
        <v>3.4938229919988059E-2</v>
      </c>
      <c r="BY174">
        <f>(BY3-BY6-BY9-BY23--BY24-BY30)/'B1'!BY16</f>
        <v>3.7283265324574211E-2</v>
      </c>
      <c r="BZ174">
        <f>(BZ3-BZ6-BZ9-BZ23--BZ24-BZ30)/'B1'!BZ16</f>
        <v>3.3027887329785455E-2</v>
      </c>
      <c r="CA174">
        <f>(CA3-CA6-CA9-CA23--CA24-CA30)/'B1'!CA16</f>
        <v>3.199397595469497E-2</v>
      </c>
      <c r="CB174">
        <f>(CB3-CB6-CB9-CB23--CB24-CB30)/'B1'!CB16</f>
        <v>3.40126931143803E-2</v>
      </c>
      <c r="CC174">
        <f>(CC3-CC6-CC9-CC23--CC24-CC30)/'B1'!CC16</f>
        <v>3.0125446244667387E-2</v>
      </c>
      <c r="CD174">
        <f>(CD3-CD6-CD9-CD23--CD24-CD30)/'B1'!CD16</f>
        <v>2.8545683370253695E-2</v>
      </c>
      <c r="CE174">
        <f>(CE3-CE6-CE9-CE23--CE24-CE30)/'B1'!CE16</f>
        <v>3.0701286026465976E-2</v>
      </c>
      <c r="CF174">
        <f>(CF3-CF6-CF9-CF23--CF24-CF30)/'B1'!CF16</f>
        <v>3.6253701838774063E-2</v>
      </c>
      <c r="CG174">
        <f>(CG3-CG6-CG9-CG23--CG24-CG30)/'B1'!CG16</f>
        <v>2.986746787488884E-2</v>
      </c>
      <c r="CH174">
        <f>(CH3-CH6-CH9-CH23--CH24-CH30)/'B1'!CH16</f>
        <v>2.5507324667979302E-2</v>
      </c>
    </row>
    <row r="175" spans="1:166">
      <c r="A175" t="s">
        <v>1857</v>
      </c>
      <c r="H175">
        <f>H174-(H32+H33)/'B1'!H16</f>
        <v>-2.2052139905436269E-2</v>
      </c>
      <c r="I175">
        <f>I174-(I32+I33)/'B1'!I16</f>
        <v>2.7475706549959199E-2</v>
      </c>
      <c r="J175">
        <f>J174-(J32+J33)/'B1'!J16</f>
        <v>5.2057100919543547E-2</v>
      </c>
      <c r="K175">
        <f>K174-(K32+K33)/'B1'!K16</f>
        <v>0.10057526366251199</v>
      </c>
      <c r="L175">
        <f>L174-(L32+L33)/'B1'!L16</f>
        <v>3.2300649299142198E-2</v>
      </c>
      <c r="M175">
        <f>M174-(M32+M33)/'B1'!M16</f>
        <v>4.9032718195595945E-3</v>
      </c>
      <c r="N175">
        <f>N174-(N32+N33)/'B1'!N16</f>
        <v>3.7605400122730059E-2</v>
      </c>
      <c r="O175">
        <f>O174-(O32+O33)/'B1'!O16</f>
        <v>3.5794183445190156E-2</v>
      </c>
      <c r="P175">
        <f>P174-(P32+P33)/'B1'!P16</f>
        <v>4.4033293157738643E-2</v>
      </c>
      <c r="Q175">
        <f>Q174-(Q32+Q33)/'B1'!Q16</f>
        <v>2.666934604122409E-2</v>
      </c>
      <c r="R175">
        <f>R174-(R32+R33)/'B1'!R16</f>
        <v>1.5092798167953149E-2</v>
      </c>
      <c r="S175">
        <f>S174-(S32+S33)/'B1'!S16</f>
        <v>2.5469091679973823E-2</v>
      </c>
      <c r="T175">
        <f>T174-(T32+T33)/'B1'!T16</f>
        <v>3.2464424706413343E-2</v>
      </c>
      <c r="U175">
        <f>U174-(U32+U33)/'B1'!U16</f>
        <v>2.3678460628447952E-2</v>
      </c>
      <c r="V175">
        <f>V174-(V32+V33)/'B1'!V16</f>
        <v>2.3303225577705484E-2</v>
      </c>
      <c r="W175">
        <f>W174-(W32+W33)/'B1'!W16</f>
        <v>2.3222612795372646E-2</v>
      </c>
      <c r="X175">
        <f>X174-(X32+X33)/'B1'!X16</f>
        <v>2.6855526329835764E-2</v>
      </c>
      <c r="Y175">
        <f>Y174-(Y32+Y33)/'B1'!Y16</f>
        <v>2.9744429333242117E-2</v>
      </c>
      <c r="Z175">
        <f>Z174-(Z32+Z33)/'B1'!Z16</f>
        <v>2.9375733453871188E-2</v>
      </c>
      <c r="AA175">
        <f>AA174-(AA32+AA33)/'B1'!AA16</f>
        <v>2.6401816140542805E-2</v>
      </c>
      <c r="AB175">
        <f>AB174-(AB32+AB33)/'B1'!AB16</f>
        <v>2.1200440242486723E-2</v>
      </c>
      <c r="AC175">
        <f>AC174-(AC32+AC33)/'B1'!AC16</f>
        <v>2.3037936071755079E-2</v>
      </c>
      <c r="AD175">
        <f>AD174-(AD32+AD33)/'B1'!AD16</f>
        <v>2.0541255444681876E-2</v>
      </c>
      <c r="AE175">
        <f>AE174-(AE32+AE33)/'B1'!AE16</f>
        <v>1.8007479454453797E-2</v>
      </c>
      <c r="AF175">
        <f>AF174-(AF32+AF33)/'B1'!AF16</f>
        <v>2.1071199914634797E-2</v>
      </c>
      <c r="AG175">
        <f>AG174-(AG32+AG33)/'B1'!AG16</f>
        <v>2.6397088433513408E-2</v>
      </c>
      <c r="AH175">
        <f>AH174-(AH32+AH33)/'B1'!AH16</f>
        <v>2.4543822853494622E-2</v>
      </c>
      <c r="AI175">
        <f>AI174-(AI32+AI33)/'B1'!AI16</f>
        <v>2.0262321923420708E-2</v>
      </c>
      <c r="AJ175">
        <f>AJ174-(AJ32+AJ33)/'B1'!AJ16</f>
        <v>1.1531230415709214E-2</v>
      </c>
      <c r="AK175">
        <f>AK174-(AK32+AK33)/'B1'!AK16</f>
        <v>5.4641189093889937E-2</v>
      </c>
      <c r="AL175">
        <f>AL174-(AL32+AL33)/'B1'!AL16</f>
        <v>4.0010937108371773E-2</v>
      </c>
      <c r="AM175">
        <f>AM174-(AM32+AM33)/'B1'!AM16</f>
        <v>4.5612546195497448E-2</v>
      </c>
      <c r="AN175">
        <f>AN174-(AN32+AN33)/'B1'!AN16</f>
        <v>3.7304468010901995E-2</v>
      </c>
      <c r="AO175">
        <f>AO174-(AO32+AO33)/'B1'!AO16</f>
        <v>2.7049019652536234E-2</v>
      </c>
      <c r="AP175">
        <f>AP174-(AP32+AP33)/'B1'!AP16</f>
        <v>2.8326445328274417E-2</v>
      </c>
      <c r="AQ175">
        <f>AQ174-(AQ32+AQ33)/'B1'!AQ16</f>
        <v>3.6634237252411404E-2</v>
      </c>
      <c r="AR175">
        <f>AR174-(AR32+AR33)/'B1'!AR16</f>
        <v>6.2912744808650584E-2</v>
      </c>
      <c r="AS175">
        <f>AS174-(AS32+AS33)/'B1'!AS16</f>
        <v>6.2238171599633504E-2</v>
      </c>
      <c r="AT175">
        <f>AT174-(AT32+AT33)/'B1'!AT16</f>
        <v>4.7456755823444462E-2</v>
      </c>
      <c r="AU175">
        <f>AU174-(AU32+AU33)/'B1'!AU16</f>
        <v>6.2795542730948284E-2</v>
      </c>
      <c r="AV175">
        <f>AV174-(AV32+AV33)/'B1'!AV16</f>
        <v>6.192576421143809E-2</v>
      </c>
      <c r="AW175">
        <f>AW174-(AW32+AW33)/'B1'!AW16</f>
        <v>6.6278490042319657E-2</v>
      </c>
      <c r="AX175">
        <f>AX174-(AX32+AX33)/'B1'!AX16</f>
        <v>6.9874965480113863E-2</v>
      </c>
      <c r="AY175">
        <f>AY174-(AY32+AY33)/'B1'!AY16</f>
        <v>5.543476357954813E-2</v>
      </c>
      <c r="AZ175">
        <f>AZ174-(AZ32+AZ33)/'B1'!AZ16</f>
        <v>5.5160489720359272E-2</v>
      </c>
      <c r="BA175">
        <f>BA174-(BA32+BA33)/'B1'!BA16</f>
        <v>5.2656542096379835E-2</v>
      </c>
      <c r="BB175">
        <f>BB174-(BB32+BB33)/'B1'!BB16</f>
        <v>4.392222506273092E-2</v>
      </c>
      <c r="BC175">
        <f>BC174-(BC32+BC33)/'B1'!BC16</f>
        <v>4.0676393426149364E-2</v>
      </c>
      <c r="BD175">
        <f>BD174-(BD32+BD33)/'B1'!BD16</f>
        <v>4.4954148315213674E-2</v>
      </c>
      <c r="BE175">
        <f>BE174-(BE32+BE33)/'B1'!BE16</f>
        <v>3.6554235730574182E-2</v>
      </c>
      <c r="BF175">
        <f>BF174-(BF32+BF33)/'B1'!BF16</f>
        <v>3.9155605309451461E-2</v>
      </c>
      <c r="BG175">
        <f>BG174-(BG32+BG33)/'B1'!BG16</f>
        <v>2.8962301133440532E-2</v>
      </c>
      <c r="BH175">
        <f>BH174-(BH32+BH33)/'B1'!BH16</f>
        <v>2.115060094437227E-2</v>
      </c>
      <c r="BI175">
        <f>BI174-(BI32+BI33)/'B1'!BI16</f>
        <v>1.6084993515894232E-2</v>
      </c>
      <c r="BJ175">
        <f>BJ174-(BJ32+BJ33)/'B1'!BJ16</f>
        <v>1.3617992629909915E-2</v>
      </c>
      <c r="BK175">
        <f>BK174-(BK32+BK33)/'B1'!BK16</f>
        <v>2.7253563440296572E-2</v>
      </c>
      <c r="BL175">
        <f>BL174-(BL32+BL33)/'B1'!BL16</f>
        <v>4.7513554612599665E-2</v>
      </c>
      <c r="BM175">
        <f>BM174-(BM32+BM33)/'B1'!BM16</f>
        <v>4.5689045793014513E-2</v>
      </c>
      <c r="BN175">
        <f>BN174-(BN32+BN33)/'B1'!BN16</f>
        <v>4.5167529765082051E-2</v>
      </c>
      <c r="BO175">
        <f>BO174-(BO32+BO33)/'B1'!BO16</f>
        <v>4.6367409017075811E-2</v>
      </c>
      <c r="BP175">
        <f>BP174-(BP32+BP33)/'B1'!BP16</f>
        <v>4.26811564069167E-2</v>
      </c>
      <c r="BQ175">
        <f>BQ174-(BQ32+BQ33)/'B1'!BQ16</f>
        <v>4.021096981849779E-2</v>
      </c>
      <c r="BR175">
        <f>BR174-(BR32+BR33)/'B1'!BR16</f>
        <v>5.2837581928645287E-2</v>
      </c>
      <c r="BS175">
        <f>BS174-(BS32+BS33)/'B1'!BS16</f>
        <v>6.5944745513823178E-2</v>
      </c>
      <c r="BT175">
        <f>BT174-(BT32+BT33)/'B1'!BT16</f>
        <v>5.4891833294901722E-2</v>
      </c>
      <c r="BU175">
        <f>BU174-(BU32+BU33)/'B1'!BU16</f>
        <v>5.2798418561161069E-2</v>
      </c>
      <c r="BV175">
        <f>BV174-(BV32+BV33)/'B1'!BV16</f>
        <v>4.6243685312705514E-2</v>
      </c>
      <c r="BW175">
        <f>BW174-(BW32+BW33)/'B1'!BW16</f>
        <v>3.8423455637614998E-2</v>
      </c>
      <c r="BX175">
        <f>BX174-(BX32+BX33)/'B1'!BX16</f>
        <v>3.248906111353491E-2</v>
      </c>
      <c r="BY175">
        <f>BY174-(BY32+BY33)/'B1'!BY16</f>
        <v>3.2495580535677054E-2</v>
      </c>
      <c r="BZ175">
        <f>BZ174-(BZ32+BZ33)/'B1'!BZ16</f>
        <v>3.1707494218163268E-2</v>
      </c>
      <c r="CA175">
        <f>CA174-(CA32+CA33)/'B1'!CA16</f>
        <v>3.1137641618984732E-2</v>
      </c>
      <c r="CB175">
        <f>CB174-(CB32+CB33)/'B1'!CB16</f>
        <v>3.2566185463346886E-2</v>
      </c>
      <c r="CC175">
        <f>CC174-(CC32+CC33)/'B1'!CC16</f>
        <v>2.8457127057423089E-2</v>
      </c>
      <c r="CD175">
        <f>CD174-(CD32+CD33)/'B1'!CD16</f>
        <v>2.8929189548365972E-2</v>
      </c>
      <c r="CE175">
        <f>CE174-(CE32+CE33)/'B1'!CE16</f>
        <v>3.0209149683377044E-2</v>
      </c>
      <c r="CF175">
        <f>CF174-(CF32+CF33)/'B1'!CF16</f>
        <v>3.1033236031935266E-2</v>
      </c>
      <c r="CG175">
        <f>CG174-(CG32+CG33)/'B1'!CG16</f>
        <v>2.9196667296243286E-2</v>
      </c>
      <c r="CH175">
        <f>CH174-(CH32+CH33)/'B1'!CH16</f>
        <v>2.4943283652544525E-2</v>
      </c>
    </row>
  </sheetData>
  <hyperlinks>
    <hyperlink ref="A1" r:id="rId1" display="https://www.federalreserve.gov/datadownload/Download.aspx?rel=Z1&amp;series=3409b6f59ab19c1c7996368401eaf5c8&amp;filetype=spreadsheetml&amp;label=include&amp;layout=seriesrow&amp;from=01/01/1945&amp;to=12/31/2025" xr:uid="{D910C68B-B505-A14C-BA8F-AAEFBA58E737}"/>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7372C-3BC7-864C-9AC1-2E439B72A93A}">
  <dimension ref="A1:FJ154"/>
  <sheetViews>
    <sheetView topLeftCell="A4" workbookViewId="0">
      <selection activeCell="A33" sqref="A33:CH33"/>
    </sheetView>
  </sheetViews>
  <sheetFormatPr baseColWidth="10" defaultColWidth="11.5" defaultRowHeight="16"/>
  <cols>
    <col min="1" max="1" width="48.6640625" customWidth="1"/>
  </cols>
  <sheetData>
    <row r="1" spans="1:166" ht="18">
      <c r="A1" s="1" t="s">
        <v>113</v>
      </c>
      <c r="B1" s="2"/>
      <c r="C1" s="2"/>
      <c r="D1" s="2"/>
      <c r="E1" s="2"/>
      <c r="F1" s="2" t="s">
        <v>0</v>
      </c>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row>
    <row r="2" spans="1:166" ht="17" thickBot="1">
      <c r="A2" s="9" t="s">
        <v>1</v>
      </c>
      <c r="B2" s="9" t="s">
        <v>2</v>
      </c>
      <c r="C2" s="9" t="s">
        <v>3</v>
      </c>
      <c r="D2" s="9" t="s">
        <v>4</v>
      </c>
      <c r="E2" s="9" t="s">
        <v>5</v>
      </c>
      <c r="F2" s="9" t="s">
        <v>6</v>
      </c>
      <c r="G2" s="9" t="s">
        <v>7</v>
      </c>
      <c r="H2" s="9" t="s">
        <v>8</v>
      </c>
      <c r="I2" s="9" t="s">
        <v>9</v>
      </c>
      <c r="J2" s="9" t="s">
        <v>10</v>
      </c>
      <c r="K2" s="9" t="s">
        <v>11</v>
      </c>
      <c r="L2" s="9" t="s">
        <v>12</v>
      </c>
      <c r="M2" s="9" t="s">
        <v>13</v>
      </c>
      <c r="N2" s="9" t="s">
        <v>14</v>
      </c>
      <c r="O2" s="9" t="s">
        <v>15</v>
      </c>
      <c r="P2" s="9" t="s">
        <v>16</v>
      </c>
      <c r="Q2" s="9" t="s">
        <v>17</v>
      </c>
      <c r="R2" s="9" t="s">
        <v>18</v>
      </c>
      <c r="S2" s="9" t="s">
        <v>19</v>
      </c>
      <c r="T2" s="9" t="s">
        <v>20</v>
      </c>
      <c r="U2" s="9" t="s">
        <v>21</v>
      </c>
      <c r="V2" s="9" t="s">
        <v>22</v>
      </c>
      <c r="W2" s="9" t="s">
        <v>23</v>
      </c>
      <c r="X2" s="9" t="s">
        <v>24</v>
      </c>
      <c r="Y2" s="9" t="s">
        <v>25</v>
      </c>
      <c r="Z2" s="9" t="s">
        <v>26</v>
      </c>
      <c r="AA2" s="9" t="s">
        <v>27</v>
      </c>
      <c r="AB2" s="9" t="s">
        <v>28</v>
      </c>
      <c r="AC2" s="9" t="s">
        <v>29</v>
      </c>
      <c r="AD2" s="9" t="s">
        <v>30</v>
      </c>
      <c r="AE2" s="9" t="s">
        <v>31</v>
      </c>
      <c r="AF2" s="9" t="s">
        <v>32</v>
      </c>
      <c r="AG2" s="9" t="s">
        <v>33</v>
      </c>
      <c r="AH2" s="9" t="s">
        <v>34</v>
      </c>
      <c r="AI2" s="9" t="s">
        <v>35</v>
      </c>
      <c r="AJ2" s="9" t="s">
        <v>36</v>
      </c>
      <c r="AK2" s="9" t="s">
        <v>37</v>
      </c>
      <c r="AL2" s="9" t="s">
        <v>38</v>
      </c>
      <c r="AM2" s="9" t="s">
        <v>39</v>
      </c>
      <c r="AN2" s="9" t="s">
        <v>40</v>
      </c>
      <c r="AO2" s="9" t="s">
        <v>41</v>
      </c>
      <c r="AP2" s="9" t="s">
        <v>42</v>
      </c>
      <c r="AQ2" s="9" t="s">
        <v>43</v>
      </c>
      <c r="AR2" s="9" t="s">
        <v>44</v>
      </c>
      <c r="AS2" s="9" t="s">
        <v>45</v>
      </c>
      <c r="AT2" s="9" t="s">
        <v>46</v>
      </c>
      <c r="AU2" s="9" t="s">
        <v>47</v>
      </c>
      <c r="AV2" s="9" t="s">
        <v>48</v>
      </c>
      <c r="AW2" s="9" t="s">
        <v>49</v>
      </c>
      <c r="AX2" s="9" t="s">
        <v>50</v>
      </c>
      <c r="AY2" s="9" t="s">
        <v>51</v>
      </c>
      <c r="AZ2" s="9" t="s">
        <v>52</v>
      </c>
      <c r="BA2" s="9" t="s">
        <v>53</v>
      </c>
      <c r="BB2" s="9" t="s">
        <v>54</v>
      </c>
      <c r="BC2" s="9" t="s">
        <v>55</v>
      </c>
      <c r="BD2" s="9" t="s">
        <v>56</v>
      </c>
      <c r="BE2" s="9" t="s">
        <v>57</v>
      </c>
      <c r="BF2" s="9" t="s">
        <v>58</v>
      </c>
      <c r="BG2" s="9" t="s">
        <v>59</v>
      </c>
      <c r="BH2" s="9" t="s">
        <v>60</v>
      </c>
      <c r="BI2" s="9" t="s">
        <v>61</v>
      </c>
      <c r="BJ2" s="9" t="s">
        <v>62</v>
      </c>
      <c r="BK2" s="9" t="s">
        <v>63</v>
      </c>
      <c r="BL2" s="9" t="s">
        <v>64</v>
      </c>
      <c r="BM2" s="9" t="s">
        <v>65</v>
      </c>
      <c r="BN2" s="9" t="s">
        <v>66</v>
      </c>
      <c r="BO2" s="9" t="s">
        <v>67</v>
      </c>
      <c r="BP2" s="9" t="s">
        <v>68</v>
      </c>
      <c r="BQ2" s="9" t="s">
        <v>69</v>
      </c>
      <c r="BR2" s="9" t="s">
        <v>70</v>
      </c>
      <c r="BS2" s="9" t="s">
        <v>71</v>
      </c>
      <c r="BT2" s="9" t="s">
        <v>72</v>
      </c>
      <c r="BU2" s="9" t="s">
        <v>73</v>
      </c>
      <c r="BV2" s="9" t="s">
        <v>74</v>
      </c>
      <c r="BW2" s="9" t="s">
        <v>75</v>
      </c>
      <c r="BX2" s="9" t="s">
        <v>76</v>
      </c>
      <c r="BY2" s="9" t="s">
        <v>77</v>
      </c>
      <c r="BZ2" s="9" t="s">
        <v>78</v>
      </c>
      <c r="CA2" s="9" t="s">
        <v>79</v>
      </c>
      <c r="CB2" s="9" t="s">
        <v>80</v>
      </c>
      <c r="CC2" s="9" t="s">
        <v>81</v>
      </c>
      <c r="CD2" s="9" t="s">
        <v>82</v>
      </c>
      <c r="CE2" s="9" t="s">
        <v>83</v>
      </c>
      <c r="CF2" s="9" t="s">
        <v>84</v>
      </c>
      <c r="CG2" s="9" t="s">
        <v>85</v>
      </c>
      <c r="CH2" s="9" t="s">
        <v>86</v>
      </c>
    </row>
    <row r="3" spans="1:166">
      <c r="A3" t="s">
        <v>616</v>
      </c>
      <c r="B3" t="s">
        <v>88</v>
      </c>
      <c r="C3">
        <v>1000000</v>
      </c>
      <c r="D3" t="s">
        <v>89</v>
      </c>
      <c r="E3" t="s">
        <v>617</v>
      </c>
      <c r="F3" s="10" t="s">
        <v>618</v>
      </c>
      <c r="G3" t="s">
        <v>97</v>
      </c>
      <c r="H3" t="s">
        <v>97</v>
      </c>
      <c r="I3" t="s">
        <v>97</v>
      </c>
      <c r="J3" t="s">
        <v>97</v>
      </c>
      <c r="K3" t="s">
        <v>97</v>
      </c>
      <c r="L3" t="s">
        <v>97</v>
      </c>
      <c r="M3" t="s">
        <v>97</v>
      </c>
      <c r="N3" t="s">
        <v>97</v>
      </c>
      <c r="O3" t="s">
        <v>97</v>
      </c>
      <c r="P3" t="s">
        <v>97</v>
      </c>
      <c r="Q3" t="s">
        <v>97</v>
      </c>
      <c r="R3" t="s">
        <v>97</v>
      </c>
      <c r="S3" t="s">
        <v>97</v>
      </c>
      <c r="T3" t="s">
        <v>97</v>
      </c>
      <c r="U3">
        <v>18992</v>
      </c>
      <c r="V3">
        <v>20513</v>
      </c>
      <c r="W3">
        <v>21674</v>
      </c>
      <c r="X3">
        <v>22384</v>
      </c>
      <c r="Y3">
        <v>23120</v>
      </c>
      <c r="Z3">
        <v>25403</v>
      </c>
      <c r="AA3">
        <v>27525</v>
      </c>
      <c r="AB3">
        <v>29945</v>
      </c>
      <c r="AC3">
        <v>33430</v>
      </c>
      <c r="AD3">
        <v>37392</v>
      </c>
      <c r="AE3">
        <v>42121</v>
      </c>
      <c r="AF3">
        <v>45285</v>
      </c>
      <c r="AG3">
        <v>49765</v>
      </c>
      <c r="AH3">
        <v>54292</v>
      </c>
      <c r="AI3">
        <v>58065</v>
      </c>
      <c r="AJ3">
        <v>66368</v>
      </c>
      <c r="AK3">
        <v>74926</v>
      </c>
      <c r="AL3">
        <v>81285</v>
      </c>
      <c r="AM3">
        <v>96377</v>
      </c>
      <c r="AN3">
        <v>114461</v>
      </c>
      <c r="AO3">
        <v>125379</v>
      </c>
      <c r="AP3">
        <v>139760</v>
      </c>
      <c r="AQ3">
        <v>163524</v>
      </c>
      <c r="AR3">
        <v>178402</v>
      </c>
      <c r="AS3">
        <v>205080</v>
      </c>
      <c r="AT3">
        <v>229391</v>
      </c>
      <c r="AU3">
        <v>253174</v>
      </c>
      <c r="AV3">
        <v>264363</v>
      </c>
      <c r="AW3">
        <v>285535</v>
      </c>
      <c r="AX3">
        <v>304210</v>
      </c>
      <c r="AY3">
        <v>340606</v>
      </c>
      <c r="AZ3">
        <v>345364</v>
      </c>
      <c r="BA3">
        <v>361647</v>
      </c>
      <c r="BB3">
        <v>402768</v>
      </c>
      <c r="BC3">
        <v>428910</v>
      </c>
      <c r="BD3">
        <v>445203</v>
      </c>
      <c r="BE3">
        <v>490858</v>
      </c>
      <c r="BF3">
        <v>547671</v>
      </c>
      <c r="BG3">
        <v>618996</v>
      </c>
      <c r="BH3">
        <v>694961</v>
      </c>
      <c r="BI3">
        <v>731353</v>
      </c>
      <c r="BJ3">
        <v>812578</v>
      </c>
      <c r="BK3">
        <v>823920</v>
      </c>
      <c r="BL3">
        <v>822452</v>
      </c>
      <c r="BM3">
        <v>855064</v>
      </c>
      <c r="BN3">
        <v>886637</v>
      </c>
      <c r="BO3">
        <v>989750</v>
      </c>
      <c r="BP3">
        <v>1095145</v>
      </c>
      <c r="BQ3">
        <v>1024841</v>
      </c>
      <c r="BR3">
        <v>800955</v>
      </c>
      <c r="BS3">
        <v>972163</v>
      </c>
      <c r="BT3">
        <v>1010133</v>
      </c>
      <c r="BU3">
        <v>1009309</v>
      </c>
      <c r="BV3">
        <v>1139927</v>
      </c>
      <c r="BW3">
        <v>1104669</v>
      </c>
      <c r="BX3">
        <v>1242979</v>
      </c>
      <c r="BY3">
        <v>1317243</v>
      </c>
      <c r="BZ3">
        <v>1412177</v>
      </c>
      <c r="CA3">
        <v>1456489</v>
      </c>
      <c r="CB3">
        <v>1516413</v>
      </c>
      <c r="CC3">
        <v>1600582</v>
      </c>
      <c r="CD3">
        <v>1658068</v>
      </c>
      <c r="CE3">
        <v>1822313</v>
      </c>
      <c r="CF3">
        <v>1931478</v>
      </c>
      <c r="CG3">
        <v>1996581</v>
      </c>
      <c r="CH3">
        <v>2135222</v>
      </c>
    </row>
    <row r="4" spans="1:166">
      <c r="A4" t="s">
        <v>619</v>
      </c>
      <c r="B4" t="s">
        <v>88</v>
      </c>
      <c r="C4">
        <v>1000000</v>
      </c>
      <c r="D4" t="s">
        <v>89</v>
      </c>
      <c r="E4" t="s">
        <v>620</v>
      </c>
      <c r="F4" s="10" t="s">
        <v>621</v>
      </c>
      <c r="G4" t="s">
        <v>97</v>
      </c>
      <c r="H4">
        <v>298</v>
      </c>
      <c r="I4">
        <v>384</v>
      </c>
      <c r="J4">
        <v>442</v>
      </c>
      <c r="K4">
        <v>485</v>
      </c>
      <c r="L4">
        <v>528</v>
      </c>
      <c r="M4">
        <v>600</v>
      </c>
      <c r="N4">
        <v>645</v>
      </c>
      <c r="O4">
        <v>687</v>
      </c>
      <c r="P4">
        <v>740</v>
      </c>
      <c r="Q4">
        <v>778</v>
      </c>
      <c r="R4">
        <v>878</v>
      </c>
      <c r="S4">
        <v>970</v>
      </c>
      <c r="T4">
        <v>1080</v>
      </c>
      <c r="U4">
        <v>1184</v>
      </c>
      <c r="V4">
        <v>1145</v>
      </c>
      <c r="W4">
        <v>1182</v>
      </c>
      <c r="X4">
        <v>1235</v>
      </c>
      <c r="Y4">
        <v>1302</v>
      </c>
      <c r="Z4">
        <v>1392</v>
      </c>
      <c r="AA4">
        <v>1561</v>
      </c>
      <c r="AB4">
        <v>1735</v>
      </c>
      <c r="AC4">
        <v>1930</v>
      </c>
      <c r="AD4">
        <v>2211</v>
      </c>
      <c r="AE4">
        <v>2570</v>
      </c>
      <c r="AF4">
        <v>2940</v>
      </c>
      <c r="AG4">
        <v>3341</v>
      </c>
      <c r="AH4">
        <v>3756</v>
      </c>
      <c r="AI4">
        <v>4370</v>
      </c>
      <c r="AJ4">
        <v>5300</v>
      </c>
      <c r="AK4">
        <v>6511</v>
      </c>
      <c r="AL4">
        <v>7518</v>
      </c>
      <c r="AM4">
        <v>8717</v>
      </c>
      <c r="AN4">
        <v>10007</v>
      </c>
      <c r="AO4">
        <v>11922</v>
      </c>
      <c r="AP4">
        <v>14449</v>
      </c>
      <c r="AQ4">
        <v>17262</v>
      </c>
      <c r="AR4">
        <v>20359</v>
      </c>
      <c r="AS4">
        <v>23156</v>
      </c>
      <c r="AT4">
        <v>26248</v>
      </c>
      <c r="AU4">
        <v>30060</v>
      </c>
      <c r="AV4">
        <v>34300</v>
      </c>
      <c r="AW4">
        <v>39184</v>
      </c>
      <c r="AX4">
        <v>44502</v>
      </c>
      <c r="AY4">
        <v>49994</v>
      </c>
      <c r="AZ4">
        <v>55143</v>
      </c>
      <c r="BA4">
        <v>59174</v>
      </c>
      <c r="BB4">
        <v>61104</v>
      </c>
      <c r="BC4">
        <v>64383</v>
      </c>
      <c r="BD4">
        <v>68449</v>
      </c>
      <c r="BE4">
        <v>73008</v>
      </c>
      <c r="BF4">
        <v>75730</v>
      </c>
      <c r="BG4">
        <v>79216</v>
      </c>
      <c r="BH4">
        <v>85037</v>
      </c>
      <c r="BI4">
        <v>95258</v>
      </c>
      <c r="BJ4">
        <v>106474</v>
      </c>
      <c r="BK4">
        <v>112757</v>
      </c>
      <c r="BL4">
        <v>115315</v>
      </c>
      <c r="BM4">
        <v>120244</v>
      </c>
      <c r="BN4">
        <v>127299</v>
      </c>
      <c r="BO4">
        <v>135160</v>
      </c>
      <c r="BP4">
        <v>142043</v>
      </c>
      <c r="BQ4">
        <v>149569</v>
      </c>
      <c r="BR4">
        <v>156506</v>
      </c>
      <c r="BS4">
        <v>157958</v>
      </c>
      <c r="BT4">
        <v>156443</v>
      </c>
      <c r="BU4">
        <v>160953</v>
      </c>
      <c r="BV4">
        <v>167837</v>
      </c>
      <c r="BW4">
        <v>176478</v>
      </c>
      <c r="BX4">
        <v>184121</v>
      </c>
      <c r="BY4">
        <v>192444</v>
      </c>
      <c r="BZ4">
        <v>203220</v>
      </c>
      <c r="CA4">
        <v>214439</v>
      </c>
      <c r="CB4">
        <v>226122</v>
      </c>
      <c r="CC4">
        <v>242836</v>
      </c>
      <c r="CD4">
        <v>257539</v>
      </c>
      <c r="CE4">
        <v>274459</v>
      </c>
      <c r="CF4">
        <v>302232</v>
      </c>
      <c r="CG4">
        <v>324065</v>
      </c>
      <c r="CH4">
        <v>344821</v>
      </c>
    </row>
    <row r="5" spans="1:166">
      <c r="A5" t="s">
        <v>622</v>
      </c>
      <c r="B5" t="s">
        <v>88</v>
      </c>
      <c r="C5">
        <v>1000000</v>
      </c>
      <c r="D5" t="s">
        <v>89</v>
      </c>
      <c r="E5" t="s">
        <v>623</v>
      </c>
      <c r="F5" s="10" t="s">
        <v>624</v>
      </c>
      <c r="G5" t="s">
        <v>97</v>
      </c>
      <c r="H5" t="s">
        <v>97</v>
      </c>
      <c r="I5" t="s">
        <v>97</v>
      </c>
      <c r="J5" t="s">
        <v>97</v>
      </c>
      <c r="K5" t="s">
        <v>97</v>
      </c>
      <c r="L5" t="s">
        <v>97</v>
      </c>
      <c r="M5" t="s">
        <v>97</v>
      </c>
      <c r="N5" t="s">
        <v>97</v>
      </c>
      <c r="O5" t="s">
        <v>97</v>
      </c>
      <c r="P5" t="s">
        <v>97</v>
      </c>
      <c r="Q5" t="s">
        <v>97</v>
      </c>
      <c r="R5" t="s">
        <v>97</v>
      </c>
      <c r="S5" t="s">
        <v>97</v>
      </c>
      <c r="T5" t="s">
        <v>97</v>
      </c>
      <c r="U5">
        <v>17808</v>
      </c>
      <c r="V5">
        <v>19368</v>
      </c>
      <c r="W5">
        <v>20492</v>
      </c>
      <c r="X5">
        <v>21149</v>
      </c>
      <c r="Y5">
        <v>21818</v>
      </c>
      <c r="Z5">
        <v>24011</v>
      </c>
      <c r="AA5">
        <v>25964</v>
      </c>
      <c r="AB5">
        <v>28210</v>
      </c>
      <c r="AC5">
        <v>31500</v>
      </c>
      <c r="AD5">
        <v>35181</v>
      </c>
      <c r="AE5">
        <v>39551</v>
      </c>
      <c r="AF5">
        <v>42345</v>
      </c>
      <c r="AG5">
        <v>46424</v>
      </c>
      <c r="AH5">
        <v>50536</v>
      </c>
      <c r="AI5">
        <v>53695</v>
      </c>
      <c r="AJ5">
        <v>61068</v>
      </c>
      <c r="AK5">
        <v>68415</v>
      </c>
      <c r="AL5">
        <v>73767</v>
      </c>
      <c r="AM5">
        <v>87660</v>
      </c>
      <c r="AN5">
        <v>104454</v>
      </c>
      <c r="AO5">
        <v>113457</v>
      </c>
      <c r="AP5">
        <v>125311</v>
      </c>
      <c r="AQ5">
        <v>146262</v>
      </c>
      <c r="AR5">
        <v>158043</v>
      </c>
      <c r="AS5">
        <v>181924</v>
      </c>
      <c r="AT5">
        <v>203143</v>
      </c>
      <c r="AU5">
        <v>223114</v>
      </c>
      <c r="AV5">
        <v>230063</v>
      </c>
      <c r="AW5">
        <v>246351</v>
      </c>
      <c r="AX5">
        <v>259708</v>
      </c>
      <c r="AY5">
        <v>290612</v>
      </c>
      <c r="AZ5">
        <v>290221</v>
      </c>
      <c r="BA5">
        <v>302473</v>
      </c>
      <c r="BB5">
        <v>341664</v>
      </c>
      <c r="BC5">
        <v>364527</v>
      </c>
      <c r="BD5">
        <v>376754</v>
      </c>
      <c r="BE5">
        <v>417850</v>
      </c>
      <c r="BF5">
        <v>471941</v>
      </c>
      <c r="BG5">
        <v>539780</v>
      </c>
      <c r="BH5">
        <v>609924</v>
      </c>
      <c r="BI5">
        <v>636095</v>
      </c>
      <c r="BJ5">
        <v>706104</v>
      </c>
      <c r="BK5">
        <v>711163</v>
      </c>
      <c r="BL5">
        <v>707137</v>
      </c>
      <c r="BM5">
        <v>734820</v>
      </c>
      <c r="BN5">
        <v>759338</v>
      </c>
      <c r="BO5">
        <v>854590</v>
      </c>
      <c r="BP5">
        <v>953102</v>
      </c>
      <c r="BQ5">
        <v>875272</v>
      </c>
      <c r="BR5">
        <v>644449</v>
      </c>
      <c r="BS5">
        <v>814205</v>
      </c>
      <c r="BT5">
        <v>853690</v>
      </c>
      <c r="BU5">
        <v>848356</v>
      </c>
      <c r="BV5">
        <v>972090</v>
      </c>
      <c r="BW5">
        <v>928191</v>
      </c>
      <c r="BX5">
        <v>1058858</v>
      </c>
      <c r="BY5">
        <v>1124799</v>
      </c>
      <c r="BZ5">
        <v>1208957</v>
      </c>
      <c r="CA5">
        <v>1242050</v>
      </c>
      <c r="CB5">
        <v>1290291</v>
      </c>
      <c r="CC5">
        <v>1357746</v>
      </c>
      <c r="CD5">
        <v>1400529</v>
      </c>
      <c r="CE5">
        <v>1547854</v>
      </c>
      <c r="CF5">
        <v>1629246</v>
      </c>
      <c r="CG5">
        <v>1672516</v>
      </c>
      <c r="CH5">
        <v>1790402</v>
      </c>
    </row>
    <row r="6" spans="1:166">
      <c r="A6" t="s">
        <v>625</v>
      </c>
      <c r="B6" t="s">
        <v>88</v>
      </c>
      <c r="C6">
        <v>1000000</v>
      </c>
      <c r="D6" t="s">
        <v>89</v>
      </c>
      <c r="E6" t="s">
        <v>626</v>
      </c>
      <c r="F6" s="10" t="s">
        <v>627</v>
      </c>
      <c r="G6" t="s">
        <v>97</v>
      </c>
      <c r="H6" t="s">
        <v>97</v>
      </c>
      <c r="I6" t="s">
        <v>97</v>
      </c>
      <c r="J6">
        <v>4009</v>
      </c>
      <c r="K6">
        <v>4298</v>
      </c>
      <c r="L6">
        <v>4751</v>
      </c>
      <c r="M6">
        <v>5281</v>
      </c>
      <c r="N6">
        <v>5810</v>
      </c>
      <c r="O6">
        <v>6397</v>
      </c>
      <c r="P6">
        <v>6980</v>
      </c>
      <c r="Q6">
        <v>7553</v>
      </c>
      <c r="R6">
        <v>8271</v>
      </c>
      <c r="S6">
        <v>8991</v>
      </c>
      <c r="T6">
        <v>9764</v>
      </c>
      <c r="U6">
        <v>10620</v>
      </c>
      <c r="V6">
        <v>11396</v>
      </c>
      <c r="W6">
        <v>12295</v>
      </c>
      <c r="X6">
        <v>12986</v>
      </c>
      <c r="Y6">
        <v>13831</v>
      </c>
      <c r="Z6">
        <v>14899</v>
      </c>
      <c r="AA6">
        <v>15978</v>
      </c>
      <c r="AB6">
        <v>17382</v>
      </c>
      <c r="AC6">
        <v>19274</v>
      </c>
      <c r="AD6">
        <v>21665</v>
      </c>
      <c r="AE6">
        <v>23822</v>
      </c>
      <c r="AF6">
        <v>25845</v>
      </c>
      <c r="AG6">
        <v>28072</v>
      </c>
      <c r="AH6">
        <v>30967</v>
      </c>
      <c r="AI6">
        <v>33737</v>
      </c>
      <c r="AJ6">
        <v>37269</v>
      </c>
      <c r="AK6">
        <v>42179</v>
      </c>
      <c r="AL6">
        <v>46683</v>
      </c>
      <c r="AM6">
        <v>52163</v>
      </c>
      <c r="AN6">
        <v>59304</v>
      </c>
      <c r="AO6">
        <v>67454</v>
      </c>
      <c r="AP6">
        <v>77815</v>
      </c>
      <c r="AQ6">
        <v>87540</v>
      </c>
      <c r="AR6">
        <v>98796</v>
      </c>
      <c r="AS6">
        <v>110836</v>
      </c>
      <c r="AT6">
        <v>121405</v>
      </c>
      <c r="AU6">
        <v>135507</v>
      </c>
      <c r="AV6">
        <v>155589</v>
      </c>
      <c r="AW6">
        <v>174491</v>
      </c>
      <c r="AX6">
        <v>189347</v>
      </c>
      <c r="AY6">
        <v>196363</v>
      </c>
      <c r="AZ6">
        <v>209429</v>
      </c>
      <c r="BA6">
        <v>219212</v>
      </c>
      <c r="BB6">
        <v>246247</v>
      </c>
      <c r="BC6">
        <v>259964</v>
      </c>
      <c r="BD6">
        <v>265856</v>
      </c>
      <c r="BE6">
        <v>279886</v>
      </c>
      <c r="BF6">
        <v>304074</v>
      </c>
      <c r="BG6">
        <v>333746</v>
      </c>
      <c r="BH6">
        <v>375328</v>
      </c>
      <c r="BI6">
        <v>399180</v>
      </c>
      <c r="BJ6">
        <v>440636</v>
      </c>
      <c r="BK6">
        <v>445265</v>
      </c>
      <c r="BL6">
        <v>443298</v>
      </c>
      <c r="BM6">
        <v>459762</v>
      </c>
      <c r="BN6">
        <v>497689</v>
      </c>
      <c r="BO6">
        <v>534590</v>
      </c>
      <c r="BP6">
        <v>579181</v>
      </c>
      <c r="BQ6">
        <v>617429</v>
      </c>
      <c r="BR6">
        <v>612139</v>
      </c>
      <c r="BS6">
        <v>547984</v>
      </c>
      <c r="BT6">
        <v>573340</v>
      </c>
      <c r="BU6">
        <v>606487</v>
      </c>
      <c r="BV6">
        <v>630088</v>
      </c>
      <c r="BW6">
        <v>641324</v>
      </c>
      <c r="BX6">
        <v>681085</v>
      </c>
      <c r="BY6">
        <v>715705</v>
      </c>
      <c r="BZ6">
        <v>734148</v>
      </c>
      <c r="CA6">
        <v>787648</v>
      </c>
      <c r="CB6">
        <v>819121</v>
      </c>
      <c r="CC6">
        <v>851646</v>
      </c>
      <c r="CD6">
        <v>912345</v>
      </c>
      <c r="CE6">
        <v>990616</v>
      </c>
      <c r="CF6">
        <v>1020695</v>
      </c>
      <c r="CG6">
        <v>1059695</v>
      </c>
      <c r="CH6">
        <v>1115373</v>
      </c>
    </row>
    <row r="7" spans="1:166">
      <c r="A7" t="s">
        <v>628</v>
      </c>
      <c r="B7" t="s">
        <v>88</v>
      </c>
      <c r="C7">
        <v>1000000</v>
      </c>
      <c r="D7" t="s">
        <v>89</v>
      </c>
      <c r="E7" t="s">
        <v>629</v>
      </c>
      <c r="F7" s="10" t="s">
        <v>630</v>
      </c>
      <c r="G7" t="s">
        <v>97</v>
      </c>
      <c r="H7" t="s">
        <v>97</v>
      </c>
      <c r="I7" t="s">
        <v>97</v>
      </c>
      <c r="J7">
        <v>3826</v>
      </c>
      <c r="K7">
        <v>4088</v>
      </c>
      <c r="L7">
        <v>4503</v>
      </c>
      <c r="M7">
        <v>4994</v>
      </c>
      <c r="N7">
        <v>5484</v>
      </c>
      <c r="O7">
        <v>6031</v>
      </c>
      <c r="P7">
        <v>6550</v>
      </c>
      <c r="Q7">
        <v>7083</v>
      </c>
      <c r="R7">
        <v>7744</v>
      </c>
      <c r="S7">
        <v>8396</v>
      </c>
      <c r="T7">
        <v>9034</v>
      </c>
      <c r="U7">
        <v>9763</v>
      </c>
      <c r="V7">
        <v>10448</v>
      </c>
      <c r="W7">
        <v>11285</v>
      </c>
      <c r="X7">
        <v>11819</v>
      </c>
      <c r="Y7">
        <v>12522</v>
      </c>
      <c r="Z7">
        <v>13478</v>
      </c>
      <c r="AA7">
        <v>14395</v>
      </c>
      <c r="AB7">
        <v>15562</v>
      </c>
      <c r="AC7">
        <v>17208</v>
      </c>
      <c r="AD7">
        <v>19423</v>
      </c>
      <c r="AE7">
        <v>21422</v>
      </c>
      <c r="AF7">
        <v>23166</v>
      </c>
      <c r="AG7">
        <v>25078</v>
      </c>
      <c r="AH7">
        <v>27369</v>
      </c>
      <c r="AI7">
        <v>29785</v>
      </c>
      <c r="AJ7">
        <v>32988</v>
      </c>
      <c r="AK7">
        <v>36355</v>
      </c>
      <c r="AL7">
        <v>40003</v>
      </c>
      <c r="AM7">
        <v>44421</v>
      </c>
      <c r="AN7">
        <v>50946</v>
      </c>
      <c r="AO7">
        <v>57991</v>
      </c>
      <c r="AP7">
        <v>66788</v>
      </c>
      <c r="AQ7">
        <v>75282</v>
      </c>
      <c r="AR7">
        <v>84318</v>
      </c>
      <c r="AS7">
        <v>94984</v>
      </c>
      <c r="AT7">
        <v>104290</v>
      </c>
      <c r="AU7">
        <v>116918</v>
      </c>
      <c r="AV7">
        <v>134137</v>
      </c>
      <c r="AW7">
        <v>150499</v>
      </c>
      <c r="AX7">
        <v>162160</v>
      </c>
      <c r="AY7">
        <v>166828</v>
      </c>
      <c r="AZ7">
        <v>176956</v>
      </c>
      <c r="BA7">
        <v>184416</v>
      </c>
      <c r="BB7">
        <v>206469</v>
      </c>
      <c r="BC7">
        <v>216681</v>
      </c>
      <c r="BD7">
        <v>220895</v>
      </c>
      <c r="BE7">
        <v>233583</v>
      </c>
      <c r="BF7">
        <v>257183</v>
      </c>
      <c r="BG7">
        <v>284022</v>
      </c>
      <c r="BH7">
        <v>319715</v>
      </c>
      <c r="BI7">
        <v>341678</v>
      </c>
      <c r="BJ7">
        <v>378780</v>
      </c>
      <c r="BK7">
        <v>374725</v>
      </c>
      <c r="BL7">
        <v>370684</v>
      </c>
      <c r="BM7">
        <v>390160</v>
      </c>
      <c r="BN7">
        <v>422462</v>
      </c>
      <c r="BO7">
        <v>448884</v>
      </c>
      <c r="BP7">
        <v>490232</v>
      </c>
      <c r="BQ7">
        <v>526363</v>
      </c>
      <c r="BR7">
        <v>517209</v>
      </c>
      <c r="BS7">
        <v>465308</v>
      </c>
      <c r="BT7">
        <v>485459</v>
      </c>
      <c r="BU7">
        <v>513242</v>
      </c>
      <c r="BV7">
        <v>536780</v>
      </c>
      <c r="BW7">
        <v>545423</v>
      </c>
      <c r="BX7">
        <v>582076</v>
      </c>
      <c r="BY7">
        <v>611170</v>
      </c>
      <c r="BZ7">
        <v>625472</v>
      </c>
      <c r="CA7">
        <v>668515</v>
      </c>
      <c r="CB7">
        <v>693117</v>
      </c>
      <c r="CC7">
        <v>727179</v>
      </c>
      <c r="CD7">
        <v>787383</v>
      </c>
      <c r="CE7">
        <v>860093</v>
      </c>
      <c r="CF7">
        <v>885582</v>
      </c>
      <c r="CG7">
        <v>911657</v>
      </c>
      <c r="CH7">
        <v>956949</v>
      </c>
    </row>
    <row r="8" spans="1:166">
      <c r="A8" t="s">
        <v>631</v>
      </c>
      <c r="B8" t="s">
        <v>88</v>
      </c>
      <c r="C8">
        <v>1000000</v>
      </c>
      <c r="D8" t="s">
        <v>89</v>
      </c>
      <c r="E8" t="s">
        <v>632</v>
      </c>
      <c r="F8" s="10" t="s">
        <v>633</v>
      </c>
      <c r="G8" t="s">
        <v>97</v>
      </c>
      <c r="H8" t="s">
        <v>97</v>
      </c>
      <c r="I8" t="s">
        <v>97</v>
      </c>
      <c r="J8">
        <v>183</v>
      </c>
      <c r="K8">
        <v>210</v>
      </c>
      <c r="L8">
        <v>248</v>
      </c>
      <c r="M8">
        <v>287</v>
      </c>
      <c r="N8">
        <v>326</v>
      </c>
      <c r="O8">
        <v>366</v>
      </c>
      <c r="P8">
        <v>430</v>
      </c>
      <c r="Q8">
        <v>470</v>
      </c>
      <c r="R8">
        <v>527</v>
      </c>
      <c r="S8">
        <v>595</v>
      </c>
      <c r="T8">
        <v>730</v>
      </c>
      <c r="U8">
        <v>857</v>
      </c>
      <c r="V8">
        <v>948</v>
      </c>
      <c r="W8">
        <v>1010</v>
      </c>
      <c r="X8">
        <v>1167</v>
      </c>
      <c r="Y8">
        <v>1309</v>
      </c>
      <c r="Z8">
        <v>1421</v>
      </c>
      <c r="AA8">
        <v>1583</v>
      </c>
      <c r="AB8">
        <v>1820</v>
      </c>
      <c r="AC8">
        <v>2066</v>
      </c>
      <c r="AD8">
        <v>2242</v>
      </c>
      <c r="AE8">
        <v>2400</v>
      </c>
      <c r="AF8">
        <v>2679</v>
      </c>
      <c r="AG8">
        <v>2994</v>
      </c>
      <c r="AH8">
        <v>3598</v>
      </c>
      <c r="AI8">
        <v>3952</v>
      </c>
      <c r="AJ8">
        <v>4281</v>
      </c>
      <c r="AK8">
        <v>5824</v>
      </c>
      <c r="AL8">
        <v>6680</v>
      </c>
      <c r="AM8">
        <v>7742</v>
      </c>
      <c r="AN8">
        <v>8358</v>
      </c>
      <c r="AO8">
        <v>9463</v>
      </c>
      <c r="AP8">
        <v>11027</v>
      </c>
      <c r="AQ8">
        <v>12258</v>
      </c>
      <c r="AR8">
        <v>14478</v>
      </c>
      <c r="AS8">
        <v>15852</v>
      </c>
      <c r="AT8">
        <v>17115</v>
      </c>
      <c r="AU8">
        <v>18589</v>
      </c>
      <c r="AV8">
        <v>21452</v>
      </c>
      <c r="AW8">
        <v>23992</v>
      </c>
      <c r="AX8">
        <v>27187</v>
      </c>
      <c r="AY8">
        <v>29535</v>
      </c>
      <c r="AZ8">
        <v>32473</v>
      </c>
      <c r="BA8">
        <v>34796</v>
      </c>
      <c r="BB8">
        <v>39778</v>
      </c>
      <c r="BC8">
        <v>43283</v>
      </c>
      <c r="BD8">
        <v>44961</v>
      </c>
      <c r="BE8">
        <v>46303</v>
      </c>
      <c r="BF8">
        <v>46891</v>
      </c>
      <c r="BG8">
        <v>49724</v>
      </c>
      <c r="BH8">
        <v>55613</v>
      </c>
      <c r="BI8">
        <v>57502</v>
      </c>
      <c r="BJ8">
        <v>61856</v>
      </c>
      <c r="BK8">
        <v>70540</v>
      </c>
      <c r="BL8">
        <v>72614</v>
      </c>
      <c r="BM8">
        <v>69602</v>
      </c>
      <c r="BN8">
        <v>75227</v>
      </c>
      <c r="BO8">
        <v>85706</v>
      </c>
      <c r="BP8">
        <v>88949</v>
      </c>
      <c r="BQ8">
        <v>91066</v>
      </c>
      <c r="BR8">
        <v>94930</v>
      </c>
      <c r="BS8">
        <v>82676</v>
      </c>
      <c r="BT8">
        <v>87881</v>
      </c>
      <c r="BU8">
        <v>93245</v>
      </c>
      <c r="BV8">
        <v>93308</v>
      </c>
      <c r="BW8">
        <v>95901</v>
      </c>
      <c r="BX8">
        <v>99009</v>
      </c>
      <c r="BY8">
        <v>104535</v>
      </c>
      <c r="BZ8">
        <v>108676</v>
      </c>
      <c r="CA8">
        <v>119133</v>
      </c>
      <c r="CB8">
        <v>126004</v>
      </c>
      <c r="CC8">
        <v>124467</v>
      </c>
      <c r="CD8">
        <v>124962</v>
      </c>
      <c r="CE8">
        <v>130523</v>
      </c>
      <c r="CF8">
        <v>135113</v>
      </c>
      <c r="CG8">
        <v>148038</v>
      </c>
      <c r="CH8">
        <v>158424</v>
      </c>
    </row>
    <row r="9" spans="1:166">
      <c r="A9" t="s">
        <v>634</v>
      </c>
      <c r="B9" t="s">
        <v>88</v>
      </c>
      <c r="C9">
        <v>1000000</v>
      </c>
      <c r="D9" t="s">
        <v>89</v>
      </c>
      <c r="E9" t="s">
        <v>635</v>
      </c>
      <c r="F9" s="10" t="s">
        <v>636</v>
      </c>
      <c r="G9" t="s">
        <v>97</v>
      </c>
      <c r="H9" t="s">
        <v>97</v>
      </c>
      <c r="I9" t="s">
        <v>97</v>
      </c>
      <c r="J9" t="s">
        <v>97</v>
      </c>
      <c r="K9" t="s">
        <v>97</v>
      </c>
      <c r="L9" t="s">
        <v>97</v>
      </c>
      <c r="M9" t="s">
        <v>97</v>
      </c>
      <c r="N9" t="s">
        <v>97</v>
      </c>
      <c r="O9" t="s">
        <v>97</v>
      </c>
      <c r="P9" t="s">
        <v>97</v>
      </c>
      <c r="Q9" t="s">
        <v>97</v>
      </c>
      <c r="R9" t="s">
        <v>97</v>
      </c>
      <c r="S9" t="s">
        <v>97</v>
      </c>
      <c r="T9" t="s">
        <v>97</v>
      </c>
      <c r="U9">
        <v>1434</v>
      </c>
      <c r="V9">
        <v>1537</v>
      </c>
      <c r="W9">
        <v>1632</v>
      </c>
      <c r="X9">
        <v>1669</v>
      </c>
      <c r="Y9">
        <v>1841</v>
      </c>
      <c r="Z9">
        <v>2080</v>
      </c>
      <c r="AA9">
        <v>2191</v>
      </c>
      <c r="AB9">
        <v>2324</v>
      </c>
      <c r="AC9">
        <v>2542</v>
      </c>
      <c r="AD9">
        <v>2813</v>
      </c>
      <c r="AE9">
        <v>3194</v>
      </c>
      <c r="AF9">
        <v>3239</v>
      </c>
      <c r="AG9">
        <v>3932</v>
      </c>
      <c r="AH9">
        <v>4259</v>
      </c>
      <c r="AI9">
        <v>4552</v>
      </c>
      <c r="AJ9">
        <v>4787</v>
      </c>
      <c r="AK9">
        <v>4965</v>
      </c>
      <c r="AL9">
        <v>5434</v>
      </c>
      <c r="AM9">
        <v>6365</v>
      </c>
      <c r="AN9">
        <v>6853</v>
      </c>
      <c r="AO9">
        <v>6987</v>
      </c>
      <c r="AP9">
        <v>7855</v>
      </c>
      <c r="AQ9">
        <v>9238</v>
      </c>
      <c r="AR9">
        <v>9110</v>
      </c>
      <c r="AS9">
        <v>10302</v>
      </c>
      <c r="AT9">
        <v>11675</v>
      </c>
      <c r="AU9">
        <v>13528</v>
      </c>
      <c r="AV9">
        <v>16049</v>
      </c>
      <c r="AW9">
        <v>18055</v>
      </c>
      <c r="AX9">
        <v>20127</v>
      </c>
      <c r="AY9">
        <v>21503</v>
      </c>
      <c r="AZ9">
        <v>23430</v>
      </c>
      <c r="BA9">
        <v>24767</v>
      </c>
      <c r="BB9">
        <v>25373</v>
      </c>
      <c r="BC9">
        <v>26451</v>
      </c>
      <c r="BD9">
        <v>27544</v>
      </c>
      <c r="BE9">
        <v>29390</v>
      </c>
      <c r="BF9">
        <v>30969</v>
      </c>
      <c r="BG9">
        <v>33171</v>
      </c>
      <c r="BH9">
        <v>33616</v>
      </c>
      <c r="BI9">
        <v>35812</v>
      </c>
      <c r="BJ9">
        <v>36797</v>
      </c>
      <c r="BK9">
        <v>34692</v>
      </c>
      <c r="BL9">
        <v>37370</v>
      </c>
      <c r="BM9">
        <v>39563</v>
      </c>
      <c r="BN9">
        <v>43912</v>
      </c>
      <c r="BO9">
        <v>47071</v>
      </c>
      <c r="BP9">
        <v>49777</v>
      </c>
      <c r="BQ9">
        <v>51421</v>
      </c>
      <c r="BR9">
        <v>51041</v>
      </c>
      <c r="BS9">
        <v>58375</v>
      </c>
      <c r="BT9">
        <v>58714</v>
      </c>
      <c r="BU9">
        <v>54872</v>
      </c>
      <c r="BV9">
        <v>56701</v>
      </c>
      <c r="BW9">
        <v>56388</v>
      </c>
      <c r="BX9">
        <v>60728</v>
      </c>
      <c r="BY9">
        <v>64970</v>
      </c>
      <c r="BZ9">
        <v>72693</v>
      </c>
      <c r="CA9">
        <v>66493</v>
      </c>
      <c r="CB9">
        <v>79315</v>
      </c>
      <c r="CC9">
        <v>69290</v>
      </c>
      <c r="CD9">
        <v>71556</v>
      </c>
      <c r="CE9">
        <v>65044</v>
      </c>
      <c r="CF9">
        <v>83739</v>
      </c>
      <c r="CG9">
        <v>88987</v>
      </c>
      <c r="CH9">
        <v>96114</v>
      </c>
    </row>
    <row r="10" spans="1:166">
      <c r="A10" t="s">
        <v>637</v>
      </c>
      <c r="B10" t="s">
        <v>88</v>
      </c>
      <c r="C10">
        <v>1000000</v>
      </c>
      <c r="D10" t="s">
        <v>89</v>
      </c>
      <c r="E10" t="s">
        <v>638</v>
      </c>
      <c r="F10" s="10" t="s">
        <v>639</v>
      </c>
      <c r="G10" t="s">
        <v>97</v>
      </c>
      <c r="H10" t="s">
        <v>97</v>
      </c>
      <c r="I10" t="s">
        <v>97</v>
      </c>
      <c r="J10" t="s">
        <v>97</v>
      </c>
      <c r="K10" t="s">
        <v>97</v>
      </c>
      <c r="L10" t="s">
        <v>97</v>
      </c>
      <c r="M10" t="s">
        <v>97</v>
      </c>
      <c r="N10" t="s">
        <v>97</v>
      </c>
      <c r="O10" t="s">
        <v>97</v>
      </c>
      <c r="P10" t="s">
        <v>97</v>
      </c>
      <c r="Q10" t="s">
        <v>97</v>
      </c>
      <c r="R10" t="s">
        <v>97</v>
      </c>
      <c r="S10" t="s">
        <v>97</v>
      </c>
      <c r="T10" t="s">
        <v>97</v>
      </c>
      <c r="U10">
        <v>5754</v>
      </c>
      <c r="V10">
        <v>6435</v>
      </c>
      <c r="W10">
        <v>6565</v>
      </c>
      <c r="X10">
        <v>6494</v>
      </c>
      <c r="Y10">
        <v>6146</v>
      </c>
      <c r="Z10">
        <v>7032</v>
      </c>
      <c r="AA10">
        <v>7795</v>
      </c>
      <c r="AB10">
        <v>8504</v>
      </c>
      <c r="AC10">
        <v>9684</v>
      </c>
      <c r="AD10">
        <v>10703</v>
      </c>
      <c r="AE10">
        <v>12535</v>
      </c>
      <c r="AF10">
        <v>13261</v>
      </c>
      <c r="AG10">
        <v>14420</v>
      </c>
      <c r="AH10">
        <v>15310</v>
      </c>
      <c r="AI10">
        <v>15406</v>
      </c>
      <c r="AJ10">
        <v>19012</v>
      </c>
      <c r="AK10">
        <v>21271</v>
      </c>
      <c r="AL10">
        <v>21650</v>
      </c>
      <c r="AM10">
        <v>29132</v>
      </c>
      <c r="AN10">
        <v>38297</v>
      </c>
      <c r="AO10">
        <v>39016</v>
      </c>
      <c r="AP10">
        <v>39641</v>
      </c>
      <c r="AQ10">
        <v>49484</v>
      </c>
      <c r="AR10">
        <v>50137</v>
      </c>
      <c r="AS10">
        <v>60786</v>
      </c>
      <c r="AT10">
        <v>70063</v>
      </c>
      <c r="AU10">
        <v>74079</v>
      </c>
      <c r="AV10">
        <v>58425</v>
      </c>
      <c r="AW10">
        <v>53805</v>
      </c>
      <c r="AX10">
        <v>50234</v>
      </c>
      <c r="AY10">
        <v>72746</v>
      </c>
      <c r="AZ10">
        <v>57362</v>
      </c>
      <c r="BA10">
        <v>58494</v>
      </c>
      <c r="BB10">
        <v>70044</v>
      </c>
      <c r="BC10">
        <v>78112</v>
      </c>
      <c r="BD10">
        <v>83354</v>
      </c>
      <c r="BE10">
        <v>108574</v>
      </c>
      <c r="BF10">
        <v>136898</v>
      </c>
      <c r="BG10">
        <v>172863</v>
      </c>
      <c r="BH10">
        <v>200980</v>
      </c>
      <c r="BI10">
        <v>201103</v>
      </c>
      <c r="BJ10">
        <v>228671</v>
      </c>
      <c r="BK10">
        <v>231206</v>
      </c>
      <c r="BL10">
        <v>226469</v>
      </c>
      <c r="BM10">
        <v>235495</v>
      </c>
      <c r="BN10">
        <v>217737</v>
      </c>
      <c r="BO10">
        <v>272929</v>
      </c>
      <c r="BP10">
        <v>324144</v>
      </c>
      <c r="BQ10">
        <v>206422</v>
      </c>
      <c r="BR10">
        <v>-18731</v>
      </c>
      <c r="BS10">
        <v>207846</v>
      </c>
      <c r="BT10">
        <v>221636</v>
      </c>
      <c r="BU10">
        <v>186997</v>
      </c>
      <c r="BV10">
        <v>285301</v>
      </c>
      <c r="BW10">
        <v>230479</v>
      </c>
      <c r="BX10">
        <v>317045</v>
      </c>
      <c r="BY10">
        <v>344124</v>
      </c>
      <c r="BZ10">
        <v>402116</v>
      </c>
      <c r="CA10">
        <v>387909</v>
      </c>
      <c r="CB10">
        <v>391855</v>
      </c>
      <c r="CC10">
        <v>436810</v>
      </c>
      <c r="CD10">
        <v>416628</v>
      </c>
      <c r="CE10">
        <v>492194</v>
      </c>
      <c r="CF10">
        <v>524813</v>
      </c>
      <c r="CG10">
        <v>523834</v>
      </c>
      <c r="CH10">
        <v>578915</v>
      </c>
    </row>
    <row r="11" spans="1:166">
      <c r="A11" t="s">
        <v>640</v>
      </c>
      <c r="B11" t="s">
        <v>88</v>
      </c>
      <c r="C11">
        <v>1000000</v>
      </c>
      <c r="D11" t="s">
        <v>89</v>
      </c>
      <c r="E11" t="s">
        <v>641</v>
      </c>
      <c r="F11" s="10" t="s">
        <v>642</v>
      </c>
      <c r="G11" t="s">
        <v>97</v>
      </c>
      <c r="H11" t="s">
        <v>97</v>
      </c>
      <c r="I11" t="s">
        <v>97</v>
      </c>
      <c r="J11" t="s">
        <v>97</v>
      </c>
      <c r="K11" t="s">
        <v>97</v>
      </c>
      <c r="L11" t="s">
        <v>97</v>
      </c>
      <c r="M11" t="s">
        <v>97</v>
      </c>
      <c r="N11" t="s">
        <v>97</v>
      </c>
      <c r="O11" t="s">
        <v>97</v>
      </c>
      <c r="P11" t="s">
        <v>97</v>
      </c>
      <c r="Q11" t="s">
        <v>97</v>
      </c>
      <c r="R11" t="s">
        <v>97</v>
      </c>
      <c r="S11" t="s">
        <v>97</v>
      </c>
      <c r="T11" t="s">
        <v>97</v>
      </c>
      <c r="U11">
        <v>5627</v>
      </c>
      <c r="V11">
        <v>6606</v>
      </c>
      <c r="W11">
        <v>6751</v>
      </c>
      <c r="X11">
        <v>7175</v>
      </c>
      <c r="Y11">
        <v>6847</v>
      </c>
      <c r="Z11">
        <v>6970</v>
      </c>
      <c r="AA11">
        <v>8215</v>
      </c>
      <c r="AB11">
        <v>8076</v>
      </c>
      <c r="AC11">
        <v>8499</v>
      </c>
      <c r="AD11">
        <v>9958</v>
      </c>
      <c r="AE11">
        <v>10420</v>
      </c>
      <c r="AF11">
        <v>10367</v>
      </c>
      <c r="AG11">
        <v>12001</v>
      </c>
      <c r="AH11">
        <v>14023</v>
      </c>
      <c r="AI11">
        <v>15145</v>
      </c>
      <c r="AJ11">
        <v>16193</v>
      </c>
      <c r="AK11">
        <v>16631</v>
      </c>
      <c r="AL11">
        <v>17819</v>
      </c>
      <c r="AM11">
        <v>20510</v>
      </c>
      <c r="AN11">
        <v>28545</v>
      </c>
      <c r="AO11">
        <v>29863</v>
      </c>
      <c r="AP11">
        <v>20621</v>
      </c>
      <c r="AQ11">
        <v>14663</v>
      </c>
      <c r="AR11">
        <v>13694</v>
      </c>
      <c r="AS11">
        <v>22708</v>
      </c>
      <c r="AT11">
        <v>27159</v>
      </c>
      <c r="AU11">
        <v>33876</v>
      </c>
      <c r="AV11">
        <v>27984</v>
      </c>
      <c r="AW11">
        <v>34857</v>
      </c>
      <c r="AX11">
        <v>35978</v>
      </c>
      <c r="AY11">
        <v>48915</v>
      </c>
      <c r="AZ11">
        <v>44603</v>
      </c>
      <c r="BA11">
        <v>64107</v>
      </c>
      <c r="BB11">
        <v>84955</v>
      </c>
      <c r="BC11">
        <v>69793</v>
      </c>
      <c r="BD11">
        <v>64707</v>
      </c>
      <c r="BE11">
        <v>85645</v>
      </c>
      <c r="BF11">
        <v>85342</v>
      </c>
      <c r="BG11">
        <v>93845</v>
      </c>
      <c r="BH11">
        <v>94047</v>
      </c>
      <c r="BI11">
        <v>104136</v>
      </c>
      <c r="BJ11">
        <v>105322</v>
      </c>
      <c r="BK11">
        <v>163045</v>
      </c>
      <c r="BL11">
        <v>193992</v>
      </c>
      <c r="BM11">
        <v>202382</v>
      </c>
      <c r="BN11">
        <v>222849</v>
      </c>
      <c r="BO11">
        <v>229076</v>
      </c>
      <c r="BP11">
        <v>247574</v>
      </c>
      <c r="BQ11">
        <v>154448</v>
      </c>
      <c r="BR11">
        <v>26987</v>
      </c>
      <c r="BS11">
        <v>286118</v>
      </c>
      <c r="BT11">
        <v>356478</v>
      </c>
      <c r="BU11">
        <v>293161</v>
      </c>
      <c r="BV11">
        <v>255250</v>
      </c>
      <c r="BW11">
        <v>149771</v>
      </c>
      <c r="BX11">
        <v>268314</v>
      </c>
      <c r="BY11">
        <v>239291</v>
      </c>
      <c r="BZ11">
        <v>342520</v>
      </c>
      <c r="CA11">
        <v>250196</v>
      </c>
      <c r="CB11">
        <v>302065</v>
      </c>
      <c r="CC11">
        <v>325975</v>
      </c>
      <c r="CD11">
        <v>187629</v>
      </c>
      <c r="CE11">
        <v>249854</v>
      </c>
      <c r="CF11">
        <v>322938</v>
      </c>
      <c r="CG11">
        <v>358274</v>
      </c>
      <c r="CH11">
        <v>525479</v>
      </c>
    </row>
    <row r="12" spans="1:166">
      <c r="A12" t="s">
        <v>637</v>
      </c>
      <c r="B12" t="s">
        <v>88</v>
      </c>
      <c r="C12">
        <v>1000000</v>
      </c>
      <c r="D12" t="s">
        <v>89</v>
      </c>
      <c r="E12" t="s">
        <v>638</v>
      </c>
      <c r="F12" s="10" t="s">
        <v>639</v>
      </c>
      <c r="G12" t="s">
        <v>97</v>
      </c>
      <c r="H12" t="s">
        <v>97</v>
      </c>
      <c r="I12" t="s">
        <v>97</v>
      </c>
      <c r="J12" t="s">
        <v>97</v>
      </c>
      <c r="K12" t="s">
        <v>97</v>
      </c>
      <c r="L12" t="s">
        <v>97</v>
      </c>
      <c r="M12" t="s">
        <v>97</v>
      </c>
      <c r="N12" t="s">
        <v>97</v>
      </c>
      <c r="O12" t="s">
        <v>97</v>
      </c>
      <c r="P12" t="s">
        <v>97</v>
      </c>
      <c r="Q12" t="s">
        <v>97</v>
      </c>
      <c r="R12" t="s">
        <v>97</v>
      </c>
      <c r="S12" t="s">
        <v>97</v>
      </c>
      <c r="T12" t="s">
        <v>97</v>
      </c>
      <c r="U12">
        <v>5754</v>
      </c>
      <c r="V12">
        <v>6435</v>
      </c>
      <c r="W12">
        <v>6565</v>
      </c>
      <c r="X12">
        <v>6494</v>
      </c>
      <c r="Y12">
        <v>6146</v>
      </c>
      <c r="Z12">
        <v>7032</v>
      </c>
      <c r="AA12">
        <v>7795</v>
      </c>
      <c r="AB12">
        <v>8504</v>
      </c>
      <c r="AC12">
        <v>9684</v>
      </c>
      <c r="AD12">
        <v>10703</v>
      </c>
      <c r="AE12">
        <v>12535</v>
      </c>
      <c r="AF12">
        <v>13261</v>
      </c>
      <c r="AG12">
        <v>14420</v>
      </c>
      <c r="AH12">
        <v>15310</v>
      </c>
      <c r="AI12">
        <v>15406</v>
      </c>
      <c r="AJ12">
        <v>19012</v>
      </c>
      <c r="AK12">
        <v>21271</v>
      </c>
      <c r="AL12">
        <v>21650</v>
      </c>
      <c r="AM12">
        <v>29132</v>
      </c>
      <c r="AN12">
        <v>38297</v>
      </c>
      <c r="AO12">
        <v>39016</v>
      </c>
      <c r="AP12">
        <v>39641</v>
      </c>
      <c r="AQ12">
        <v>49484</v>
      </c>
      <c r="AR12">
        <v>50137</v>
      </c>
      <c r="AS12">
        <v>60786</v>
      </c>
      <c r="AT12">
        <v>70063</v>
      </c>
      <c r="AU12">
        <v>74079</v>
      </c>
      <c r="AV12">
        <v>58425</v>
      </c>
      <c r="AW12">
        <v>53805</v>
      </c>
      <c r="AX12">
        <v>50234</v>
      </c>
      <c r="AY12">
        <v>72746</v>
      </c>
      <c r="AZ12">
        <v>57362</v>
      </c>
      <c r="BA12">
        <v>58494</v>
      </c>
      <c r="BB12">
        <v>70044</v>
      </c>
      <c r="BC12">
        <v>78112</v>
      </c>
      <c r="BD12">
        <v>83354</v>
      </c>
      <c r="BE12">
        <v>108574</v>
      </c>
      <c r="BF12">
        <v>136898</v>
      </c>
      <c r="BG12">
        <v>172863</v>
      </c>
      <c r="BH12">
        <v>200980</v>
      </c>
      <c r="BI12">
        <v>201103</v>
      </c>
      <c r="BJ12">
        <v>228671</v>
      </c>
      <c r="BK12">
        <v>231206</v>
      </c>
      <c r="BL12">
        <v>226469</v>
      </c>
      <c r="BM12">
        <v>235495</v>
      </c>
      <c r="BN12">
        <v>217737</v>
      </c>
      <c r="BO12">
        <v>272929</v>
      </c>
      <c r="BP12">
        <v>324144</v>
      </c>
      <c r="BQ12">
        <v>206422</v>
      </c>
      <c r="BR12">
        <v>-18731</v>
      </c>
      <c r="BS12">
        <v>207846</v>
      </c>
      <c r="BT12">
        <v>221636</v>
      </c>
      <c r="BU12">
        <v>186997</v>
      </c>
      <c r="BV12">
        <v>285301</v>
      </c>
      <c r="BW12">
        <v>230479</v>
      </c>
      <c r="BX12">
        <v>317045</v>
      </c>
      <c r="BY12">
        <v>344124</v>
      </c>
      <c r="BZ12">
        <v>402116</v>
      </c>
      <c r="CA12">
        <v>387909</v>
      </c>
      <c r="CB12">
        <v>391855</v>
      </c>
      <c r="CC12">
        <v>436810</v>
      </c>
      <c r="CD12">
        <v>416628</v>
      </c>
      <c r="CE12">
        <v>492194</v>
      </c>
      <c r="CF12">
        <v>524813</v>
      </c>
      <c r="CG12">
        <v>523834</v>
      </c>
      <c r="CH12">
        <v>578915</v>
      </c>
    </row>
    <row r="13" spans="1:166">
      <c r="A13" t="s">
        <v>643</v>
      </c>
      <c r="B13" t="s">
        <v>88</v>
      </c>
      <c r="C13">
        <v>1000000</v>
      </c>
      <c r="D13" t="s">
        <v>89</v>
      </c>
      <c r="E13" t="s">
        <v>644</v>
      </c>
      <c r="F13" s="10" t="s">
        <v>645</v>
      </c>
      <c r="G13" t="s">
        <v>97</v>
      </c>
      <c r="H13" t="s">
        <v>97</v>
      </c>
      <c r="I13" t="s">
        <v>97</v>
      </c>
      <c r="J13" t="s">
        <v>97</v>
      </c>
      <c r="K13" t="s">
        <v>97</v>
      </c>
      <c r="L13" t="s">
        <v>97</v>
      </c>
      <c r="M13" t="s">
        <v>97</v>
      </c>
      <c r="N13" t="s">
        <v>97</v>
      </c>
      <c r="O13" t="s">
        <v>97</v>
      </c>
      <c r="P13" t="s">
        <v>97</v>
      </c>
      <c r="Q13" t="s">
        <v>97</v>
      </c>
      <c r="R13" t="s">
        <v>97</v>
      </c>
      <c r="S13" t="s">
        <v>97</v>
      </c>
      <c r="T13" t="s">
        <v>97</v>
      </c>
      <c r="U13">
        <v>28248</v>
      </c>
      <c r="V13">
        <v>31736</v>
      </c>
      <c r="W13">
        <v>33849</v>
      </c>
      <c r="X13">
        <v>37981</v>
      </c>
      <c r="Y13">
        <v>41716</v>
      </c>
      <c r="Z13">
        <v>46298</v>
      </c>
      <c r="AA13">
        <v>50936</v>
      </c>
      <c r="AB13">
        <v>55924</v>
      </c>
      <c r="AC13">
        <v>61358</v>
      </c>
      <c r="AD13">
        <v>71578</v>
      </c>
      <c r="AE13">
        <v>84545</v>
      </c>
      <c r="AF13">
        <v>101462</v>
      </c>
      <c r="AG13">
        <v>112088</v>
      </c>
      <c r="AH13">
        <v>125941</v>
      </c>
      <c r="AI13">
        <v>152966</v>
      </c>
      <c r="AJ13">
        <v>186693</v>
      </c>
      <c r="AK13">
        <v>207444</v>
      </c>
      <c r="AL13">
        <v>215464</v>
      </c>
      <c r="AM13">
        <v>238114</v>
      </c>
      <c r="AN13">
        <v>279972</v>
      </c>
      <c r="AO13">
        <v>339825</v>
      </c>
      <c r="AP13">
        <v>418734</v>
      </c>
      <c r="AQ13">
        <v>539909</v>
      </c>
      <c r="AR13">
        <v>623732</v>
      </c>
      <c r="AS13">
        <v>647186</v>
      </c>
      <c r="AT13">
        <v>706015</v>
      </c>
      <c r="AU13">
        <v>773030</v>
      </c>
      <c r="AV13">
        <v>810046</v>
      </c>
      <c r="AW13">
        <v>876319</v>
      </c>
      <c r="AX13">
        <v>991098</v>
      </c>
      <c r="AY13">
        <v>1150750</v>
      </c>
      <c r="AZ13">
        <v>1174075</v>
      </c>
      <c r="BA13">
        <v>1124742</v>
      </c>
      <c r="BB13">
        <v>1040698</v>
      </c>
      <c r="BC13">
        <v>1030223</v>
      </c>
      <c r="BD13">
        <v>1117850</v>
      </c>
      <c r="BE13">
        <v>1303859</v>
      </c>
      <c r="BF13">
        <v>1342292</v>
      </c>
      <c r="BG13">
        <v>1455932</v>
      </c>
      <c r="BH13">
        <v>1560271</v>
      </c>
      <c r="BI13">
        <v>1652864</v>
      </c>
      <c r="BJ13">
        <v>1922919</v>
      </c>
      <c r="BK13">
        <v>1881669</v>
      </c>
      <c r="BL13">
        <v>1625183</v>
      </c>
      <c r="BM13">
        <v>1560192</v>
      </c>
      <c r="BN13">
        <v>1796030</v>
      </c>
      <c r="BO13">
        <v>2210049</v>
      </c>
      <c r="BP13">
        <v>2804479</v>
      </c>
      <c r="BQ13">
        <v>3275813</v>
      </c>
      <c r="BR13">
        <v>2916509</v>
      </c>
      <c r="BS13">
        <v>2283106</v>
      </c>
      <c r="BT13">
        <v>2191411</v>
      </c>
      <c r="BU13">
        <v>2164433</v>
      </c>
      <c r="BV13">
        <v>2104833</v>
      </c>
      <c r="BW13">
        <v>2059758</v>
      </c>
      <c r="BX13">
        <v>2089803</v>
      </c>
      <c r="BY13">
        <v>2107536</v>
      </c>
      <c r="BZ13">
        <v>2193942</v>
      </c>
      <c r="CA13">
        <v>2413624</v>
      </c>
      <c r="CB13">
        <v>2714006</v>
      </c>
      <c r="CC13">
        <v>2816597</v>
      </c>
      <c r="CD13">
        <v>2334708</v>
      </c>
      <c r="CE13">
        <v>2338032</v>
      </c>
      <c r="CF13">
        <v>2965436</v>
      </c>
      <c r="CG13">
        <v>4128773</v>
      </c>
      <c r="CH13">
        <v>4569056</v>
      </c>
    </row>
    <row r="14" spans="1:166">
      <c r="A14" t="s">
        <v>646</v>
      </c>
      <c r="B14" t="s">
        <v>88</v>
      </c>
      <c r="C14">
        <v>1000000</v>
      </c>
      <c r="D14" t="s">
        <v>89</v>
      </c>
      <c r="E14" t="s">
        <v>647</v>
      </c>
      <c r="F14" s="10" t="s">
        <v>648</v>
      </c>
      <c r="G14" t="s">
        <v>97</v>
      </c>
      <c r="H14" t="s">
        <v>97</v>
      </c>
      <c r="I14" t="s">
        <v>97</v>
      </c>
      <c r="J14" t="s">
        <v>97</v>
      </c>
      <c r="K14" t="s">
        <v>97</v>
      </c>
      <c r="L14" t="s">
        <v>97</v>
      </c>
      <c r="M14" t="s">
        <v>97</v>
      </c>
      <c r="N14" t="s">
        <v>97</v>
      </c>
      <c r="O14" t="s">
        <v>97</v>
      </c>
      <c r="P14" t="s">
        <v>97</v>
      </c>
      <c r="Q14" t="s">
        <v>97</v>
      </c>
      <c r="R14" t="s">
        <v>97</v>
      </c>
      <c r="S14" t="s">
        <v>97</v>
      </c>
      <c r="T14" t="s">
        <v>97</v>
      </c>
      <c r="U14">
        <v>26518</v>
      </c>
      <c r="V14">
        <v>29881</v>
      </c>
      <c r="W14">
        <v>31935</v>
      </c>
      <c r="X14">
        <v>35672</v>
      </c>
      <c r="Y14">
        <v>39510</v>
      </c>
      <c r="Z14">
        <v>43509</v>
      </c>
      <c r="AA14">
        <v>47509</v>
      </c>
      <c r="AB14">
        <v>52906</v>
      </c>
      <c r="AC14">
        <v>58325</v>
      </c>
      <c r="AD14">
        <v>66438</v>
      </c>
      <c r="AE14">
        <v>78779</v>
      </c>
      <c r="AF14">
        <v>95414</v>
      </c>
      <c r="AG14">
        <v>105540</v>
      </c>
      <c r="AH14">
        <v>118729</v>
      </c>
      <c r="AI14">
        <v>144194</v>
      </c>
      <c r="AJ14">
        <v>176829</v>
      </c>
      <c r="AK14">
        <v>196857</v>
      </c>
      <c r="AL14">
        <v>204180</v>
      </c>
      <c r="AM14">
        <v>224668</v>
      </c>
      <c r="AN14">
        <v>264012</v>
      </c>
      <c r="AO14">
        <v>320043</v>
      </c>
      <c r="AP14">
        <v>395941</v>
      </c>
      <c r="AQ14">
        <v>515748</v>
      </c>
      <c r="AR14">
        <v>599418</v>
      </c>
      <c r="AS14">
        <v>619693</v>
      </c>
      <c r="AT14">
        <v>675015</v>
      </c>
      <c r="AU14">
        <v>739295</v>
      </c>
      <c r="AV14">
        <v>775246</v>
      </c>
      <c r="AW14">
        <v>839767</v>
      </c>
      <c r="AX14">
        <v>945785</v>
      </c>
      <c r="AY14">
        <v>1098684</v>
      </c>
      <c r="AZ14">
        <v>1117313</v>
      </c>
      <c r="BA14">
        <v>1065798</v>
      </c>
      <c r="BB14">
        <v>975705</v>
      </c>
      <c r="BC14">
        <v>956534</v>
      </c>
      <c r="BD14">
        <v>1034859</v>
      </c>
      <c r="BE14">
        <v>1208808</v>
      </c>
      <c r="BF14">
        <v>1231691</v>
      </c>
      <c r="BG14">
        <v>1332357</v>
      </c>
      <c r="BH14">
        <v>1430355</v>
      </c>
      <c r="BI14">
        <v>1513270</v>
      </c>
      <c r="BJ14">
        <v>1779653</v>
      </c>
      <c r="BK14">
        <v>1742644</v>
      </c>
      <c r="BL14">
        <v>1480800</v>
      </c>
      <c r="BM14">
        <v>1397855</v>
      </c>
      <c r="BN14">
        <v>1588298</v>
      </c>
      <c r="BO14">
        <v>1979593</v>
      </c>
      <c r="BP14">
        <v>2506423</v>
      </c>
      <c r="BQ14">
        <v>2911261</v>
      </c>
      <c r="BR14">
        <v>2532092</v>
      </c>
      <c r="BS14">
        <v>1958575</v>
      </c>
      <c r="BT14">
        <v>1816988</v>
      </c>
      <c r="BU14">
        <v>1780702</v>
      </c>
      <c r="BV14">
        <v>1690450</v>
      </c>
      <c r="BW14">
        <v>1586375</v>
      </c>
      <c r="BX14">
        <v>1588116</v>
      </c>
      <c r="BY14">
        <v>1593962</v>
      </c>
      <c r="BZ14">
        <v>1680538</v>
      </c>
      <c r="CA14">
        <v>1830870</v>
      </c>
      <c r="CB14">
        <v>2071815</v>
      </c>
      <c r="CC14">
        <v>2227435</v>
      </c>
      <c r="CD14">
        <v>1755711</v>
      </c>
      <c r="CE14">
        <v>1671466</v>
      </c>
      <c r="CF14">
        <v>2268753</v>
      </c>
      <c r="CG14">
        <v>3400169</v>
      </c>
      <c r="CH14">
        <v>3789272</v>
      </c>
    </row>
    <row r="15" spans="1:166">
      <c r="A15" t="s">
        <v>649</v>
      </c>
      <c r="B15" t="s">
        <v>88</v>
      </c>
      <c r="C15">
        <v>1000000</v>
      </c>
      <c r="D15" t="s">
        <v>89</v>
      </c>
      <c r="E15" t="s">
        <v>650</v>
      </c>
      <c r="F15" s="10" t="s">
        <v>651</v>
      </c>
      <c r="G15" t="s">
        <v>97</v>
      </c>
      <c r="H15" t="s">
        <v>97</v>
      </c>
      <c r="I15" t="s">
        <v>97</v>
      </c>
      <c r="J15" t="s">
        <v>97</v>
      </c>
      <c r="K15" t="s">
        <v>97</v>
      </c>
      <c r="L15" t="s">
        <v>97</v>
      </c>
      <c r="M15" t="s">
        <v>97</v>
      </c>
      <c r="N15" t="s">
        <v>97</v>
      </c>
      <c r="O15" t="s">
        <v>97</v>
      </c>
      <c r="P15" t="s">
        <v>97</v>
      </c>
      <c r="Q15" t="s">
        <v>97</v>
      </c>
      <c r="R15" t="s">
        <v>97</v>
      </c>
      <c r="S15" t="s">
        <v>97</v>
      </c>
      <c r="T15">
        <v>1615</v>
      </c>
      <c r="U15">
        <v>1691</v>
      </c>
      <c r="V15">
        <v>1805</v>
      </c>
      <c r="W15">
        <v>1870</v>
      </c>
      <c r="X15">
        <v>2257</v>
      </c>
      <c r="Y15">
        <v>2139</v>
      </c>
      <c r="Z15">
        <v>2723</v>
      </c>
      <c r="AA15">
        <v>3357</v>
      </c>
      <c r="AB15">
        <v>2941</v>
      </c>
      <c r="AC15">
        <v>2952</v>
      </c>
      <c r="AD15">
        <v>5030</v>
      </c>
      <c r="AE15">
        <v>5639</v>
      </c>
      <c r="AF15">
        <v>5904</v>
      </c>
      <c r="AG15">
        <v>6392</v>
      </c>
      <c r="AH15">
        <v>6982</v>
      </c>
      <c r="AI15">
        <v>8337</v>
      </c>
      <c r="AJ15">
        <v>9417</v>
      </c>
      <c r="AK15">
        <v>10077</v>
      </c>
      <c r="AL15">
        <v>10762</v>
      </c>
      <c r="AM15">
        <v>12961</v>
      </c>
      <c r="AN15">
        <v>15207</v>
      </c>
      <c r="AO15">
        <v>18598</v>
      </c>
      <c r="AP15">
        <v>21611</v>
      </c>
      <c r="AQ15">
        <v>23196</v>
      </c>
      <c r="AR15">
        <v>23491</v>
      </c>
      <c r="AS15">
        <v>25887</v>
      </c>
      <c r="AT15">
        <v>28842</v>
      </c>
      <c r="AU15">
        <v>31568</v>
      </c>
      <c r="AV15">
        <v>33007</v>
      </c>
      <c r="AW15">
        <v>33819</v>
      </c>
      <c r="AX15">
        <v>42770</v>
      </c>
      <c r="AY15">
        <v>48986</v>
      </c>
      <c r="AZ15">
        <v>52180</v>
      </c>
      <c r="BA15">
        <v>54809</v>
      </c>
      <c r="BB15">
        <v>60793</v>
      </c>
      <c r="BC15">
        <v>66741</v>
      </c>
      <c r="BD15">
        <v>76368</v>
      </c>
      <c r="BE15">
        <v>86470</v>
      </c>
      <c r="BF15">
        <v>102075</v>
      </c>
      <c r="BG15">
        <v>114076</v>
      </c>
      <c r="BH15">
        <v>122114</v>
      </c>
      <c r="BI15">
        <v>129135</v>
      </c>
      <c r="BJ15">
        <v>129902</v>
      </c>
      <c r="BK15">
        <v>127966</v>
      </c>
      <c r="BL15">
        <v>130593</v>
      </c>
      <c r="BM15">
        <v>142209</v>
      </c>
      <c r="BN15">
        <v>179433</v>
      </c>
      <c r="BO15">
        <v>229008</v>
      </c>
      <c r="BP15">
        <v>261581</v>
      </c>
      <c r="BQ15">
        <v>322669</v>
      </c>
      <c r="BR15">
        <v>338678</v>
      </c>
      <c r="BS15">
        <v>275723</v>
      </c>
      <c r="BT15">
        <v>308855</v>
      </c>
      <c r="BU15">
        <v>318938</v>
      </c>
      <c r="BV15">
        <v>359141</v>
      </c>
      <c r="BW15">
        <v>414307</v>
      </c>
      <c r="BX15">
        <v>450241</v>
      </c>
      <c r="BY15">
        <v>462935</v>
      </c>
      <c r="BZ15">
        <v>467414</v>
      </c>
      <c r="CA15">
        <v>526407</v>
      </c>
      <c r="CB15">
        <v>681009</v>
      </c>
      <c r="CC15">
        <v>559955</v>
      </c>
      <c r="CD15">
        <v>543224</v>
      </c>
      <c r="CE15">
        <v>616763</v>
      </c>
      <c r="CF15">
        <v>652178</v>
      </c>
      <c r="CG15">
        <v>689836</v>
      </c>
      <c r="CH15">
        <v>726462</v>
      </c>
    </row>
    <row r="16" spans="1:166">
      <c r="A16" t="s">
        <v>652</v>
      </c>
      <c r="B16" t="s">
        <v>88</v>
      </c>
      <c r="C16">
        <v>1000000</v>
      </c>
      <c r="D16" t="s">
        <v>89</v>
      </c>
      <c r="E16" t="s">
        <v>653</v>
      </c>
      <c r="F16" s="10" t="s">
        <v>654</v>
      </c>
      <c r="G16" t="s">
        <v>97</v>
      </c>
      <c r="H16">
        <v>18</v>
      </c>
      <c r="I16">
        <v>17</v>
      </c>
      <c r="J16">
        <v>18</v>
      </c>
      <c r="K16">
        <v>14</v>
      </c>
      <c r="L16">
        <v>15</v>
      </c>
      <c r="M16">
        <v>24</v>
      </c>
      <c r="N16">
        <v>28</v>
      </c>
      <c r="O16">
        <v>26</v>
      </c>
      <c r="P16">
        <v>23</v>
      </c>
      <c r="Q16">
        <v>33</v>
      </c>
      <c r="R16">
        <v>41</v>
      </c>
      <c r="S16">
        <v>46</v>
      </c>
      <c r="T16">
        <v>33</v>
      </c>
      <c r="U16">
        <v>39</v>
      </c>
      <c r="V16">
        <v>50</v>
      </c>
      <c r="W16">
        <v>44</v>
      </c>
      <c r="X16">
        <v>52</v>
      </c>
      <c r="Y16">
        <v>67</v>
      </c>
      <c r="Z16">
        <v>66</v>
      </c>
      <c r="AA16">
        <v>70</v>
      </c>
      <c r="AB16">
        <v>77</v>
      </c>
      <c r="AC16">
        <v>81</v>
      </c>
      <c r="AD16">
        <v>110</v>
      </c>
      <c r="AE16">
        <v>127</v>
      </c>
      <c r="AF16">
        <v>144</v>
      </c>
      <c r="AG16">
        <v>156</v>
      </c>
      <c r="AH16">
        <v>230</v>
      </c>
      <c r="AI16">
        <v>436</v>
      </c>
      <c r="AJ16">
        <v>447</v>
      </c>
      <c r="AK16">
        <v>510</v>
      </c>
      <c r="AL16">
        <v>523</v>
      </c>
      <c r="AM16">
        <v>484</v>
      </c>
      <c r="AN16">
        <v>753</v>
      </c>
      <c r="AO16">
        <v>1184</v>
      </c>
      <c r="AP16">
        <v>1182</v>
      </c>
      <c r="AQ16">
        <v>964</v>
      </c>
      <c r="AR16">
        <v>823</v>
      </c>
      <c r="AS16">
        <v>1606</v>
      </c>
      <c r="AT16">
        <v>2158</v>
      </c>
      <c r="AU16">
        <v>2167</v>
      </c>
      <c r="AV16">
        <v>1793</v>
      </c>
      <c r="AW16">
        <v>2733</v>
      </c>
      <c r="AX16">
        <v>2542</v>
      </c>
      <c r="AY16">
        <v>3080</v>
      </c>
      <c r="AZ16">
        <v>4582</v>
      </c>
      <c r="BA16">
        <v>4135</v>
      </c>
      <c r="BB16">
        <v>4201</v>
      </c>
      <c r="BC16">
        <v>6948</v>
      </c>
      <c r="BD16">
        <v>6623</v>
      </c>
      <c r="BE16">
        <v>8581</v>
      </c>
      <c r="BF16">
        <v>8526</v>
      </c>
      <c r="BG16">
        <v>9499</v>
      </c>
      <c r="BH16">
        <v>7802</v>
      </c>
      <c r="BI16">
        <v>10459</v>
      </c>
      <c r="BJ16">
        <v>13363</v>
      </c>
      <c r="BK16">
        <v>11059</v>
      </c>
      <c r="BL16">
        <v>13790</v>
      </c>
      <c r="BM16">
        <v>20128</v>
      </c>
      <c r="BN16">
        <v>28299</v>
      </c>
      <c r="BO16">
        <v>1447</v>
      </c>
      <c r="BP16">
        <v>36475</v>
      </c>
      <c r="BQ16">
        <v>41883</v>
      </c>
      <c r="BR16">
        <v>45739</v>
      </c>
      <c r="BS16">
        <v>48808</v>
      </c>
      <c r="BT16">
        <v>65568</v>
      </c>
      <c r="BU16">
        <v>64793</v>
      </c>
      <c r="BV16">
        <v>55242</v>
      </c>
      <c r="BW16">
        <v>59076</v>
      </c>
      <c r="BX16">
        <v>51446</v>
      </c>
      <c r="BY16">
        <v>50639</v>
      </c>
      <c r="BZ16">
        <v>45990</v>
      </c>
      <c r="CA16">
        <v>56347</v>
      </c>
      <c r="CB16">
        <v>-38818</v>
      </c>
      <c r="CC16">
        <v>29206</v>
      </c>
      <c r="CD16">
        <v>35773</v>
      </c>
      <c r="CE16">
        <v>49803</v>
      </c>
      <c r="CF16">
        <v>44505</v>
      </c>
      <c r="CG16">
        <v>38768</v>
      </c>
      <c r="CH16">
        <v>53322</v>
      </c>
    </row>
    <row r="17" spans="1:166">
      <c r="A17" t="s">
        <v>655</v>
      </c>
      <c r="B17" t="s">
        <v>88</v>
      </c>
      <c r="C17">
        <v>1000000</v>
      </c>
      <c r="D17" t="s">
        <v>89</v>
      </c>
      <c r="E17" t="s">
        <v>656</v>
      </c>
      <c r="F17" s="10" t="s">
        <v>657</v>
      </c>
      <c r="G17" t="s">
        <v>97</v>
      </c>
      <c r="H17" t="s">
        <v>97</v>
      </c>
      <c r="I17" t="s">
        <v>97</v>
      </c>
      <c r="J17" t="s">
        <v>97</v>
      </c>
      <c r="K17" t="s">
        <v>97</v>
      </c>
      <c r="L17" t="s">
        <v>97</v>
      </c>
      <c r="M17" t="s">
        <v>97</v>
      </c>
      <c r="N17" t="s">
        <v>97</v>
      </c>
      <c r="O17" t="s">
        <v>97</v>
      </c>
      <c r="P17" t="s">
        <v>97</v>
      </c>
      <c r="Q17" t="s">
        <v>97</v>
      </c>
      <c r="R17" t="s">
        <v>97</v>
      </c>
      <c r="S17" t="s">
        <v>97</v>
      </c>
      <c r="T17" t="s">
        <v>97</v>
      </c>
      <c r="U17">
        <v>28375</v>
      </c>
      <c r="V17">
        <v>31565</v>
      </c>
      <c r="W17">
        <v>33664</v>
      </c>
      <c r="X17">
        <v>37300</v>
      </c>
      <c r="Y17">
        <v>41015</v>
      </c>
      <c r="Z17">
        <v>46360</v>
      </c>
      <c r="AA17">
        <v>50517</v>
      </c>
      <c r="AB17">
        <v>56352</v>
      </c>
      <c r="AC17">
        <v>62543</v>
      </c>
      <c r="AD17">
        <v>72323</v>
      </c>
      <c r="AE17">
        <v>86660</v>
      </c>
      <c r="AF17">
        <v>104356</v>
      </c>
      <c r="AG17">
        <v>114507</v>
      </c>
      <c r="AH17">
        <v>127228</v>
      </c>
      <c r="AI17">
        <v>153228</v>
      </c>
      <c r="AJ17">
        <v>189512</v>
      </c>
      <c r="AK17">
        <v>212084</v>
      </c>
      <c r="AL17">
        <v>219295</v>
      </c>
      <c r="AM17">
        <v>246736</v>
      </c>
      <c r="AN17">
        <v>289724</v>
      </c>
      <c r="AO17">
        <v>348978</v>
      </c>
      <c r="AP17">
        <v>437754</v>
      </c>
      <c r="AQ17">
        <v>574729</v>
      </c>
      <c r="AR17">
        <v>660175</v>
      </c>
      <c r="AS17">
        <v>685265</v>
      </c>
      <c r="AT17">
        <v>748920</v>
      </c>
      <c r="AU17">
        <v>813234</v>
      </c>
      <c r="AV17">
        <v>840487</v>
      </c>
      <c r="AW17">
        <v>895267</v>
      </c>
      <c r="AX17">
        <v>1005353</v>
      </c>
      <c r="AY17">
        <v>1174580</v>
      </c>
      <c r="AZ17">
        <v>1186834</v>
      </c>
      <c r="BA17">
        <v>1119129</v>
      </c>
      <c r="BB17">
        <v>1025787</v>
      </c>
      <c r="BC17">
        <v>1038542</v>
      </c>
      <c r="BD17">
        <v>1136497</v>
      </c>
      <c r="BE17">
        <v>1326789</v>
      </c>
      <c r="BF17">
        <v>1393849</v>
      </c>
      <c r="BG17">
        <v>1534950</v>
      </c>
      <c r="BH17">
        <v>1667204</v>
      </c>
      <c r="BI17">
        <v>1749831</v>
      </c>
      <c r="BJ17">
        <v>2046268</v>
      </c>
      <c r="BK17">
        <v>1949830</v>
      </c>
      <c r="BL17">
        <v>1657661</v>
      </c>
      <c r="BM17">
        <v>1593305</v>
      </c>
      <c r="BN17">
        <v>1790919</v>
      </c>
      <c r="BO17">
        <v>2253902</v>
      </c>
      <c r="BP17">
        <v>2881049</v>
      </c>
      <c r="BQ17">
        <v>3327787</v>
      </c>
      <c r="BR17">
        <v>2870792</v>
      </c>
      <c r="BS17">
        <v>2204834</v>
      </c>
      <c r="BT17">
        <v>2056568</v>
      </c>
      <c r="BU17">
        <v>2058269</v>
      </c>
      <c r="BV17">
        <v>2134884</v>
      </c>
      <c r="BW17">
        <v>2140466</v>
      </c>
      <c r="BX17">
        <v>2138534</v>
      </c>
      <c r="BY17">
        <v>2212369</v>
      </c>
      <c r="BZ17">
        <v>2253538</v>
      </c>
      <c r="CA17">
        <v>2551337</v>
      </c>
      <c r="CB17">
        <v>2803797</v>
      </c>
      <c r="CC17">
        <v>2927432</v>
      </c>
      <c r="CD17">
        <v>2563707</v>
      </c>
      <c r="CE17">
        <v>2580372</v>
      </c>
      <c r="CF17">
        <v>3167311</v>
      </c>
      <c r="CG17">
        <v>4294333</v>
      </c>
      <c r="CH17">
        <v>4622493</v>
      </c>
    </row>
    <row r="18" spans="1:166">
      <c r="A18" t="s">
        <v>658</v>
      </c>
      <c r="B18" t="s">
        <v>88</v>
      </c>
      <c r="C18">
        <v>1000000</v>
      </c>
      <c r="D18" t="s">
        <v>89</v>
      </c>
      <c r="E18" t="s">
        <v>659</v>
      </c>
      <c r="F18" s="10" t="s">
        <v>660</v>
      </c>
      <c r="G18" t="s">
        <v>97</v>
      </c>
      <c r="H18" t="s">
        <v>97</v>
      </c>
      <c r="I18" t="s">
        <v>97</v>
      </c>
      <c r="J18" t="s">
        <v>97</v>
      </c>
      <c r="K18" t="s">
        <v>97</v>
      </c>
      <c r="L18" t="s">
        <v>97</v>
      </c>
      <c r="M18" t="s">
        <v>97</v>
      </c>
      <c r="N18" t="s">
        <v>97</v>
      </c>
      <c r="O18" t="s">
        <v>97</v>
      </c>
      <c r="P18" t="s">
        <v>97</v>
      </c>
      <c r="Q18" t="s">
        <v>97</v>
      </c>
      <c r="R18" t="s">
        <v>97</v>
      </c>
      <c r="S18" t="s">
        <v>97</v>
      </c>
      <c r="T18" t="s">
        <v>97</v>
      </c>
      <c r="U18">
        <v>23162</v>
      </c>
      <c r="V18">
        <v>26225</v>
      </c>
      <c r="W18">
        <v>28252</v>
      </c>
      <c r="X18">
        <v>31611</v>
      </c>
      <c r="Y18">
        <v>34834</v>
      </c>
      <c r="Z18">
        <v>38778</v>
      </c>
      <c r="AA18">
        <v>42609</v>
      </c>
      <c r="AB18">
        <v>47993</v>
      </c>
      <c r="AC18">
        <v>53654</v>
      </c>
      <c r="AD18">
        <v>60389</v>
      </c>
      <c r="AE18">
        <v>73497</v>
      </c>
      <c r="AF18">
        <v>89774</v>
      </c>
      <c r="AG18">
        <v>98929</v>
      </c>
      <c r="AH18">
        <v>110584</v>
      </c>
      <c r="AI18">
        <v>134752</v>
      </c>
      <c r="AJ18">
        <v>169257</v>
      </c>
      <c r="AK18">
        <v>191067</v>
      </c>
      <c r="AL18">
        <v>196291</v>
      </c>
      <c r="AM18">
        <v>218871</v>
      </c>
      <c r="AN18">
        <v>257445</v>
      </c>
      <c r="AO18">
        <v>311606</v>
      </c>
      <c r="AP18">
        <v>396208</v>
      </c>
      <c r="AQ18">
        <v>526856</v>
      </c>
      <c r="AR18">
        <v>613666</v>
      </c>
      <c r="AS18">
        <v>630741</v>
      </c>
      <c r="AT18">
        <v>688114</v>
      </c>
      <c r="AU18">
        <v>744588</v>
      </c>
      <c r="AV18">
        <v>767628</v>
      </c>
      <c r="AW18">
        <v>818536</v>
      </c>
      <c r="AX18">
        <v>911688</v>
      </c>
      <c r="AY18">
        <v>1064643</v>
      </c>
      <c r="AZ18">
        <v>1064147</v>
      </c>
      <c r="BA18">
        <v>992443</v>
      </c>
      <c r="BB18">
        <v>905313</v>
      </c>
      <c r="BC18">
        <v>900519</v>
      </c>
      <c r="BD18">
        <v>978939</v>
      </c>
      <c r="BE18">
        <v>1138356</v>
      </c>
      <c r="BF18">
        <v>1167614</v>
      </c>
      <c r="BG18">
        <v>1280859</v>
      </c>
      <c r="BH18">
        <v>1395785</v>
      </c>
      <c r="BI18">
        <v>1453932</v>
      </c>
      <c r="BJ18">
        <v>1722963</v>
      </c>
      <c r="BK18">
        <v>1652030</v>
      </c>
      <c r="BL18">
        <v>1347666</v>
      </c>
      <c r="BM18">
        <v>1269714</v>
      </c>
      <c r="BN18">
        <v>1404125</v>
      </c>
      <c r="BO18">
        <v>1826613</v>
      </c>
      <c r="BP18">
        <v>2391502</v>
      </c>
      <c r="BQ18">
        <v>2759876</v>
      </c>
      <c r="BR18">
        <v>2332160</v>
      </c>
      <c r="BS18">
        <v>1701673</v>
      </c>
      <c r="BT18">
        <v>1517441</v>
      </c>
      <c r="BU18">
        <v>1495439</v>
      </c>
      <c r="BV18">
        <v>1463847</v>
      </c>
      <c r="BW18">
        <v>1350935</v>
      </c>
      <c r="BX18">
        <v>1381931</v>
      </c>
      <c r="BY18">
        <v>1443837</v>
      </c>
      <c r="BZ18">
        <v>1506495</v>
      </c>
      <c r="CA18">
        <v>1684645</v>
      </c>
      <c r="CB18">
        <v>1938914</v>
      </c>
      <c r="CC18">
        <v>2047300</v>
      </c>
      <c r="CD18">
        <v>1607947</v>
      </c>
      <c r="CE18">
        <v>1480243</v>
      </c>
      <c r="CF18">
        <v>2052186</v>
      </c>
      <c r="CG18">
        <v>3160238</v>
      </c>
      <c r="CH18">
        <v>3458572</v>
      </c>
    </row>
    <row r="19" spans="1:166">
      <c r="A19" t="s">
        <v>661</v>
      </c>
      <c r="B19" t="s">
        <v>88</v>
      </c>
      <c r="C19">
        <v>1000000</v>
      </c>
      <c r="D19" t="s">
        <v>89</v>
      </c>
      <c r="E19" t="s">
        <v>662</v>
      </c>
      <c r="F19" s="10" t="s">
        <v>663</v>
      </c>
      <c r="G19" t="s">
        <v>97</v>
      </c>
      <c r="H19" t="s">
        <v>97</v>
      </c>
      <c r="I19" t="s">
        <v>97</v>
      </c>
      <c r="J19" t="s">
        <v>97</v>
      </c>
      <c r="K19" t="s">
        <v>97</v>
      </c>
      <c r="L19" t="s">
        <v>97</v>
      </c>
      <c r="M19" t="s">
        <v>97</v>
      </c>
      <c r="N19" t="s">
        <v>97</v>
      </c>
      <c r="O19" t="s">
        <v>97</v>
      </c>
      <c r="P19" t="s">
        <v>97</v>
      </c>
      <c r="Q19" t="s">
        <v>97</v>
      </c>
      <c r="R19" t="s">
        <v>97</v>
      </c>
      <c r="S19" t="s">
        <v>97</v>
      </c>
      <c r="T19" t="s">
        <v>97</v>
      </c>
      <c r="U19">
        <v>5159</v>
      </c>
      <c r="V19">
        <v>5299</v>
      </c>
      <c r="W19">
        <v>5355</v>
      </c>
      <c r="X19">
        <v>5637</v>
      </c>
      <c r="Y19">
        <v>6127</v>
      </c>
      <c r="Z19">
        <v>7507</v>
      </c>
      <c r="AA19">
        <v>7825</v>
      </c>
      <c r="AB19">
        <v>8285</v>
      </c>
      <c r="AC19">
        <v>8802</v>
      </c>
      <c r="AD19">
        <v>11841</v>
      </c>
      <c r="AE19">
        <v>13086</v>
      </c>
      <c r="AF19">
        <v>14517</v>
      </c>
      <c r="AG19">
        <v>15498</v>
      </c>
      <c r="AH19">
        <v>16551</v>
      </c>
      <c r="AI19">
        <v>18336</v>
      </c>
      <c r="AJ19">
        <v>20114</v>
      </c>
      <c r="AK19">
        <v>20863</v>
      </c>
      <c r="AL19">
        <v>22813</v>
      </c>
      <c r="AM19">
        <v>27727</v>
      </c>
      <c r="AN19">
        <v>32071</v>
      </c>
      <c r="AO19">
        <v>37030</v>
      </c>
      <c r="AP19">
        <v>41206</v>
      </c>
      <c r="AQ19">
        <v>47584</v>
      </c>
      <c r="AR19">
        <v>46833</v>
      </c>
      <c r="AS19">
        <v>54656</v>
      </c>
      <c r="AT19">
        <v>60569</v>
      </c>
      <c r="AU19">
        <v>68695</v>
      </c>
      <c r="AV19">
        <v>72920</v>
      </c>
      <c r="AW19">
        <v>76723</v>
      </c>
      <c r="AX19">
        <v>93635</v>
      </c>
      <c r="AY19">
        <v>109992</v>
      </c>
      <c r="AZ19">
        <v>122598</v>
      </c>
      <c r="BA19">
        <v>126765</v>
      </c>
      <c r="BB19">
        <v>120689</v>
      </c>
      <c r="BC19">
        <v>138171</v>
      </c>
      <c r="BD19">
        <v>157366</v>
      </c>
      <c r="BE19">
        <v>188290</v>
      </c>
      <c r="BF19">
        <v>225897</v>
      </c>
      <c r="BG19">
        <v>253227</v>
      </c>
      <c r="BH19">
        <v>271230</v>
      </c>
      <c r="BI19">
        <v>295107</v>
      </c>
      <c r="BJ19">
        <v>323440</v>
      </c>
      <c r="BK19">
        <v>302963</v>
      </c>
      <c r="BL19">
        <v>309456</v>
      </c>
      <c r="BM19">
        <v>320314</v>
      </c>
      <c r="BN19">
        <v>377178</v>
      </c>
      <c r="BO19">
        <v>419014</v>
      </c>
      <c r="BP19">
        <v>476720</v>
      </c>
      <c r="BQ19">
        <v>557858</v>
      </c>
      <c r="BR19">
        <v>530668</v>
      </c>
      <c r="BS19">
        <v>498720</v>
      </c>
      <c r="BT19">
        <v>528385</v>
      </c>
      <c r="BU19">
        <v>547929</v>
      </c>
      <c r="BV19">
        <v>654411</v>
      </c>
      <c r="BW19">
        <v>773964</v>
      </c>
      <c r="BX19">
        <v>741041</v>
      </c>
      <c r="BY19">
        <v>754833</v>
      </c>
      <c r="BZ19">
        <v>733827</v>
      </c>
      <c r="CA19">
        <v>852530</v>
      </c>
      <c r="CB19">
        <v>847844</v>
      </c>
      <c r="CC19">
        <v>862378</v>
      </c>
      <c r="CD19">
        <v>943267</v>
      </c>
      <c r="CE19">
        <v>1067456</v>
      </c>
      <c r="CF19">
        <v>1089082</v>
      </c>
      <c r="CG19">
        <v>1113015</v>
      </c>
      <c r="CH19">
        <v>1139976</v>
      </c>
    </row>
    <row r="20" spans="1:166">
      <c r="A20" t="s">
        <v>664</v>
      </c>
      <c r="B20" t="s">
        <v>88</v>
      </c>
      <c r="C20">
        <v>1000000</v>
      </c>
      <c r="D20" t="s">
        <v>89</v>
      </c>
      <c r="E20" t="s">
        <v>665</v>
      </c>
      <c r="F20" s="10" t="s">
        <v>666</v>
      </c>
      <c r="G20" t="s">
        <v>97</v>
      </c>
      <c r="H20">
        <v>1188</v>
      </c>
      <c r="I20">
        <v>1349</v>
      </c>
      <c r="J20">
        <v>1532</v>
      </c>
      <c r="K20">
        <v>1572</v>
      </c>
      <c r="L20">
        <v>1885</v>
      </c>
      <c r="M20">
        <v>1842</v>
      </c>
      <c r="N20">
        <v>1844</v>
      </c>
      <c r="O20">
        <v>1911</v>
      </c>
      <c r="P20">
        <v>1937</v>
      </c>
      <c r="Q20">
        <v>2184</v>
      </c>
      <c r="R20">
        <v>2337</v>
      </c>
      <c r="S20">
        <v>2427</v>
      </c>
      <c r="T20">
        <v>2856</v>
      </c>
      <c r="U20">
        <v>3494</v>
      </c>
      <c r="V20">
        <v>3657</v>
      </c>
      <c r="W20">
        <v>3487</v>
      </c>
      <c r="X20">
        <v>3822</v>
      </c>
      <c r="Y20">
        <v>4137</v>
      </c>
      <c r="Z20">
        <v>5300</v>
      </c>
      <c r="AA20">
        <v>5333</v>
      </c>
      <c r="AB20">
        <v>5667</v>
      </c>
      <c r="AC20">
        <v>5916</v>
      </c>
      <c r="AD20">
        <v>8623</v>
      </c>
      <c r="AE20">
        <v>10035</v>
      </c>
      <c r="AF20">
        <v>11474</v>
      </c>
      <c r="AG20">
        <v>11941</v>
      </c>
      <c r="AH20">
        <v>12483</v>
      </c>
      <c r="AI20">
        <v>15035</v>
      </c>
      <c r="AJ20">
        <v>16889</v>
      </c>
      <c r="AK20">
        <v>17292</v>
      </c>
      <c r="AL20">
        <v>18912</v>
      </c>
      <c r="AM20">
        <v>21677</v>
      </c>
      <c r="AN20">
        <v>25896</v>
      </c>
      <c r="AO20">
        <v>31937</v>
      </c>
      <c r="AP20">
        <v>36211</v>
      </c>
      <c r="AQ20">
        <v>39132</v>
      </c>
      <c r="AR20">
        <v>41532</v>
      </c>
      <c r="AS20">
        <v>46884</v>
      </c>
      <c r="AT20">
        <v>51374</v>
      </c>
      <c r="AU20">
        <v>59471</v>
      </c>
      <c r="AV20">
        <v>63344</v>
      </c>
      <c r="AW20">
        <v>60731</v>
      </c>
      <c r="AX20">
        <v>74221</v>
      </c>
      <c r="AY20">
        <v>91333</v>
      </c>
      <c r="AZ20">
        <v>102471</v>
      </c>
      <c r="BA20">
        <v>107119</v>
      </c>
      <c r="BB20">
        <v>105000</v>
      </c>
      <c r="BC20">
        <v>118670</v>
      </c>
      <c r="BD20">
        <v>138783</v>
      </c>
      <c r="BE20">
        <v>159219</v>
      </c>
      <c r="BF20">
        <v>187987</v>
      </c>
      <c r="BG20">
        <v>210856</v>
      </c>
      <c r="BH20">
        <v>225441</v>
      </c>
      <c r="BI20">
        <v>238137</v>
      </c>
      <c r="BJ20">
        <v>262227</v>
      </c>
      <c r="BK20">
        <v>244608</v>
      </c>
      <c r="BL20">
        <v>255317</v>
      </c>
      <c r="BM20">
        <v>270282</v>
      </c>
      <c r="BN20">
        <v>329897</v>
      </c>
      <c r="BO20">
        <v>371405</v>
      </c>
      <c r="BP20">
        <v>426730</v>
      </c>
      <c r="BQ20">
        <v>517212</v>
      </c>
      <c r="BR20">
        <v>508361</v>
      </c>
      <c r="BS20">
        <v>424512</v>
      </c>
      <c r="BT20">
        <v>441235</v>
      </c>
      <c r="BU20">
        <v>491191</v>
      </c>
      <c r="BV20">
        <v>584644</v>
      </c>
      <c r="BW20">
        <v>723103</v>
      </c>
      <c r="BX20">
        <v>722143</v>
      </c>
      <c r="BY20">
        <v>745204</v>
      </c>
      <c r="BZ20">
        <v>691619</v>
      </c>
      <c r="CA20">
        <v>800321</v>
      </c>
      <c r="CB20">
        <v>817558</v>
      </c>
      <c r="CC20">
        <v>829936</v>
      </c>
      <c r="CD20">
        <v>882395</v>
      </c>
      <c r="CE20">
        <v>1003280</v>
      </c>
      <c r="CF20">
        <v>1028036</v>
      </c>
      <c r="CG20">
        <v>1045349</v>
      </c>
      <c r="CH20">
        <v>1066883</v>
      </c>
    </row>
    <row r="21" spans="1:166">
      <c r="A21" t="s">
        <v>667</v>
      </c>
      <c r="B21" t="s">
        <v>88</v>
      </c>
      <c r="C21">
        <v>1000000</v>
      </c>
      <c r="D21" t="s">
        <v>89</v>
      </c>
      <c r="E21" t="s">
        <v>668</v>
      </c>
      <c r="F21" s="10" t="s">
        <v>669</v>
      </c>
      <c r="G21" t="s">
        <v>97</v>
      </c>
      <c r="H21" t="s">
        <v>97</v>
      </c>
      <c r="I21" t="s">
        <v>97</v>
      </c>
      <c r="J21" t="s">
        <v>97</v>
      </c>
      <c r="K21" t="s">
        <v>97</v>
      </c>
      <c r="L21" t="s">
        <v>97</v>
      </c>
      <c r="M21" t="s">
        <v>97</v>
      </c>
      <c r="N21" t="s">
        <v>97</v>
      </c>
      <c r="O21" t="s">
        <v>97</v>
      </c>
      <c r="P21" t="s">
        <v>97</v>
      </c>
      <c r="Q21" t="s">
        <v>97</v>
      </c>
      <c r="R21" t="s">
        <v>97</v>
      </c>
      <c r="S21" t="s">
        <v>97</v>
      </c>
      <c r="T21" t="s">
        <v>97</v>
      </c>
      <c r="U21">
        <v>1665</v>
      </c>
      <c r="V21">
        <v>1642</v>
      </c>
      <c r="W21">
        <v>1868</v>
      </c>
      <c r="X21">
        <v>1815</v>
      </c>
      <c r="Y21">
        <v>1990</v>
      </c>
      <c r="Z21">
        <v>2207</v>
      </c>
      <c r="AA21">
        <v>2492</v>
      </c>
      <c r="AB21">
        <v>2618</v>
      </c>
      <c r="AC21">
        <v>2886</v>
      </c>
      <c r="AD21">
        <v>3218</v>
      </c>
      <c r="AE21">
        <v>3051</v>
      </c>
      <c r="AF21">
        <v>3043</v>
      </c>
      <c r="AG21">
        <v>3557</v>
      </c>
      <c r="AH21">
        <v>4068</v>
      </c>
      <c r="AI21">
        <v>3301</v>
      </c>
      <c r="AJ21">
        <v>3225</v>
      </c>
      <c r="AK21">
        <v>3571</v>
      </c>
      <c r="AL21">
        <v>3901</v>
      </c>
      <c r="AM21">
        <v>6050</v>
      </c>
      <c r="AN21">
        <v>6175</v>
      </c>
      <c r="AO21">
        <v>5093</v>
      </c>
      <c r="AP21">
        <v>4995</v>
      </c>
      <c r="AQ21">
        <v>8452</v>
      </c>
      <c r="AR21">
        <v>5301</v>
      </c>
      <c r="AS21">
        <v>7772</v>
      </c>
      <c r="AT21">
        <v>9195</v>
      </c>
      <c r="AU21">
        <v>9224</v>
      </c>
      <c r="AV21">
        <v>9576</v>
      </c>
      <c r="AW21">
        <v>15992</v>
      </c>
      <c r="AX21">
        <v>19414</v>
      </c>
      <c r="AY21">
        <v>18659</v>
      </c>
      <c r="AZ21">
        <v>20127</v>
      </c>
      <c r="BA21">
        <v>19646</v>
      </c>
      <c r="BB21">
        <v>15689</v>
      </c>
      <c r="BC21">
        <v>19501</v>
      </c>
      <c r="BD21">
        <v>18583</v>
      </c>
      <c r="BE21">
        <v>29071</v>
      </c>
      <c r="BF21">
        <v>37910</v>
      </c>
      <c r="BG21">
        <v>42371</v>
      </c>
      <c r="BH21">
        <v>45789</v>
      </c>
      <c r="BI21">
        <v>56970</v>
      </c>
      <c r="BJ21">
        <v>61213</v>
      </c>
      <c r="BK21">
        <v>58355</v>
      </c>
      <c r="BL21">
        <v>54139</v>
      </c>
      <c r="BM21">
        <v>50032</v>
      </c>
      <c r="BN21">
        <v>47281</v>
      </c>
      <c r="BO21">
        <v>47609</v>
      </c>
      <c r="BP21">
        <v>49990</v>
      </c>
      <c r="BQ21">
        <v>40646</v>
      </c>
      <c r="BR21">
        <v>22307</v>
      </c>
      <c r="BS21">
        <v>74208</v>
      </c>
      <c r="BT21">
        <v>87150</v>
      </c>
      <c r="BU21">
        <v>56738</v>
      </c>
      <c r="BV21">
        <v>69767</v>
      </c>
      <c r="BW21">
        <v>50861</v>
      </c>
      <c r="BX21">
        <v>18898</v>
      </c>
      <c r="BY21">
        <v>9629</v>
      </c>
      <c r="BZ21">
        <v>42208</v>
      </c>
      <c r="CA21">
        <v>52209</v>
      </c>
      <c r="CB21">
        <v>30286</v>
      </c>
      <c r="CC21">
        <v>32442</v>
      </c>
      <c r="CD21">
        <v>60872</v>
      </c>
      <c r="CE21">
        <v>64176</v>
      </c>
      <c r="CF21">
        <v>61046</v>
      </c>
      <c r="CG21">
        <v>67666</v>
      </c>
      <c r="CH21">
        <v>73093</v>
      </c>
    </row>
    <row r="22" spans="1:166">
      <c r="A22" t="s">
        <v>670</v>
      </c>
      <c r="B22" t="s">
        <v>88</v>
      </c>
      <c r="C22">
        <v>1000000</v>
      </c>
      <c r="D22" t="s">
        <v>89</v>
      </c>
      <c r="E22" t="s">
        <v>671</v>
      </c>
      <c r="F22" s="10" t="s">
        <v>672</v>
      </c>
      <c r="G22" t="s">
        <v>97</v>
      </c>
      <c r="H22">
        <v>39</v>
      </c>
      <c r="I22">
        <v>37</v>
      </c>
      <c r="J22">
        <v>55</v>
      </c>
      <c r="K22">
        <v>48</v>
      </c>
      <c r="L22">
        <v>56</v>
      </c>
      <c r="M22">
        <v>46</v>
      </c>
      <c r="N22">
        <v>36</v>
      </c>
      <c r="O22">
        <v>43</v>
      </c>
      <c r="P22">
        <v>41</v>
      </c>
      <c r="Q22">
        <v>49</v>
      </c>
      <c r="R22">
        <v>43</v>
      </c>
      <c r="S22">
        <v>39</v>
      </c>
      <c r="T22">
        <v>37</v>
      </c>
      <c r="U22">
        <v>54</v>
      </c>
      <c r="V22">
        <v>41</v>
      </c>
      <c r="W22">
        <v>57</v>
      </c>
      <c r="X22">
        <v>52</v>
      </c>
      <c r="Y22">
        <v>54</v>
      </c>
      <c r="Z22">
        <v>75</v>
      </c>
      <c r="AA22">
        <v>83</v>
      </c>
      <c r="AB22">
        <v>74</v>
      </c>
      <c r="AC22">
        <v>87</v>
      </c>
      <c r="AD22">
        <v>93</v>
      </c>
      <c r="AE22">
        <v>77</v>
      </c>
      <c r="AF22">
        <v>65</v>
      </c>
      <c r="AG22">
        <v>80</v>
      </c>
      <c r="AH22">
        <v>93</v>
      </c>
      <c r="AI22">
        <v>140</v>
      </c>
      <c r="AJ22">
        <v>141</v>
      </c>
      <c r="AK22">
        <v>154</v>
      </c>
      <c r="AL22">
        <v>191</v>
      </c>
      <c r="AM22">
        <v>138</v>
      </c>
      <c r="AN22">
        <v>208</v>
      </c>
      <c r="AO22">
        <v>342</v>
      </c>
      <c r="AP22">
        <v>340</v>
      </c>
      <c r="AQ22">
        <v>289</v>
      </c>
      <c r="AR22">
        <v>-324</v>
      </c>
      <c r="AS22">
        <v>-133</v>
      </c>
      <c r="AT22">
        <v>237</v>
      </c>
      <c r="AU22">
        <v>-50</v>
      </c>
      <c r="AV22">
        <v>-61</v>
      </c>
      <c r="AW22">
        <v>8</v>
      </c>
      <c r="AX22">
        <v>30</v>
      </c>
      <c r="AY22">
        <v>-55</v>
      </c>
      <c r="AZ22">
        <v>89</v>
      </c>
      <c r="BA22">
        <v>-79</v>
      </c>
      <c r="BB22">
        <v>-215</v>
      </c>
      <c r="BC22">
        <v>-149</v>
      </c>
      <c r="BD22">
        <v>192</v>
      </c>
      <c r="BE22">
        <v>143</v>
      </c>
      <c r="BF22">
        <v>338</v>
      </c>
      <c r="BG22">
        <v>864</v>
      </c>
      <c r="BH22">
        <v>189</v>
      </c>
      <c r="BI22">
        <v>792</v>
      </c>
      <c r="BJ22">
        <v>-136</v>
      </c>
      <c r="BK22">
        <v>-5163</v>
      </c>
      <c r="BL22">
        <v>539</v>
      </c>
      <c r="BM22">
        <v>3277</v>
      </c>
      <c r="BN22">
        <v>9616</v>
      </c>
      <c r="BO22">
        <v>8275</v>
      </c>
      <c r="BP22">
        <v>12827</v>
      </c>
      <c r="BQ22">
        <v>10053</v>
      </c>
      <c r="BR22">
        <v>7964</v>
      </c>
      <c r="BS22">
        <v>4441</v>
      </c>
      <c r="BT22">
        <v>10742</v>
      </c>
      <c r="BU22">
        <v>14901</v>
      </c>
      <c r="BV22">
        <v>16626</v>
      </c>
      <c r="BW22">
        <v>15567</v>
      </c>
      <c r="BX22">
        <v>15562</v>
      </c>
      <c r="BY22">
        <v>13699</v>
      </c>
      <c r="BZ22">
        <v>13216</v>
      </c>
      <c r="CA22">
        <v>14162</v>
      </c>
      <c r="CB22">
        <v>17039</v>
      </c>
      <c r="CC22">
        <v>17754</v>
      </c>
      <c r="CD22">
        <v>12493</v>
      </c>
      <c r="CE22">
        <v>32673</v>
      </c>
      <c r="CF22">
        <v>26043</v>
      </c>
      <c r="CG22">
        <v>21080</v>
      </c>
      <c r="CH22">
        <v>23945</v>
      </c>
    </row>
    <row r="23" spans="1:166">
      <c r="A23" t="s">
        <v>673</v>
      </c>
      <c r="B23" t="s">
        <v>88</v>
      </c>
      <c r="C23">
        <v>1000000</v>
      </c>
      <c r="D23" t="s">
        <v>89</v>
      </c>
      <c r="E23" t="s">
        <v>674</v>
      </c>
      <c r="F23" s="10" t="s">
        <v>675</v>
      </c>
      <c r="G23" t="s">
        <v>97</v>
      </c>
      <c r="H23" t="s">
        <v>97</v>
      </c>
      <c r="I23" t="s">
        <v>97</v>
      </c>
      <c r="J23" t="s">
        <v>97</v>
      </c>
      <c r="K23" t="s">
        <v>97</v>
      </c>
      <c r="L23" t="s">
        <v>97</v>
      </c>
      <c r="M23" t="s">
        <v>97</v>
      </c>
      <c r="N23" t="s">
        <v>97</v>
      </c>
      <c r="O23" t="s">
        <v>97</v>
      </c>
      <c r="P23" t="s">
        <v>97</v>
      </c>
      <c r="Q23" t="s">
        <v>97</v>
      </c>
      <c r="R23" t="s">
        <v>97</v>
      </c>
      <c r="S23" t="s">
        <v>97</v>
      </c>
      <c r="T23" t="s">
        <v>97</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row>
    <row r="24" spans="1:166">
      <c r="A24" t="s">
        <v>640</v>
      </c>
      <c r="B24" t="s">
        <v>88</v>
      </c>
      <c r="C24">
        <v>1000000</v>
      </c>
      <c r="D24" t="s">
        <v>89</v>
      </c>
      <c r="E24" t="s">
        <v>641</v>
      </c>
      <c r="F24" s="10" t="s">
        <v>642</v>
      </c>
      <c r="G24" t="s">
        <v>97</v>
      </c>
      <c r="H24" t="s">
        <v>97</v>
      </c>
      <c r="I24" t="s">
        <v>97</v>
      </c>
      <c r="J24" t="s">
        <v>97</v>
      </c>
      <c r="K24" t="s">
        <v>97</v>
      </c>
      <c r="L24" t="s">
        <v>97</v>
      </c>
      <c r="M24" t="s">
        <v>97</v>
      </c>
      <c r="N24" t="s">
        <v>97</v>
      </c>
      <c r="O24" t="s">
        <v>97</v>
      </c>
      <c r="P24" t="s">
        <v>97</v>
      </c>
      <c r="Q24" t="s">
        <v>97</v>
      </c>
      <c r="R24" t="s">
        <v>97</v>
      </c>
      <c r="S24" t="s">
        <v>97</v>
      </c>
      <c r="T24" t="s">
        <v>97</v>
      </c>
      <c r="U24">
        <v>5627</v>
      </c>
      <c r="V24">
        <v>6606</v>
      </c>
      <c r="W24">
        <v>6751</v>
      </c>
      <c r="X24">
        <v>7175</v>
      </c>
      <c r="Y24">
        <v>6847</v>
      </c>
      <c r="Z24">
        <v>6970</v>
      </c>
      <c r="AA24">
        <v>8215</v>
      </c>
      <c r="AB24">
        <v>8076</v>
      </c>
      <c r="AC24">
        <v>8499</v>
      </c>
      <c r="AD24">
        <v>9958</v>
      </c>
      <c r="AE24">
        <v>10420</v>
      </c>
      <c r="AF24">
        <v>10367</v>
      </c>
      <c r="AG24">
        <v>12001</v>
      </c>
      <c r="AH24">
        <v>14023</v>
      </c>
      <c r="AI24">
        <v>15145</v>
      </c>
      <c r="AJ24">
        <v>16193</v>
      </c>
      <c r="AK24">
        <v>16631</v>
      </c>
      <c r="AL24">
        <v>17819</v>
      </c>
      <c r="AM24">
        <v>20510</v>
      </c>
      <c r="AN24">
        <v>28545</v>
      </c>
      <c r="AO24">
        <v>29863</v>
      </c>
      <c r="AP24">
        <v>20621</v>
      </c>
      <c r="AQ24">
        <v>14663</v>
      </c>
      <c r="AR24">
        <v>13694</v>
      </c>
      <c r="AS24">
        <v>22708</v>
      </c>
      <c r="AT24">
        <v>27159</v>
      </c>
      <c r="AU24">
        <v>33876</v>
      </c>
      <c r="AV24">
        <v>27984</v>
      </c>
      <c r="AW24">
        <v>34857</v>
      </c>
      <c r="AX24">
        <v>35978</v>
      </c>
      <c r="AY24">
        <v>48915</v>
      </c>
      <c r="AZ24">
        <v>44603</v>
      </c>
      <c r="BA24">
        <v>64107</v>
      </c>
      <c r="BB24">
        <v>84955</v>
      </c>
      <c r="BC24">
        <v>69793</v>
      </c>
      <c r="BD24">
        <v>64707</v>
      </c>
      <c r="BE24">
        <v>85645</v>
      </c>
      <c r="BF24">
        <v>85342</v>
      </c>
      <c r="BG24">
        <v>93845</v>
      </c>
      <c r="BH24">
        <v>94047</v>
      </c>
      <c r="BI24">
        <v>104136</v>
      </c>
      <c r="BJ24">
        <v>105322</v>
      </c>
      <c r="BK24">
        <v>163045</v>
      </c>
      <c r="BL24">
        <v>193992</v>
      </c>
      <c r="BM24">
        <v>202382</v>
      </c>
      <c r="BN24">
        <v>222849</v>
      </c>
      <c r="BO24">
        <v>229076</v>
      </c>
      <c r="BP24">
        <v>247574</v>
      </c>
      <c r="BQ24">
        <v>154448</v>
      </c>
      <c r="BR24">
        <v>26987</v>
      </c>
      <c r="BS24">
        <v>286118</v>
      </c>
      <c r="BT24">
        <v>356478</v>
      </c>
      <c r="BU24">
        <v>293161</v>
      </c>
      <c r="BV24">
        <v>255250</v>
      </c>
      <c r="BW24">
        <v>149771</v>
      </c>
      <c r="BX24">
        <v>268314</v>
      </c>
      <c r="BY24">
        <v>239291</v>
      </c>
      <c r="BZ24">
        <v>342520</v>
      </c>
      <c r="CA24">
        <v>250196</v>
      </c>
      <c r="CB24">
        <v>302065</v>
      </c>
      <c r="CC24">
        <v>325975</v>
      </c>
      <c r="CD24">
        <v>187629</v>
      </c>
      <c r="CE24">
        <v>249854</v>
      </c>
      <c r="CF24">
        <v>322938</v>
      </c>
      <c r="CG24">
        <v>358274</v>
      </c>
      <c r="CH24">
        <v>525479</v>
      </c>
    </row>
    <row r="25" spans="1:166">
      <c r="A25" t="s">
        <v>676</v>
      </c>
      <c r="B25" t="s">
        <v>88</v>
      </c>
      <c r="C25">
        <v>1000000</v>
      </c>
      <c r="D25" t="s">
        <v>89</v>
      </c>
      <c r="E25" t="s">
        <v>677</v>
      </c>
      <c r="F25" s="10" t="s">
        <v>678</v>
      </c>
      <c r="G25" t="s">
        <v>97</v>
      </c>
      <c r="H25" t="s">
        <v>97</v>
      </c>
      <c r="I25" t="s">
        <v>97</v>
      </c>
      <c r="J25" t="s">
        <v>97</v>
      </c>
      <c r="K25" t="s">
        <v>97</v>
      </c>
      <c r="L25" t="s">
        <v>97</v>
      </c>
      <c r="M25" t="s">
        <v>97</v>
      </c>
      <c r="N25" t="s">
        <v>97</v>
      </c>
      <c r="O25" t="s">
        <v>97</v>
      </c>
      <c r="P25" t="s">
        <v>97</v>
      </c>
      <c r="Q25" t="s">
        <v>97</v>
      </c>
      <c r="R25" t="s">
        <v>97</v>
      </c>
      <c r="S25" t="s">
        <v>97</v>
      </c>
      <c r="T25" t="s">
        <v>97</v>
      </c>
      <c r="U25">
        <v>3044</v>
      </c>
      <c r="V25">
        <v>2743</v>
      </c>
      <c r="W25">
        <v>2784</v>
      </c>
      <c r="X25">
        <v>2705</v>
      </c>
      <c r="Y25">
        <v>2737</v>
      </c>
      <c r="Z25">
        <v>2685</v>
      </c>
      <c r="AA25">
        <v>2631</v>
      </c>
      <c r="AB25">
        <v>2740</v>
      </c>
      <c r="AC25">
        <v>3164</v>
      </c>
      <c r="AD25">
        <v>3630</v>
      </c>
      <c r="AE25">
        <v>3614</v>
      </c>
      <c r="AF25">
        <v>3977</v>
      </c>
      <c r="AG25">
        <v>4813</v>
      </c>
      <c r="AH25">
        <v>5315</v>
      </c>
      <c r="AI25">
        <v>5223</v>
      </c>
      <c r="AJ25">
        <v>4386</v>
      </c>
      <c r="AK25">
        <v>4356</v>
      </c>
      <c r="AL25">
        <v>5923</v>
      </c>
      <c r="AM25">
        <v>7926</v>
      </c>
      <c r="AN25">
        <v>10296</v>
      </c>
      <c r="AO25">
        <v>10118</v>
      </c>
      <c r="AP25">
        <v>7281</v>
      </c>
      <c r="AQ25">
        <v>4321</v>
      </c>
      <c r="AR25">
        <v>2531</v>
      </c>
      <c r="AS25">
        <v>4698</v>
      </c>
      <c r="AT25">
        <v>5537</v>
      </c>
      <c r="AU25">
        <v>10527</v>
      </c>
      <c r="AV25">
        <v>15633</v>
      </c>
      <c r="AW25">
        <v>18474</v>
      </c>
      <c r="AX25">
        <v>20315</v>
      </c>
      <c r="AY25">
        <v>23215</v>
      </c>
      <c r="AZ25">
        <v>23364</v>
      </c>
      <c r="BA25">
        <v>29215</v>
      </c>
      <c r="BB25">
        <v>37485</v>
      </c>
      <c r="BC25">
        <v>47007</v>
      </c>
      <c r="BD25">
        <v>40316</v>
      </c>
      <c r="BE25">
        <v>54127</v>
      </c>
      <c r="BF25">
        <v>58459</v>
      </c>
      <c r="BG25">
        <v>63403</v>
      </c>
      <c r="BH25">
        <v>63137</v>
      </c>
      <c r="BI25">
        <v>60922</v>
      </c>
      <c r="BJ25">
        <v>68363</v>
      </c>
      <c r="BK25">
        <v>63938</v>
      </c>
      <c r="BL25">
        <v>69599</v>
      </c>
      <c r="BM25">
        <v>87272</v>
      </c>
      <c r="BN25">
        <v>99279</v>
      </c>
      <c r="BO25">
        <v>117208</v>
      </c>
      <c r="BP25">
        <v>134066</v>
      </c>
      <c r="BQ25">
        <v>114163</v>
      </c>
      <c r="BR25">
        <v>48713</v>
      </c>
      <c r="BS25">
        <v>42497</v>
      </c>
      <c r="BT25">
        <v>68484</v>
      </c>
      <c r="BU25">
        <v>71546</v>
      </c>
      <c r="BV25">
        <v>88785</v>
      </c>
      <c r="BW25">
        <v>98462</v>
      </c>
      <c r="BX25">
        <v>116261</v>
      </c>
      <c r="BY25">
        <v>112178</v>
      </c>
      <c r="BZ25">
        <v>113976</v>
      </c>
      <c r="CA25">
        <v>83341</v>
      </c>
      <c r="CB25">
        <v>84480</v>
      </c>
      <c r="CC25">
        <v>100408</v>
      </c>
      <c r="CD25">
        <v>99062</v>
      </c>
      <c r="CE25">
        <v>125094</v>
      </c>
      <c r="CF25">
        <v>128747</v>
      </c>
      <c r="CG25">
        <v>126152</v>
      </c>
      <c r="CH25">
        <v>140140</v>
      </c>
    </row>
    <row r="26" spans="1:166">
      <c r="A26" t="s">
        <v>679</v>
      </c>
      <c r="B26" t="s">
        <v>88</v>
      </c>
      <c r="C26">
        <v>1000000</v>
      </c>
      <c r="D26" t="s">
        <v>89</v>
      </c>
      <c r="E26" t="s">
        <v>680</v>
      </c>
      <c r="F26" s="10" t="s">
        <v>681</v>
      </c>
      <c r="G26" t="s">
        <v>97</v>
      </c>
      <c r="H26" t="s">
        <v>97</v>
      </c>
      <c r="I26" t="s">
        <v>97</v>
      </c>
      <c r="J26" t="s">
        <v>97</v>
      </c>
      <c r="K26" t="s">
        <v>97</v>
      </c>
      <c r="L26" t="s">
        <v>97</v>
      </c>
      <c r="M26" t="s">
        <v>97</v>
      </c>
      <c r="N26" t="s">
        <v>97</v>
      </c>
      <c r="O26" t="s">
        <v>97</v>
      </c>
      <c r="P26" t="s">
        <v>97</v>
      </c>
      <c r="Q26" t="s">
        <v>97</v>
      </c>
      <c r="R26" t="s">
        <v>97</v>
      </c>
      <c r="S26" t="s">
        <v>97</v>
      </c>
      <c r="T26" t="s">
        <v>97</v>
      </c>
      <c r="U26">
        <v>129</v>
      </c>
      <c r="V26">
        <v>244</v>
      </c>
      <c r="W26">
        <v>238</v>
      </c>
      <c r="X26">
        <v>284</v>
      </c>
      <c r="Y26">
        <v>702</v>
      </c>
      <c r="Z26">
        <v>890</v>
      </c>
      <c r="AA26">
        <v>1053</v>
      </c>
      <c r="AB26">
        <v>275</v>
      </c>
      <c r="AC26">
        <v>453</v>
      </c>
      <c r="AD26">
        <v>798</v>
      </c>
      <c r="AE26">
        <v>1262</v>
      </c>
      <c r="AF26">
        <v>586</v>
      </c>
      <c r="AG26">
        <v>-154</v>
      </c>
      <c r="AH26">
        <v>34</v>
      </c>
      <c r="AI26">
        <v>323</v>
      </c>
      <c r="AJ26">
        <v>2566</v>
      </c>
      <c r="AK26">
        <v>3561</v>
      </c>
      <c r="AL26">
        <v>921</v>
      </c>
      <c r="AM26">
        <v>-2639</v>
      </c>
      <c r="AN26">
        <v>-1229</v>
      </c>
      <c r="AO26">
        <v>1850</v>
      </c>
      <c r="AP26">
        <v>2469</v>
      </c>
      <c r="AQ26">
        <v>3717</v>
      </c>
      <c r="AR26">
        <v>8587</v>
      </c>
      <c r="AS26">
        <v>9619</v>
      </c>
      <c r="AT26">
        <v>16057</v>
      </c>
      <c r="AU26">
        <v>15632</v>
      </c>
      <c r="AV26">
        <v>2558</v>
      </c>
      <c r="AW26">
        <v>-4396</v>
      </c>
      <c r="AX26">
        <v>-371</v>
      </c>
      <c r="AY26">
        <v>10430</v>
      </c>
      <c r="AZ26">
        <v>9435</v>
      </c>
      <c r="BA26">
        <v>7855</v>
      </c>
      <c r="BB26">
        <v>3517</v>
      </c>
      <c r="BC26">
        <v>2476</v>
      </c>
      <c r="BD26">
        <v>-2207</v>
      </c>
      <c r="BE26">
        <v>7077</v>
      </c>
      <c r="BF26">
        <v>7024</v>
      </c>
      <c r="BG26">
        <v>-3395</v>
      </c>
      <c r="BH26">
        <v>19328</v>
      </c>
      <c r="BI26">
        <v>9135</v>
      </c>
      <c r="BJ26">
        <v>27864</v>
      </c>
      <c r="BK26">
        <v>30625</v>
      </c>
      <c r="BL26">
        <v>10583</v>
      </c>
      <c r="BM26">
        <v>-10204</v>
      </c>
      <c r="BN26">
        <v>-6943</v>
      </c>
      <c r="BO26">
        <v>-22738</v>
      </c>
      <c r="BP26">
        <v>-20978</v>
      </c>
      <c r="BQ26">
        <v>10037</v>
      </c>
      <c r="BR26">
        <v>48812</v>
      </c>
      <c r="BS26">
        <v>37667</v>
      </c>
      <c r="BT26">
        <v>28570</v>
      </c>
      <c r="BU26">
        <v>28142</v>
      </c>
      <c r="BV26">
        <v>-27616</v>
      </c>
      <c r="BW26">
        <v>-18060</v>
      </c>
      <c r="BX26">
        <v>15122</v>
      </c>
      <c r="BY26">
        <v>21635</v>
      </c>
      <c r="BZ26">
        <v>64384</v>
      </c>
      <c r="CA26">
        <v>19585</v>
      </c>
      <c r="CB26">
        <v>30065</v>
      </c>
      <c r="CC26">
        <v>47275</v>
      </c>
      <c r="CD26">
        <v>35571</v>
      </c>
      <c r="CE26">
        <v>30449</v>
      </c>
      <c r="CF26">
        <v>78919</v>
      </c>
      <c r="CG26">
        <v>114261</v>
      </c>
      <c r="CH26">
        <v>140931</v>
      </c>
    </row>
    <row r="27" spans="1:166">
      <c r="A27" t="s">
        <v>682</v>
      </c>
      <c r="B27" t="s">
        <v>88</v>
      </c>
      <c r="C27">
        <v>1000000</v>
      </c>
      <c r="D27" t="s">
        <v>89</v>
      </c>
      <c r="E27" t="s">
        <v>683</v>
      </c>
      <c r="F27" s="10" t="s">
        <v>684</v>
      </c>
      <c r="G27" t="s">
        <v>97</v>
      </c>
      <c r="H27">
        <v>922</v>
      </c>
      <c r="I27">
        <v>746</v>
      </c>
      <c r="J27">
        <v>1432</v>
      </c>
      <c r="K27">
        <v>1801</v>
      </c>
      <c r="L27">
        <v>1393</v>
      </c>
      <c r="M27">
        <v>1645</v>
      </c>
      <c r="N27">
        <v>2084</v>
      </c>
      <c r="O27">
        <v>2321</v>
      </c>
      <c r="P27">
        <v>2355</v>
      </c>
      <c r="Q27">
        <v>2680</v>
      </c>
      <c r="R27">
        <v>2941</v>
      </c>
      <c r="S27">
        <v>2954</v>
      </c>
      <c r="T27">
        <v>2493</v>
      </c>
      <c r="U27">
        <v>3338</v>
      </c>
      <c r="V27">
        <v>3619</v>
      </c>
      <c r="W27">
        <v>3728</v>
      </c>
      <c r="X27">
        <v>4187</v>
      </c>
      <c r="Y27">
        <v>3403</v>
      </c>
      <c r="Z27">
        <v>3398</v>
      </c>
      <c r="AA27">
        <v>4533</v>
      </c>
      <c r="AB27">
        <v>5062</v>
      </c>
      <c r="AC27">
        <v>4880</v>
      </c>
      <c r="AD27">
        <v>5533</v>
      </c>
      <c r="AE27">
        <v>5549</v>
      </c>
      <c r="AF27">
        <v>5804</v>
      </c>
      <c r="AG27">
        <v>7344</v>
      </c>
      <c r="AH27">
        <v>8671</v>
      </c>
      <c r="AI27">
        <v>9601</v>
      </c>
      <c r="AJ27">
        <v>9248</v>
      </c>
      <c r="AK27">
        <v>8717</v>
      </c>
      <c r="AL27">
        <v>10975</v>
      </c>
      <c r="AM27">
        <v>15219</v>
      </c>
      <c r="AN27">
        <v>19476</v>
      </c>
      <c r="AO27">
        <v>17894</v>
      </c>
      <c r="AP27">
        <v>10871</v>
      </c>
      <c r="AQ27">
        <v>6623</v>
      </c>
      <c r="AR27">
        <v>2575</v>
      </c>
      <c r="AS27">
        <v>8386</v>
      </c>
      <c r="AT27">
        <v>5569</v>
      </c>
      <c r="AU27">
        <v>7714</v>
      </c>
      <c r="AV27">
        <v>9790</v>
      </c>
      <c r="AW27">
        <v>20778</v>
      </c>
      <c r="AX27">
        <v>16033</v>
      </c>
      <c r="AY27">
        <v>15266</v>
      </c>
      <c r="AZ27">
        <v>11799</v>
      </c>
      <c r="BA27">
        <v>27041</v>
      </c>
      <c r="BB27">
        <v>43951</v>
      </c>
      <c r="BC27">
        <v>20307</v>
      </c>
      <c r="BD27">
        <v>26593</v>
      </c>
      <c r="BE27">
        <v>24438</v>
      </c>
      <c r="BF27">
        <v>19854</v>
      </c>
      <c r="BG27">
        <v>33827</v>
      </c>
      <c r="BH27">
        <v>11574</v>
      </c>
      <c r="BI27">
        <v>34054</v>
      </c>
      <c r="BJ27">
        <v>9080</v>
      </c>
      <c r="BK27">
        <v>68480</v>
      </c>
      <c r="BL27">
        <v>113808</v>
      </c>
      <c r="BM27">
        <v>125313</v>
      </c>
      <c r="BN27">
        <v>130514</v>
      </c>
      <c r="BO27">
        <v>134599</v>
      </c>
      <c r="BP27">
        <v>134487</v>
      </c>
      <c r="BQ27">
        <v>30251</v>
      </c>
      <c r="BR27">
        <v>-70537</v>
      </c>
      <c r="BS27">
        <v>205951</v>
      </c>
      <c r="BT27">
        <v>259428</v>
      </c>
      <c r="BU27">
        <v>193474</v>
      </c>
      <c r="BV27">
        <v>194077</v>
      </c>
      <c r="BW27">
        <v>69368</v>
      </c>
      <c r="BX27">
        <v>136930</v>
      </c>
      <c r="BY27">
        <v>105488</v>
      </c>
      <c r="BZ27">
        <v>164164</v>
      </c>
      <c r="CA27">
        <v>147267</v>
      </c>
      <c r="CB27">
        <v>187523</v>
      </c>
      <c r="CC27">
        <v>178299</v>
      </c>
      <c r="CD27">
        <v>52997</v>
      </c>
      <c r="CE27">
        <v>94312</v>
      </c>
      <c r="CF27">
        <v>115272</v>
      </c>
      <c r="CG27">
        <v>117862</v>
      </c>
      <c r="CH27">
        <v>244410</v>
      </c>
      <c r="CI27" t="s">
        <v>97</v>
      </c>
      <c r="CJ27">
        <v>922</v>
      </c>
      <c r="CK27">
        <v>746</v>
      </c>
      <c r="CL27">
        <v>1432</v>
      </c>
      <c r="CM27">
        <v>1801</v>
      </c>
      <c r="CN27">
        <v>1393</v>
      </c>
      <c r="CO27">
        <v>1645</v>
      </c>
      <c r="CP27">
        <v>2084</v>
      </c>
      <c r="CQ27">
        <v>2321</v>
      </c>
      <c r="CR27">
        <v>2355</v>
      </c>
      <c r="CS27">
        <v>2680</v>
      </c>
      <c r="CT27">
        <v>2941</v>
      </c>
      <c r="CU27">
        <v>2954</v>
      </c>
      <c r="CV27">
        <v>2493</v>
      </c>
      <c r="CW27">
        <v>3338</v>
      </c>
      <c r="CX27">
        <v>3619</v>
      </c>
      <c r="CY27">
        <v>3728</v>
      </c>
      <c r="CZ27">
        <v>4187</v>
      </c>
      <c r="DA27">
        <v>3403</v>
      </c>
      <c r="DB27">
        <v>3398</v>
      </c>
      <c r="DC27">
        <v>4533</v>
      </c>
      <c r="DD27">
        <v>5062</v>
      </c>
      <c r="DE27">
        <v>4880</v>
      </c>
      <c r="DF27">
        <v>5533</v>
      </c>
      <c r="DG27">
        <v>5549</v>
      </c>
      <c r="DH27">
        <v>5804</v>
      </c>
      <c r="DI27">
        <v>7344</v>
      </c>
      <c r="DJ27">
        <v>8671</v>
      </c>
      <c r="DK27">
        <v>9601</v>
      </c>
      <c r="DL27">
        <v>9248</v>
      </c>
      <c r="DM27">
        <v>8717</v>
      </c>
      <c r="DN27">
        <v>10975</v>
      </c>
      <c r="DO27">
        <v>15219</v>
      </c>
      <c r="DP27">
        <v>19476</v>
      </c>
      <c r="DQ27">
        <v>17894</v>
      </c>
      <c r="DR27">
        <v>10871</v>
      </c>
      <c r="DS27">
        <v>6623</v>
      </c>
      <c r="DT27">
        <v>2575</v>
      </c>
      <c r="DU27">
        <v>8386</v>
      </c>
      <c r="DV27">
        <v>5569</v>
      </c>
      <c r="DW27">
        <v>7714</v>
      </c>
      <c r="DX27">
        <v>9790</v>
      </c>
      <c r="DY27">
        <v>20778</v>
      </c>
      <c r="DZ27">
        <v>16033</v>
      </c>
      <c r="EA27">
        <v>15266</v>
      </c>
      <c r="EB27">
        <v>11799</v>
      </c>
      <c r="EC27">
        <v>27041</v>
      </c>
      <c r="ED27">
        <v>43951</v>
      </c>
      <c r="EE27">
        <v>20307</v>
      </c>
      <c r="EF27">
        <v>26593</v>
      </c>
      <c r="EG27">
        <v>24438</v>
      </c>
      <c r="EH27">
        <v>19854</v>
      </c>
      <c r="EI27">
        <v>33827</v>
      </c>
      <c r="EJ27">
        <v>11574</v>
      </c>
      <c r="EK27">
        <v>34054</v>
      </c>
      <c r="EL27">
        <v>9080</v>
      </c>
      <c r="EM27">
        <v>68480</v>
      </c>
      <c r="EN27">
        <v>113808</v>
      </c>
      <c r="EO27">
        <v>125313</v>
      </c>
      <c r="EP27">
        <v>130514</v>
      </c>
      <c r="EQ27">
        <v>134599</v>
      </c>
      <c r="ER27">
        <v>134487</v>
      </c>
      <c r="ES27">
        <v>30251</v>
      </c>
      <c r="ET27">
        <v>-70537</v>
      </c>
      <c r="EU27">
        <v>205951</v>
      </c>
      <c r="EV27">
        <v>259428</v>
      </c>
      <c r="EW27">
        <v>193474</v>
      </c>
      <c r="EX27">
        <v>194077</v>
      </c>
      <c r="EY27">
        <v>69368</v>
      </c>
      <c r="EZ27">
        <v>136930</v>
      </c>
      <c r="FA27">
        <v>105488</v>
      </c>
      <c r="FB27">
        <v>164164</v>
      </c>
      <c r="FC27">
        <v>147267</v>
      </c>
      <c r="FD27">
        <v>187523</v>
      </c>
      <c r="FE27">
        <v>178299</v>
      </c>
      <c r="FF27">
        <v>52997</v>
      </c>
      <c r="FG27">
        <v>94312</v>
      </c>
      <c r="FH27">
        <v>115272</v>
      </c>
      <c r="FI27">
        <v>117862</v>
      </c>
      <c r="FJ27">
        <v>244410</v>
      </c>
    </row>
    <row r="28" spans="1:166">
      <c r="A28" t="s">
        <v>685</v>
      </c>
      <c r="B28" t="s">
        <v>88</v>
      </c>
      <c r="C28">
        <v>1000000</v>
      </c>
      <c r="D28" t="s">
        <v>89</v>
      </c>
      <c r="E28" t="s">
        <v>686</v>
      </c>
      <c r="F28" s="10" t="s">
        <v>687</v>
      </c>
      <c r="G28" t="s">
        <v>97</v>
      </c>
      <c r="H28">
        <v>922</v>
      </c>
      <c r="I28">
        <v>746</v>
      </c>
      <c r="J28">
        <v>1432</v>
      </c>
      <c r="K28">
        <v>1801</v>
      </c>
      <c r="L28">
        <v>1393</v>
      </c>
      <c r="M28">
        <v>1645</v>
      </c>
      <c r="N28">
        <v>2084</v>
      </c>
      <c r="O28">
        <v>2321</v>
      </c>
      <c r="P28">
        <v>2355</v>
      </c>
      <c r="Q28">
        <v>2680</v>
      </c>
      <c r="R28">
        <v>2941</v>
      </c>
      <c r="S28">
        <v>2954</v>
      </c>
      <c r="T28">
        <v>2493</v>
      </c>
      <c r="U28">
        <v>3338</v>
      </c>
      <c r="V28">
        <v>3619</v>
      </c>
      <c r="W28">
        <v>3728</v>
      </c>
      <c r="X28">
        <v>4187</v>
      </c>
      <c r="Y28">
        <v>3403</v>
      </c>
      <c r="Z28">
        <v>3398</v>
      </c>
      <c r="AA28">
        <v>4533</v>
      </c>
      <c r="AB28">
        <v>5062</v>
      </c>
      <c r="AC28">
        <v>4880</v>
      </c>
      <c r="AD28">
        <v>5533</v>
      </c>
      <c r="AE28">
        <v>5549</v>
      </c>
      <c r="AF28">
        <v>5804</v>
      </c>
      <c r="AG28">
        <v>7344</v>
      </c>
      <c r="AH28">
        <v>8671</v>
      </c>
      <c r="AI28">
        <v>9601</v>
      </c>
      <c r="AJ28">
        <v>9248</v>
      </c>
      <c r="AK28">
        <v>8717</v>
      </c>
      <c r="AL28">
        <v>10975</v>
      </c>
      <c r="AM28">
        <v>15219</v>
      </c>
      <c r="AN28">
        <v>19476</v>
      </c>
      <c r="AO28">
        <v>17894</v>
      </c>
      <c r="AP28">
        <v>10871</v>
      </c>
      <c r="AQ28">
        <v>6623</v>
      </c>
      <c r="AR28">
        <v>2575</v>
      </c>
      <c r="AS28">
        <v>8386</v>
      </c>
      <c r="AT28">
        <v>5569</v>
      </c>
      <c r="AU28">
        <v>7714</v>
      </c>
      <c r="AV28">
        <v>9790</v>
      </c>
      <c r="AW28">
        <v>20778</v>
      </c>
      <c r="AX28">
        <v>16033</v>
      </c>
      <c r="AY28">
        <v>12073</v>
      </c>
      <c r="AZ28">
        <v>11799</v>
      </c>
      <c r="BA28">
        <v>25757</v>
      </c>
      <c r="BB28">
        <v>26591</v>
      </c>
      <c r="BC28">
        <v>18258</v>
      </c>
      <c r="BD28">
        <v>14425</v>
      </c>
      <c r="BE28">
        <v>22508</v>
      </c>
      <c r="BF28">
        <v>19854</v>
      </c>
      <c r="BG28">
        <v>33827</v>
      </c>
      <c r="BH28">
        <v>11574</v>
      </c>
      <c r="BI28">
        <v>32326</v>
      </c>
      <c r="BJ28">
        <v>9080</v>
      </c>
      <c r="BK28">
        <v>60743</v>
      </c>
      <c r="BL28">
        <v>113808</v>
      </c>
      <c r="BM28">
        <v>125313</v>
      </c>
      <c r="BN28">
        <v>114332</v>
      </c>
      <c r="BO28">
        <v>106875</v>
      </c>
      <c r="BP28">
        <v>134487</v>
      </c>
      <c r="BQ28">
        <v>30251</v>
      </c>
      <c r="BR28">
        <v>-10054</v>
      </c>
      <c r="BS28">
        <v>327872</v>
      </c>
      <c r="BT28">
        <v>300909</v>
      </c>
      <c r="BU28">
        <v>225868</v>
      </c>
      <c r="BV28">
        <v>184481</v>
      </c>
      <c r="BW28">
        <v>69368</v>
      </c>
      <c r="BX28">
        <v>126940</v>
      </c>
      <c r="BY28">
        <v>105488</v>
      </c>
      <c r="BZ28">
        <v>162364</v>
      </c>
      <c r="CA28">
        <v>70662</v>
      </c>
      <c r="CB28">
        <v>170628</v>
      </c>
      <c r="CC28">
        <v>178299</v>
      </c>
      <c r="CD28">
        <v>52997</v>
      </c>
      <c r="CE28">
        <v>56852</v>
      </c>
      <c r="CF28">
        <v>94596</v>
      </c>
      <c r="CG28">
        <v>163773</v>
      </c>
      <c r="CH28">
        <v>219618</v>
      </c>
    </row>
    <row r="29" spans="1:166">
      <c r="A29" t="s">
        <v>682</v>
      </c>
      <c r="B29" t="s">
        <v>88</v>
      </c>
      <c r="C29">
        <v>1000000</v>
      </c>
      <c r="D29" t="s">
        <v>89</v>
      </c>
      <c r="E29" t="s">
        <v>683</v>
      </c>
      <c r="F29" s="10" t="s">
        <v>684</v>
      </c>
      <c r="G29" t="s">
        <v>97</v>
      </c>
      <c r="H29">
        <v>922</v>
      </c>
      <c r="I29">
        <v>746</v>
      </c>
      <c r="J29">
        <v>1432</v>
      </c>
      <c r="K29">
        <v>1801</v>
      </c>
      <c r="L29">
        <v>1393</v>
      </c>
      <c r="M29">
        <v>1645</v>
      </c>
      <c r="N29">
        <v>2084</v>
      </c>
      <c r="O29">
        <v>2321</v>
      </c>
      <c r="P29">
        <v>2355</v>
      </c>
      <c r="Q29">
        <v>2680</v>
      </c>
      <c r="R29">
        <v>2941</v>
      </c>
      <c r="S29">
        <v>2954</v>
      </c>
      <c r="T29">
        <v>2493</v>
      </c>
      <c r="U29">
        <v>3338</v>
      </c>
      <c r="V29">
        <v>3619</v>
      </c>
      <c r="W29">
        <v>3728</v>
      </c>
      <c r="X29">
        <v>4187</v>
      </c>
      <c r="Y29">
        <v>3403</v>
      </c>
      <c r="Z29">
        <v>3398</v>
      </c>
      <c r="AA29">
        <v>4533</v>
      </c>
      <c r="AB29">
        <v>5062</v>
      </c>
      <c r="AC29">
        <v>4880</v>
      </c>
      <c r="AD29">
        <v>5533</v>
      </c>
      <c r="AE29">
        <v>5549</v>
      </c>
      <c r="AF29">
        <v>5804</v>
      </c>
      <c r="AG29">
        <v>7344</v>
      </c>
      <c r="AH29">
        <v>8671</v>
      </c>
      <c r="AI29">
        <v>9601</v>
      </c>
      <c r="AJ29">
        <v>9248</v>
      </c>
      <c r="AK29">
        <v>8717</v>
      </c>
      <c r="AL29">
        <v>10975</v>
      </c>
      <c r="AM29">
        <v>15219</v>
      </c>
      <c r="AN29">
        <v>19476</v>
      </c>
      <c r="AO29">
        <v>17894</v>
      </c>
      <c r="AP29">
        <v>10871</v>
      </c>
      <c r="AQ29">
        <v>6623</v>
      </c>
      <c r="AR29">
        <v>2575</v>
      </c>
      <c r="AS29">
        <v>8386</v>
      </c>
      <c r="AT29">
        <v>5569</v>
      </c>
      <c r="AU29">
        <v>7714</v>
      </c>
      <c r="AV29">
        <v>9790</v>
      </c>
      <c r="AW29">
        <v>20778</v>
      </c>
      <c r="AX29">
        <v>16033</v>
      </c>
      <c r="AY29">
        <v>15266</v>
      </c>
      <c r="AZ29">
        <v>11799</v>
      </c>
      <c r="BA29">
        <v>27041</v>
      </c>
      <c r="BB29">
        <v>43951</v>
      </c>
      <c r="BC29">
        <v>20307</v>
      </c>
      <c r="BD29">
        <v>26593</v>
      </c>
      <c r="BE29">
        <v>24438</v>
      </c>
      <c r="BF29">
        <v>19854</v>
      </c>
      <c r="BG29">
        <v>33827</v>
      </c>
      <c r="BH29">
        <v>11574</v>
      </c>
      <c r="BI29">
        <v>34054</v>
      </c>
      <c r="BJ29">
        <v>9080</v>
      </c>
      <c r="BK29">
        <v>68480</v>
      </c>
      <c r="BL29">
        <v>113808</v>
      </c>
      <c r="BM29">
        <v>125313</v>
      </c>
      <c r="BN29">
        <v>130514</v>
      </c>
      <c r="BO29">
        <v>134599</v>
      </c>
      <c r="BP29">
        <v>134487</v>
      </c>
      <c r="BQ29">
        <v>30251</v>
      </c>
      <c r="BR29">
        <v>-70537</v>
      </c>
      <c r="BS29">
        <v>205951</v>
      </c>
      <c r="BT29">
        <v>259428</v>
      </c>
      <c r="BU29">
        <v>193474</v>
      </c>
      <c r="BV29">
        <v>194077</v>
      </c>
      <c r="BW29">
        <v>69368</v>
      </c>
      <c r="BX29">
        <v>136930</v>
      </c>
      <c r="BY29">
        <v>105488</v>
      </c>
      <c r="BZ29">
        <v>164164</v>
      </c>
      <c r="CA29">
        <v>147267</v>
      </c>
      <c r="CB29">
        <v>187523</v>
      </c>
      <c r="CC29">
        <v>178299</v>
      </c>
      <c r="CD29">
        <v>52997</v>
      </c>
      <c r="CE29">
        <v>94312</v>
      </c>
      <c r="CF29">
        <v>115272</v>
      </c>
      <c r="CG29">
        <v>117862</v>
      </c>
      <c r="CH29">
        <v>244410</v>
      </c>
    </row>
    <row r="30" spans="1:166">
      <c r="A30" t="s">
        <v>688</v>
      </c>
      <c r="B30" t="s">
        <v>88</v>
      </c>
      <c r="C30">
        <v>1000000</v>
      </c>
      <c r="D30" t="s">
        <v>89</v>
      </c>
      <c r="E30" t="s">
        <v>689</v>
      </c>
      <c r="F30" s="10" t="s">
        <v>690</v>
      </c>
      <c r="G30" t="s">
        <v>97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3193</v>
      </c>
      <c r="AZ30">
        <v>0</v>
      </c>
      <c r="BA30">
        <v>1284</v>
      </c>
      <c r="BB30">
        <v>17360</v>
      </c>
      <c r="BC30">
        <v>2049</v>
      </c>
      <c r="BD30">
        <v>12168</v>
      </c>
      <c r="BE30">
        <v>1930</v>
      </c>
      <c r="BF30">
        <v>0</v>
      </c>
      <c r="BG30">
        <v>0</v>
      </c>
      <c r="BH30">
        <v>0</v>
      </c>
      <c r="BI30">
        <v>1728</v>
      </c>
      <c r="BJ30">
        <v>0</v>
      </c>
      <c r="BK30">
        <v>7737</v>
      </c>
      <c r="BL30">
        <v>0</v>
      </c>
      <c r="BM30">
        <v>0</v>
      </c>
      <c r="BN30">
        <v>16182</v>
      </c>
      <c r="BO30">
        <v>27724</v>
      </c>
      <c r="BP30">
        <v>0</v>
      </c>
      <c r="BQ30">
        <v>0</v>
      </c>
      <c r="BR30">
        <v>-60483</v>
      </c>
      <c r="BS30">
        <v>-121921</v>
      </c>
      <c r="BT30">
        <v>-41481</v>
      </c>
      <c r="BU30">
        <v>-32394</v>
      </c>
      <c r="BV30">
        <v>9596</v>
      </c>
      <c r="BW30">
        <v>0</v>
      </c>
      <c r="BX30">
        <v>9990</v>
      </c>
      <c r="BY30">
        <v>0</v>
      </c>
      <c r="BZ30">
        <v>1800</v>
      </c>
      <c r="CA30">
        <v>76605</v>
      </c>
      <c r="CB30">
        <v>16895</v>
      </c>
      <c r="CC30">
        <v>0</v>
      </c>
      <c r="CD30">
        <v>0</v>
      </c>
      <c r="CE30">
        <v>37461</v>
      </c>
      <c r="CF30">
        <v>20676</v>
      </c>
      <c r="CG30">
        <v>-45911</v>
      </c>
      <c r="CH30">
        <v>24792</v>
      </c>
    </row>
    <row r="31" spans="1:166">
      <c r="A31" t="s">
        <v>92</v>
      </c>
      <c r="B31" t="s">
        <v>88</v>
      </c>
      <c r="C31">
        <v>1000000</v>
      </c>
      <c r="D31" t="s">
        <v>89</v>
      </c>
      <c r="E31" t="s">
        <v>691</v>
      </c>
      <c r="F31" s="10" t="s">
        <v>692</v>
      </c>
      <c r="G31" t="s">
        <v>97</v>
      </c>
      <c r="H31">
        <v>249</v>
      </c>
      <c r="I31">
        <v>256</v>
      </c>
      <c r="J31">
        <v>277</v>
      </c>
      <c r="K31">
        <v>279</v>
      </c>
      <c r="L31">
        <v>330</v>
      </c>
      <c r="M31">
        <v>405</v>
      </c>
      <c r="N31">
        <v>281</v>
      </c>
      <c r="O31">
        <v>509</v>
      </c>
      <c r="P31">
        <v>479</v>
      </c>
      <c r="Q31">
        <v>774</v>
      </c>
      <c r="R31">
        <v>803</v>
      </c>
      <c r="S31">
        <v>756</v>
      </c>
      <c r="T31">
        <v>574</v>
      </c>
      <c r="U31">
        <v>659</v>
      </c>
      <c r="V31">
        <v>931</v>
      </c>
      <c r="W31">
        <v>889</v>
      </c>
      <c r="X31">
        <v>1082</v>
      </c>
      <c r="Y31">
        <v>988</v>
      </c>
      <c r="Z31">
        <v>1593</v>
      </c>
      <c r="AA31">
        <v>1962</v>
      </c>
      <c r="AB31">
        <v>1945</v>
      </c>
      <c r="AC31">
        <v>2113</v>
      </c>
      <c r="AD31">
        <v>2990</v>
      </c>
      <c r="AE31">
        <v>3056</v>
      </c>
      <c r="AF31">
        <v>2949</v>
      </c>
      <c r="AG31">
        <v>3620</v>
      </c>
      <c r="AH31">
        <v>3691</v>
      </c>
      <c r="AI31">
        <v>5409</v>
      </c>
      <c r="AJ31">
        <v>6854</v>
      </c>
      <c r="AK31">
        <v>6640</v>
      </c>
      <c r="AL31">
        <v>6826</v>
      </c>
      <c r="AM31">
        <v>7276</v>
      </c>
      <c r="AN31">
        <v>10699</v>
      </c>
      <c r="AO31">
        <v>14366</v>
      </c>
      <c r="AP31">
        <v>17517</v>
      </c>
      <c r="AQ31">
        <v>20611</v>
      </c>
      <c r="AR31">
        <v>21386</v>
      </c>
      <c r="AS31">
        <v>23098</v>
      </c>
      <c r="AT31">
        <v>30085</v>
      </c>
      <c r="AU31">
        <v>34577</v>
      </c>
      <c r="AV31">
        <v>36176</v>
      </c>
      <c r="AW31">
        <v>34328</v>
      </c>
      <c r="AX31">
        <v>36494</v>
      </c>
      <c r="AY31">
        <v>40277</v>
      </c>
      <c r="AZ31">
        <v>33475</v>
      </c>
      <c r="BA31">
        <v>22164</v>
      </c>
      <c r="BB31">
        <v>20278</v>
      </c>
      <c r="BC31">
        <v>24796</v>
      </c>
      <c r="BD31">
        <v>28513</v>
      </c>
      <c r="BE31">
        <v>26138</v>
      </c>
      <c r="BF31">
        <v>34815</v>
      </c>
      <c r="BG31">
        <v>38084</v>
      </c>
      <c r="BH31">
        <v>56284</v>
      </c>
      <c r="BI31">
        <v>60192</v>
      </c>
      <c r="BJ31">
        <v>52231</v>
      </c>
      <c r="BK31">
        <v>40695</v>
      </c>
      <c r="BL31">
        <v>29070</v>
      </c>
      <c r="BM31">
        <v>23020</v>
      </c>
      <c r="BN31">
        <v>37192</v>
      </c>
      <c r="BO31">
        <v>34104</v>
      </c>
      <c r="BP31">
        <v>33892</v>
      </c>
      <c r="BQ31">
        <v>48526</v>
      </c>
      <c r="BR31">
        <v>24496</v>
      </c>
      <c r="BS31">
        <v>-10304</v>
      </c>
      <c r="BT31">
        <v>-2977</v>
      </c>
      <c r="BU31">
        <v>7131</v>
      </c>
      <c r="BV31">
        <v>25359</v>
      </c>
      <c r="BW31">
        <v>17920</v>
      </c>
      <c r="BX31">
        <v>23398</v>
      </c>
      <c r="BY31">
        <v>36217</v>
      </c>
      <c r="BZ31">
        <v>40864</v>
      </c>
      <c r="CA31">
        <v>33074</v>
      </c>
      <c r="CB31">
        <v>40579</v>
      </c>
      <c r="CC31">
        <v>58501</v>
      </c>
      <c r="CD31">
        <v>27437</v>
      </c>
      <c r="CE31">
        <v>28094</v>
      </c>
      <c r="CF31">
        <v>16056</v>
      </c>
      <c r="CG31">
        <v>35235</v>
      </c>
      <c r="CH31">
        <v>49179</v>
      </c>
    </row>
    <row r="32" spans="1:166">
      <c r="A32" t="s">
        <v>107</v>
      </c>
      <c r="B32" t="s">
        <v>88</v>
      </c>
      <c r="C32">
        <v>1000000</v>
      </c>
      <c r="D32" t="s">
        <v>89</v>
      </c>
      <c r="E32" t="s">
        <v>693</v>
      </c>
      <c r="F32" s="10" t="s">
        <v>694</v>
      </c>
      <c r="G32" t="s">
        <v>97</v>
      </c>
      <c r="H32">
        <v>540</v>
      </c>
      <c r="I32">
        <v>621</v>
      </c>
      <c r="J32">
        <v>705</v>
      </c>
      <c r="K32">
        <v>747</v>
      </c>
      <c r="L32">
        <v>835</v>
      </c>
      <c r="M32">
        <v>979</v>
      </c>
      <c r="N32">
        <v>910</v>
      </c>
      <c r="O32">
        <v>1178</v>
      </c>
      <c r="P32">
        <v>1203</v>
      </c>
      <c r="Q32">
        <v>1537</v>
      </c>
      <c r="R32">
        <v>1666</v>
      </c>
      <c r="S32">
        <v>1706</v>
      </c>
      <c r="T32">
        <v>1631</v>
      </c>
      <c r="U32">
        <v>1815</v>
      </c>
      <c r="V32">
        <v>2045</v>
      </c>
      <c r="W32">
        <v>2038</v>
      </c>
      <c r="X32">
        <v>2293</v>
      </c>
      <c r="Y32">
        <v>2263</v>
      </c>
      <c r="Z32">
        <v>2943</v>
      </c>
      <c r="AA32">
        <v>3474</v>
      </c>
      <c r="AB32">
        <v>3626</v>
      </c>
      <c r="AC32">
        <v>3978</v>
      </c>
      <c r="AD32">
        <v>5126</v>
      </c>
      <c r="AE32">
        <v>5534</v>
      </c>
      <c r="AF32">
        <v>5786</v>
      </c>
      <c r="AG32">
        <v>6842</v>
      </c>
      <c r="AH32">
        <v>7309</v>
      </c>
      <c r="AI32">
        <v>9612</v>
      </c>
      <c r="AJ32">
        <v>11950</v>
      </c>
      <c r="AK32">
        <v>12923</v>
      </c>
      <c r="AL32">
        <v>14105</v>
      </c>
      <c r="AM32">
        <v>15736</v>
      </c>
      <c r="AN32">
        <v>20435</v>
      </c>
      <c r="AO32">
        <v>26002</v>
      </c>
      <c r="AP32">
        <v>31633</v>
      </c>
      <c r="AQ32">
        <v>37510</v>
      </c>
      <c r="AR32">
        <v>41342</v>
      </c>
      <c r="AS32">
        <v>45815</v>
      </c>
      <c r="AT32">
        <v>55850</v>
      </c>
      <c r="AU32">
        <v>64130</v>
      </c>
      <c r="AV32">
        <v>69944</v>
      </c>
      <c r="AW32">
        <v>72912</v>
      </c>
      <c r="AX32">
        <v>80344</v>
      </c>
      <c r="AY32">
        <v>89580</v>
      </c>
      <c r="AZ32">
        <v>87889</v>
      </c>
      <c r="BA32">
        <v>80576</v>
      </c>
      <c r="BB32">
        <v>80613</v>
      </c>
      <c r="BC32">
        <v>88380</v>
      </c>
      <c r="BD32">
        <v>96119</v>
      </c>
      <c r="BE32">
        <v>98229</v>
      </c>
      <c r="BF32">
        <v>109546</v>
      </c>
      <c r="BG32">
        <v>116162</v>
      </c>
      <c r="BH32">
        <v>139972</v>
      </c>
      <c r="BI32">
        <v>153838</v>
      </c>
      <c r="BJ32">
        <v>156857</v>
      </c>
      <c r="BK32">
        <v>151426</v>
      </c>
      <c r="BL32">
        <v>144412</v>
      </c>
      <c r="BM32">
        <v>143295</v>
      </c>
      <c r="BN32">
        <v>164517</v>
      </c>
      <c r="BO32">
        <v>169291</v>
      </c>
      <c r="BP32">
        <v>175965</v>
      </c>
      <c r="BQ32">
        <v>198114</v>
      </c>
      <c r="BR32">
        <v>181022</v>
      </c>
      <c r="BS32">
        <v>147686</v>
      </c>
      <c r="BT32">
        <v>153492</v>
      </c>
      <c r="BU32">
        <v>168104</v>
      </c>
      <c r="BV32">
        <v>193222</v>
      </c>
      <c r="BW32">
        <v>194426</v>
      </c>
      <c r="BX32">
        <v>207539</v>
      </c>
      <c r="BY32">
        <v>228690</v>
      </c>
      <c r="BZ32">
        <v>244084</v>
      </c>
      <c r="CA32">
        <v>247513</v>
      </c>
      <c r="CB32">
        <v>266701</v>
      </c>
      <c r="CC32">
        <v>301336</v>
      </c>
      <c r="CD32">
        <v>284977</v>
      </c>
      <c r="CE32">
        <v>302552</v>
      </c>
      <c r="CF32">
        <v>318288</v>
      </c>
      <c r="CG32">
        <v>359300</v>
      </c>
      <c r="CH32">
        <v>394000</v>
      </c>
    </row>
    <row r="33" spans="1:166">
      <c r="A33" t="s">
        <v>619</v>
      </c>
      <c r="B33" t="s">
        <v>88</v>
      </c>
      <c r="C33">
        <v>1000000</v>
      </c>
      <c r="D33" t="s">
        <v>89</v>
      </c>
      <c r="E33" t="s">
        <v>620</v>
      </c>
      <c r="F33" s="10" t="s">
        <v>621</v>
      </c>
      <c r="G33" t="s">
        <v>97</v>
      </c>
      <c r="H33">
        <v>298</v>
      </c>
      <c r="I33">
        <v>384</v>
      </c>
      <c r="J33">
        <v>442</v>
      </c>
      <c r="K33">
        <v>485</v>
      </c>
      <c r="L33">
        <v>528</v>
      </c>
      <c r="M33">
        <v>600</v>
      </c>
      <c r="N33">
        <v>645</v>
      </c>
      <c r="O33">
        <v>687</v>
      </c>
      <c r="P33">
        <v>740</v>
      </c>
      <c r="Q33">
        <v>778</v>
      </c>
      <c r="R33">
        <v>878</v>
      </c>
      <c r="S33">
        <v>970</v>
      </c>
      <c r="T33">
        <v>1080</v>
      </c>
      <c r="U33">
        <v>1184</v>
      </c>
      <c r="V33">
        <v>1145</v>
      </c>
      <c r="W33">
        <v>1182</v>
      </c>
      <c r="X33">
        <v>1235</v>
      </c>
      <c r="Y33">
        <v>1302</v>
      </c>
      <c r="Z33">
        <v>1392</v>
      </c>
      <c r="AA33">
        <v>1561</v>
      </c>
      <c r="AB33">
        <v>1735</v>
      </c>
      <c r="AC33">
        <v>1930</v>
      </c>
      <c r="AD33">
        <v>2211</v>
      </c>
      <c r="AE33">
        <v>2570</v>
      </c>
      <c r="AF33">
        <v>2940</v>
      </c>
      <c r="AG33">
        <v>3341</v>
      </c>
      <c r="AH33">
        <v>3756</v>
      </c>
      <c r="AI33">
        <v>4370</v>
      </c>
      <c r="AJ33">
        <v>5300</v>
      </c>
      <c r="AK33">
        <v>6511</v>
      </c>
      <c r="AL33">
        <v>7518</v>
      </c>
      <c r="AM33">
        <v>8717</v>
      </c>
      <c r="AN33">
        <v>10007</v>
      </c>
      <c r="AO33">
        <v>11922</v>
      </c>
      <c r="AP33">
        <v>14449</v>
      </c>
      <c r="AQ33">
        <v>17262</v>
      </c>
      <c r="AR33">
        <v>20359</v>
      </c>
      <c r="AS33">
        <v>23156</v>
      </c>
      <c r="AT33">
        <v>26248</v>
      </c>
      <c r="AU33">
        <v>30060</v>
      </c>
      <c r="AV33">
        <v>34300</v>
      </c>
      <c r="AW33">
        <v>39184</v>
      </c>
      <c r="AX33">
        <v>44502</v>
      </c>
      <c r="AY33">
        <v>49994</v>
      </c>
      <c r="AZ33">
        <v>55143</v>
      </c>
      <c r="BA33">
        <v>59174</v>
      </c>
      <c r="BB33">
        <v>61104</v>
      </c>
      <c r="BC33">
        <v>64383</v>
      </c>
      <c r="BD33">
        <v>68449</v>
      </c>
      <c r="BE33">
        <v>73008</v>
      </c>
      <c r="BF33">
        <v>75730</v>
      </c>
      <c r="BG33">
        <v>79216</v>
      </c>
      <c r="BH33">
        <v>85037</v>
      </c>
      <c r="BI33">
        <v>95258</v>
      </c>
      <c r="BJ33">
        <v>106474</v>
      </c>
      <c r="BK33">
        <v>112757</v>
      </c>
      <c r="BL33">
        <v>115315</v>
      </c>
      <c r="BM33">
        <v>120244</v>
      </c>
      <c r="BN33">
        <v>127299</v>
      </c>
      <c r="BO33">
        <v>135160</v>
      </c>
      <c r="BP33">
        <v>142043</v>
      </c>
      <c r="BQ33">
        <v>149569</v>
      </c>
      <c r="BR33">
        <v>156506</v>
      </c>
      <c r="BS33">
        <v>157958</v>
      </c>
      <c r="BT33">
        <v>156443</v>
      </c>
      <c r="BU33">
        <v>160953</v>
      </c>
      <c r="BV33">
        <v>167837</v>
      </c>
      <c r="BW33">
        <v>176478</v>
      </c>
      <c r="BX33">
        <v>184121</v>
      </c>
      <c r="BY33">
        <v>192444</v>
      </c>
      <c r="BZ33">
        <v>203220</v>
      </c>
      <c r="CA33">
        <v>214439</v>
      </c>
      <c r="CB33">
        <v>226122</v>
      </c>
      <c r="CC33">
        <v>242836</v>
      </c>
      <c r="CD33">
        <v>257539</v>
      </c>
      <c r="CE33">
        <v>274459</v>
      </c>
      <c r="CF33">
        <v>302232</v>
      </c>
      <c r="CG33">
        <v>324065</v>
      </c>
      <c r="CH33">
        <v>344821</v>
      </c>
    </row>
    <row r="34" spans="1:166">
      <c r="A34" t="s">
        <v>695</v>
      </c>
      <c r="B34" t="s">
        <v>88</v>
      </c>
      <c r="C34">
        <v>1000000</v>
      </c>
      <c r="D34" t="s">
        <v>89</v>
      </c>
      <c r="E34" t="s">
        <v>696</v>
      </c>
      <c r="F34" s="10" t="s">
        <v>697</v>
      </c>
      <c r="G34" t="s">
        <v>97</v>
      </c>
      <c r="H34">
        <v>673</v>
      </c>
      <c r="I34">
        <v>490</v>
      </c>
      <c r="J34">
        <v>1155</v>
      </c>
      <c r="K34">
        <v>1522</v>
      </c>
      <c r="L34">
        <v>1063</v>
      </c>
      <c r="M34">
        <v>1240</v>
      </c>
      <c r="N34">
        <v>1803</v>
      </c>
      <c r="O34">
        <v>1812</v>
      </c>
      <c r="P34">
        <v>1876</v>
      </c>
      <c r="Q34">
        <v>1906</v>
      </c>
      <c r="R34">
        <v>2138</v>
      </c>
      <c r="S34">
        <v>2198</v>
      </c>
      <c r="T34">
        <v>1919</v>
      </c>
      <c r="U34">
        <v>2679</v>
      </c>
      <c r="V34">
        <v>2688</v>
      </c>
      <c r="W34">
        <v>2839</v>
      </c>
      <c r="X34">
        <v>3105</v>
      </c>
      <c r="Y34">
        <v>2415</v>
      </c>
      <c r="Z34">
        <v>1805</v>
      </c>
      <c r="AA34">
        <v>2571</v>
      </c>
      <c r="AB34">
        <v>3117</v>
      </c>
      <c r="AC34">
        <v>2767</v>
      </c>
      <c r="AD34">
        <v>2543</v>
      </c>
      <c r="AE34">
        <v>2493</v>
      </c>
      <c r="AF34">
        <v>2855</v>
      </c>
      <c r="AG34">
        <v>3724</v>
      </c>
      <c r="AH34">
        <v>4980</v>
      </c>
      <c r="AI34">
        <v>4192</v>
      </c>
      <c r="AJ34">
        <v>2394</v>
      </c>
      <c r="AK34">
        <v>2077</v>
      </c>
      <c r="AL34">
        <v>4149</v>
      </c>
      <c r="AM34">
        <v>7943</v>
      </c>
      <c r="AN34">
        <v>8777</v>
      </c>
      <c r="AO34">
        <v>3528</v>
      </c>
      <c r="AP34">
        <v>-6647</v>
      </c>
      <c r="AQ34">
        <v>-13988</v>
      </c>
      <c r="AR34">
        <v>-18811</v>
      </c>
      <c r="AS34">
        <v>-14713</v>
      </c>
      <c r="AT34">
        <v>-24516</v>
      </c>
      <c r="AU34">
        <v>-26863</v>
      </c>
      <c r="AV34">
        <v>-26386</v>
      </c>
      <c r="AW34">
        <v>-13550</v>
      </c>
      <c r="AX34">
        <v>-20461</v>
      </c>
      <c r="AY34">
        <v>-28204</v>
      </c>
      <c r="AZ34">
        <v>-21676</v>
      </c>
      <c r="BA34">
        <v>3593</v>
      </c>
      <c r="BB34">
        <v>6313</v>
      </c>
      <c r="BC34">
        <v>-6538</v>
      </c>
      <c r="BD34">
        <v>-14088</v>
      </c>
      <c r="BE34">
        <v>-3630</v>
      </c>
      <c r="BF34">
        <v>-14961</v>
      </c>
      <c r="BG34">
        <v>-4257</v>
      </c>
      <c r="BH34">
        <v>-44710</v>
      </c>
      <c r="BI34">
        <v>-27867</v>
      </c>
      <c r="BJ34">
        <v>-43151</v>
      </c>
      <c r="BK34">
        <v>20048</v>
      </c>
      <c r="BL34">
        <v>84738</v>
      </c>
      <c r="BM34">
        <v>102293</v>
      </c>
      <c r="BN34">
        <v>77140</v>
      </c>
      <c r="BO34">
        <v>72771</v>
      </c>
      <c r="BP34">
        <v>100595</v>
      </c>
      <c r="BQ34">
        <v>-18276</v>
      </c>
      <c r="BR34">
        <v>-34550</v>
      </c>
      <c r="BS34">
        <v>338176</v>
      </c>
      <c r="BT34">
        <v>303886</v>
      </c>
      <c r="BU34">
        <v>218737</v>
      </c>
      <c r="BV34">
        <v>159122</v>
      </c>
      <c r="BW34">
        <v>51448</v>
      </c>
      <c r="BX34">
        <v>103542</v>
      </c>
      <c r="BY34">
        <v>69271</v>
      </c>
      <c r="BZ34">
        <v>121500</v>
      </c>
      <c r="CA34">
        <v>37588</v>
      </c>
      <c r="CB34">
        <v>130049</v>
      </c>
      <c r="CC34">
        <v>119798</v>
      </c>
      <c r="CD34">
        <v>25560</v>
      </c>
      <c r="CE34">
        <v>28758</v>
      </c>
      <c r="CF34">
        <v>78541</v>
      </c>
      <c r="CG34">
        <v>128539</v>
      </c>
      <c r="CH34">
        <v>170438</v>
      </c>
      <c r="CI34" t="s">
        <v>97</v>
      </c>
      <c r="CJ34">
        <v>673</v>
      </c>
      <c r="CK34">
        <v>490</v>
      </c>
      <c r="CL34">
        <v>1155</v>
      </c>
      <c r="CM34">
        <v>1522</v>
      </c>
      <c r="CN34">
        <v>1063</v>
      </c>
      <c r="CO34">
        <v>1240</v>
      </c>
      <c r="CP34">
        <v>1803</v>
      </c>
      <c r="CQ34">
        <v>1812</v>
      </c>
      <c r="CR34">
        <v>1876</v>
      </c>
      <c r="CS34">
        <v>1906</v>
      </c>
      <c r="CT34">
        <v>2138</v>
      </c>
      <c r="CU34">
        <v>2198</v>
      </c>
      <c r="CV34">
        <v>1919</v>
      </c>
      <c r="CW34">
        <v>2679</v>
      </c>
      <c r="CX34">
        <v>2688</v>
      </c>
      <c r="CY34">
        <v>2839</v>
      </c>
      <c r="CZ34">
        <v>3105</v>
      </c>
      <c r="DA34">
        <v>2415</v>
      </c>
      <c r="DB34">
        <v>1805</v>
      </c>
      <c r="DC34">
        <v>2571</v>
      </c>
      <c r="DD34">
        <v>3117</v>
      </c>
      <c r="DE34">
        <v>2767</v>
      </c>
      <c r="DF34">
        <v>2543</v>
      </c>
      <c r="DG34">
        <v>2493</v>
      </c>
      <c r="DH34">
        <v>2855</v>
      </c>
      <c r="DI34">
        <v>3724</v>
      </c>
      <c r="DJ34">
        <v>4980</v>
      </c>
      <c r="DK34">
        <v>4192</v>
      </c>
      <c r="DL34">
        <v>2394</v>
      </c>
      <c r="DM34">
        <v>2077</v>
      </c>
      <c r="DN34">
        <v>4149</v>
      </c>
      <c r="DO34">
        <v>7943</v>
      </c>
      <c r="DP34">
        <v>8777</v>
      </c>
      <c r="DQ34">
        <v>3528</v>
      </c>
      <c r="DR34">
        <v>-6647</v>
      </c>
      <c r="DS34">
        <v>-13988</v>
      </c>
      <c r="DT34">
        <v>-18811</v>
      </c>
      <c r="DU34">
        <v>-14713</v>
      </c>
      <c r="DV34">
        <v>-24516</v>
      </c>
      <c r="DW34">
        <v>-26863</v>
      </c>
      <c r="DX34">
        <v>-26386</v>
      </c>
      <c r="DY34">
        <v>-13550</v>
      </c>
      <c r="DZ34">
        <v>-20461</v>
      </c>
      <c r="EA34">
        <v>-28204</v>
      </c>
      <c r="EB34">
        <v>-21676</v>
      </c>
      <c r="EC34">
        <v>3593</v>
      </c>
      <c r="ED34">
        <v>6313</v>
      </c>
      <c r="EE34">
        <v>-6538</v>
      </c>
      <c r="EF34">
        <v>-14088</v>
      </c>
      <c r="EG34">
        <v>-3630</v>
      </c>
      <c r="EH34">
        <v>-14961</v>
      </c>
      <c r="EI34">
        <v>-4257</v>
      </c>
      <c r="EJ34">
        <v>-44710</v>
      </c>
      <c r="EK34">
        <v>-27867</v>
      </c>
      <c r="EL34">
        <v>-43151</v>
      </c>
      <c r="EM34">
        <v>20048</v>
      </c>
      <c r="EN34">
        <v>84738</v>
      </c>
      <c r="EO34">
        <v>102293</v>
      </c>
      <c r="EP34">
        <v>77140</v>
      </c>
      <c r="EQ34">
        <v>72771</v>
      </c>
      <c r="ER34">
        <v>100595</v>
      </c>
      <c r="ES34">
        <v>-18276</v>
      </c>
      <c r="ET34">
        <v>-34550</v>
      </c>
      <c r="EU34">
        <v>338176</v>
      </c>
      <c r="EV34">
        <v>303886</v>
      </c>
      <c r="EW34">
        <v>218737</v>
      </c>
      <c r="EX34">
        <v>159122</v>
      </c>
      <c r="EY34">
        <v>51448</v>
      </c>
      <c r="EZ34">
        <v>103542</v>
      </c>
      <c r="FA34">
        <v>69271</v>
      </c>
      <c r="FB34">
        <v>121500</v>
      </c>
      <c r="FC34">
        <v>37588</v>
      </c>
      <c r="FD34">
        <v>130049</v>
      </c>
      <c r="FE34">
        <v>119798</v>
      </c>
      <c r="FF34">
        <v>25560</v>
      </c>
      <c r="FG34">
        <v>28758</v>
      </c>
      <c r="FH34">
        <v>78541</v>
      </c>
      <c r="FI34">
        <v>128539</v>
      </c>
      <c r="FJ34">
        <v>170438</v>
      </c>
    </row>
    <row r="35" spans="1:166">
      <c r="A35" t="s">
        <v>698</v>
      </c>
      <c r="B35" t="s">
        <v>88</v>
      </c>
      <c r="C35">
        <v>1000000</v>
      </c>
      <c r="D35" t="s">
        <v>89</v>
      </c>
      <c r="E35" t="s">
        <v>699</v>
      </c>
      <c r="F35" s="10" t="s">
        <v>700</v>
      </c>
      <c r="G35" t="s">
        <v>97</v>
      </c>
      <c r="H35">
        <v>3020</v>
      </c>
      <c r="I35">
        <v>19745</v>
      </c>
      <c r="J35">
        <v>18841</v>
      </c>
      <c r="K35">
        <v>15067</v>
      </c>
      <c r="L35">
        <v>29248</v>
      </c>
      <c r="M35">
        <v>34708</v>
      </c>
      <c r="N35">
        <v>40765</v>
      </c>
      <c r="O35">
        <v>35885</v>
      </c>
      <c r="P35">
        <v>38391</v>
      </c>
      <c r="Q35">
        <v>42264</v>
      </c>
      <c r="R35">
        <v>39655</v>
      </c>
      <c r="S35">
        <v>45311</v>
      </c>
      <c r="T35">
        <v>53203</v>
      </c>
      <c r="U35">
        <v>52052</v>
      </c>
      <c r="V35">
        <v>56793</v>
      </c>
      <c r="W35">
        <v>66358</v>
      </c>
      <c r="X35">
        <v>76084</v>
      </c>
      <c r="Y35">
        <v>83276</v>
      </c>
      <c r="Z35">
        <v>92292</v>
      </c>
      <c r="AA35">
        <v>100644</v>
      </c>
      <c r="AB35">
        <v>99168</v>
      </c>
      <c r="AC35">
        <v>130957</v>
      </c>
      <c r="AD35">
        <v>138244</v>
      </c>
      <c r="AE35">
        <v>146268</v>
      </c>
      <c r="AF35">
        <v>162969</v>
      </c>
      <c r="AG35">
        <v>210493</v>
      </c>
      <c r="AH35">
        <v>261258</v>
      </c>
      <c r="AI35">
        <v>306361</v>
      </c>
      <c r="AJ35">
        <v>270740</v>
      </c>
      <c r="AK35">
        <v>242654</v>
      </c>
      <c r="AL35">
        <v>348383</v>
      </c>
      <c r="AM35">
        <v>444360</v>
      </c>
      <c r="AN35">
        <v>534866</v>
      </c>
      <c r="AO35">
        <v>562720</v>
      </c>
      <c r="AP35">
        <v>610680</v>
      </c>
      <c r="AQ35">
        <v>705054</v>
      </c>
      <c r="AR35">
        <v>767268</v>
      </c>
      <c r="AS35">
        <v>774089</v>
      </c>
      <c r="AT35">
        <v>1001408</v>
      </c>
      <c r="AU35">
        <v>1137932</v>
      </c>
      <c r="AV35">
        <v>1420882</v>
      </c>
      <c r="AW35">
        <v>1030709</v>
      </c>
      <c r="AX35">
        <v>1163133</v>
      </c>
      <c r="AY35">
        <v>1080554</v>
      </c>
      <c r="AZ35">
        <v>781996</v>
      </c>
      <c r="BA35">
        <v>943476</v>
      </c>
      <c r="BB35">
        <v>1126566</v>
      </c>
      <c r="BC35">
        <v>1534831</v>
      </c>
      <c r="BD35">
        <v>1282017</v>
      </c>
      <c r="BE35">
        <v>1797082</v>
      </c>
      <c r="BF35">
        <v>1903075</v>
      </c>
      <c r="BG35">
        <v>2527774</v>
      </c>
      <c r="BH35">
        <v>2741971</v>
      </c>
      <c r="BI35">
        <v>2958173</v>
      </c>
      <c r="BJ35">
        <v>3078591</v>
      </c>
      <c r="BK35">
        <v>3541652</v>
      </c>
      <c r="BL35">
        <v>2635384</v>
      </c>
      <c r="BM35">
        <v>3786070</v>
      </c>
      <c r="BN35">
        <v>4432589</v>
      </c>
      <c r="BO35">
        <v>4125543</v>
      </c>
      <c r="BP35">
        <v>5074211</v>
      </c>
      <c r="BQ35">
        <v>5681541</v>
      </c>
      <c r="BR35">
        <v>2629617</v>
      </c>
      <c r="BS35">
        <v>-1101566</v>
      </c>
      <c r="BT35">
        <v>395982</v>
      </c>
      <c r="BU35">
        <v>1885177</v>
      </c>
      <c r="BV35">
        <v>1915020</v>
      </c>
      <c r="BW35">
        <v>2981394</v>
      </c>
      <c r="BX35">
        <v>2570254</v>
      </c>
      <c r="BY35">
        <v>1059150</v>
      </c>
      <c r="BZ35">
        <v>2027592</v>
      </c>
      <c r="CA35">
        <v>2868812</v>
      </c>
      <c r="CB35">
        <v>1546597</v>
      </c>
      <c r="CC35">
        <v>3551047</v>
      </c>
      <c r="CD35">
        <v>9781576</v>
      </c>
      <c r="CE35">
        <v>7301286</v>
      </c>
      <c r="CF35">
        <v>2220148</v>
      </c>
      <c r="CG35">
        <v>3261588</v>
      </c>
      <c r="CH35">
        <v>3218533</v>
      </c>
    </row>
    <row r="36" spans="1:166">
      <c r="A36" t="s">
        <v>701</v>
      </c>
      <c r="B36" t="s">
        <v>88</v>
      </c>
      <c r="C36">
        <v>1000000</v>
      </c>
      <c r="D36" t="s">
        <v>89</v>
      </c>
      <c r="E36" t="s">
        <v>702</v>
      </c>
      <c r="F36" s="10" t="s">
        <v>703</v>
      </c>
      <c r="G36" t="s">
        <v>97</v>
      </c>
      <c r="H36">
        <v>947</v>
      </c>
      <c r="I36">
        <v>2041</v>
      </c>
      <c r="J36">
        <v>2517</v>
      </c>
      <c r="K36">
        <v>-3718</v>
      </c>
      <c r="L36">
        <v>3153</v>
      </c>
      <c r="M36">
        <v>3178</v>
      </c>
      <c r="N36">
        <v>596</v>
      </c>
      <c r="O36">
        <v>334</v>
      </c>
      <c r="P36">
        <v>-743</v>
      </c>
      <c r="Q36">
        <v>1691</v>
      </c>
      <c r="R36">
        <v>1076</v>
      </c>
      <c r="S36">
        <v>343</v>
      </c>
      <c r="T36">
        <v>353</v>
      </c>
      <c r="U36">
        <v>400</v>
      </c>
      <c r="V36">
        <v>-41</v>
      </c>
      <c r="W36">
        <v>3201</v>
      </c>
      <c r="X36">
        <v>2503</v>
      </c>
      <c r="Y36">
        <v>-433</v>
      </c>
      <c r="Z36">
        <v>2644</v>
      </c>
      <c r="AA36">
        <v>948</v>
      </c>
      <c r="AB36">
        <v>3156</v>
      </c>
      <c r="AC36">
        <v>3815</v>
      </c>
      <c r="AD36">
        <v>5306</v>
      </c>
      <c r="AE36">
        <v>1304</v>
      </c>
      <c r="AF36">
        <v>7551</v>
      </c>
      <c r="AG36">
        <v>9424</v>
      </c>
      <c r="AH36">
        <v>7371</v>
      </c>
      <c r="AI36">
        <v>14188</v>
      </c>
      <c r="AJ36">
        <v>20435</v>
      </c>
      <c r="AK36">
        <v>18468</v>
      </c>
      <c r="AL36">
        <v>21006</v>
      </c>
      <c r="AM36">
        <v>32735</v>
      </c>
      <c r="AN36">
        <v>49985</v>
      </c>
      <c r="AO36">
        <v>48219</v>
      </c>
      <c r="AP36">
        <v>69034</v>
      </c>
      <c r="AQ36">
        <v>85015</v>
      </c>
      <c r="AR36">
        <v>126222</v>
      </c>
      <c r="AS36">
        <v>-1327</v>
      </c>
      <c r="AT36">
        <v>64323</v>
      </c>
      <c r="AU36">
        <v>40144</v>
      </c>
      <c r="AV36">
        <v>142301</v>
      </c>
      <c r="AW36">
        <v>21046</v>
      </c>
      <c r="AX36">
        <v>63263</v>
      </c>
      <c r="AY36">
        <v>104457</v>
      </c>
      <c r="AZ36">
        <v>-23802</v>
      </c>
      <c r="BA36">
        <v>38312</v>
      </c>
      <c r="BB36">
        <v>-38249</v>
      </c>
      <c r="BC36">
        <v>-63753</v>
      </c>
      <c r="BD36">
        <v>1721</v>
      </c>
      <c r="BE36">
        <v>20407</v>
      </c>
      <c r="BF36">
        <v>77376</v>
      </c>
      <c r="BG36">
        <v>142343</v>
      </c>
      <c r="BH36">
        <v>60650</v>
      </c>
      <c r="BI36">
        <v>128844</v>
      </c>
      <c r="BJ36">
        <v>76213</v>
      </c>
      <c r="BK36">
        <v>262352</v>
      </c>
      <c r="BL36">
        <v>25291</v>
      </c>
      <c r="BM36">
        <v>75219</v>
      </c>
      <c r="BN36">
        <v>237276</v>
      </c>
      <c r="BO36">
        <v>132073</v>
      </c>
      <c r="BP36">
        <v>278006</v>
      </c>
      <c r="BQ36">
        <v>552837</v>
      </c>
      <c r="BR36">
        <v>1986796</v>
      </c>
      <c r="BS36">
        <v>-636607</v>
      </c>
      <c r="BT36">
        <v>-168751</v>
      </c>
      <c r="BU36">
        <v>432653</v>
      </c>
      <c r="BV36">
        <v>-217702</v>
      </c>
      <c r="BW36">
        <v>750693</v>
      </c>
      <c r="BX36">
        <v>136317</v>
      </c>
      <c r="BY36">
        <v>-719970</v>
      </c>
      <c r="BZ36">
        <v>-520596</v>
      </c>
      <c r="CA36">
        <v>307903</v>
      </c>
      <c r="CB36">
        <v>-551908</v>
      </c>
      <c r="CC36">
        <v>174401</v>
      </c>
      <c r="CD36">
        <v>1784014</v>
      </c>
      <c r="CE36">
        <v>544732</v>
      </c>
      <c r="CF36">
        <v>-904700</v>
      </c>
      <c r="CG36">
        <v>694591</v>
      </c>
      <c r="CH36">
        <v>-452156</v>
      </c>
    </row>
    <row r="37" spans="1:166">
      <c r="A37" t="s">
        <v>704</v>
      </c>
      <c r="B37" t="s">
        <v>88</v>
      </c>
      <c r="C37">
        <v>1000000</v>
      </c>
      <c r="D37" t="s">
        <v>89</v>
      </c>
      <c r="E37" t="s">
        <v>705</v>
      </c>
      <c r="F37" s="10" t="s">
        <v>706</v>
      </c>
      <c r="G37" t="s">
        <v>97</v>
      </c>
      <c r="H37">
        <v>-12425</v>
      </c>
      <c r="I37">
        <v>-3193</v>
      </c>
      <c r="J37">
        <v>-1443</v>
      </c>
      <c r="K37">
        <v>4204</v>
      </c>
      <c r="L37">
        <v>-118</v>
      </c>
      <c r="M37">
        <v>5234</v>
      </c>
      <c r="N37">
        <v>9935</v>
      </c>
      <c r="O37">
        <v>10457</v>
      </c>
      <c r="P37">
        <v>12779</v>
      </c>
      <c r="Q37">
        <v>-3947</v>
      </c>
      <c r="R37">
        <v>1252</v>
      </c>
      <c r="S37">
        <v>7823</v>
      </c>
      <c r="T37">
        <v>22133</v>
      </c>
      <c r="U37">
        <v>-836</v>
      </c>
      <c r="V37">
        <v>11553</v>
      </c>
      <c r="W37">
        <v>18426</v>
      </c>
      <c r="X37">
        <v>18206</v>
      </c>
      <c r="Y37">
        <v>12612</v>
      </c>
      <c r="Z37">
        <v>16778</v>
      </c>
      <c r="AA37">
        <v>14202</v>
      </c>
      <c r="AB37">
        <v>16934</v>
      </c>
      <c r="AC37">
        <v>38796</v>
      </c>
      <c r="AD37">
        <v>30710</v>
      </c>
      <c r="AE37">
        <v>11174</v>
      </c>
      <c r="AF37">
        <v>46060</v>
      </c>
      <c r="AG37">
        <v>44398</v>
      </c>
      <c r="AH37">
        <v>41828</v>
      </c>
      <c r="AI37">
        <v>39997</v>
      </c>
      <c r="AJ37">
        <v>47556</v>
      </c>
      <c r="AK37">
        <v>96163</v>
      </c>
      <c r="AL37">
        <v>103732</v>
      </c>
      <c r="AM37">
        <v>97117</v>
      </c>
      <c r="AN37">
        <v>102670</v>
      </c>
      <c r="AO37">
        <v>122910</v>
      </c>
      <c r="AP37">
        <v>159900</v>
      </c>
      <c r="AQ37">
        <v>189473</v>
      </c>
      <c r="AR37">
        <v>247216</v>
      </c>
      <c r="AS37">
        <v>238086</v>
      </c>
      <c r="AT37">
        <v>272939</v>
      </c>
      <c r="AU37">
        <v>397494</v>
      </c>
      <c r="AV37">
        <v>511753</v>
      </c>
      <c r="AW37">
        <v>342039</v>
      </c>
      <c r="AX37">
        <v>334672</v>
      </c>
      <c r="AY37">
        <v>281761</v>
      </c>
      <c r="AZ37">
        <v>369890</v>
      </c>
      <c r="BA37">
        <v>441042</v>
      </c>
      <c r="BB37">
        <v>498396</v>
      </c>
      <c r="BC37">
        <v>660919</v>
      </c>
      <c r="BD37">
        <v>240331</v>
      </c>
      <c r="BE37">
        <v>527828</v>
      </c>
      <c r="BF37">
        <v>399961</v>
      </c>
      <c r="BG37">
        <v>668549</v>
      </c>
      <c r="BH37">
        <v>840576</v>
      </c>
      <c r="BI37">
        <v>999183</v>
      </c>
      <c r="BJ37">
        <v>443443</v>
      </c>
      <c r="BK37">
        <v>989738</v>
      </c>
      <c r="BL37">
        <v>730227</v>
      </c>
      <c r="BM37">
        <v>1216167</v>
      </c>
      <c r="BN37">
        <v>505152</v>
      </c>
      <c r="BO37">
        <v>553506</v>
      </c>
      <c r="BP37">
        <v>1099045</v>
      </c>
      <c r="BQ37">
        <v>986379</v>
      </c>
      <c r="BR37">
        <v>369466</v>
      </c>
      <c r="BS37">
        <v>800597</v>
      </c>
      <c r="BT37">
        <v>743953</v>
      </c>
      <c r="BU37">
        <v>704476</v>
      </c>
      <c r="BV37">
        <v>1002242</v>
      </c>
      <c r="BW37">
        <v>1285543</v>
      </c>
      <c r="BX37">
        <v>857932</v>
      </c>
      <c r="BY37">
        <v>481161</v>
      </c>
      <c r="BZ37">
        <v>1012254</v>
      </c>
      <c r="CA37">
        <v>936568</v>
      </c>
      <c r="CB37">
        <v>702908</v>
      </c>
      <c r="CC37">
        <v>1022207</v>
      </c>
      <c r="CD37">
        <v>6292345</v>
      </c>
      <c r="CE37">
        <v>3193651</v>
      </c>
      <c r="CF37">
        <v>-210215</v>
      </c>
      <c r="CG37">
        <v>843914</v>
      </c>
      <c r="CH37">
        <v>1872504</v>
      </c>
    </row>
    <row r="38" spans="1:166">
      <c r="A38" t="s">
        <v>707</v>
      </c>
      <c r="B38" t="s">
        <v>88</v>
      </c>
      <c r="C38">
        <v>1000000</v>
      </c>
      <c r="D38" t="s">
        <v>89</v>
      </c>
      <c r="E38" t="s">
        <v>708</v>
      </c>
      <c r="F38" s="10" t="s">
        <v>709</v>
      </c>
      <c r="G38" t="s">
        <v>97</v>
      </c>
      <c r="H38">
        <v>210</v>
      </c>
      <c r="I38">
        <v>89</v>
      </c>
      <c r="J38">
        <v>71</v>
      </c>
      <c r="K38">
        <v>61</v>
      </c>
      <c r="L38">
        <v>270</v>
      </c>
      <c r="M38">
        <v>471</v>
      </c>
      <c r="N38">
        <v>297</v>
      </c>
      <c r="O38">
        <v>277</v>
      </c>
      <c r="P38">
        <v>10</v>
      </c>
      <c r="Q38">
        <v>64</v>
      </c>
      <c r="R38">
        <v>158</v>
      </c>
      <c r="S38">
        <v>426</v>
      </c>
      <c r="T38">
        <v>323</v>
      </c>
      <c r="U38">
        <v>-134</v>
      </c>
      <c r="V38">
        <v>1599</v>
      </c>
      <c r="W38">
        <v>482</v>
      </c>
      <c r="X38">
        <v>1038</v>
      </c>
      <c r="Y38">
        <v>1318</v>
      </c>
      <c r="Z38">
        <v>1244</v>
      </c>
      <c r="AA38">
        <v>827</v>
      </c>
      <c r="AB38">
        <v>2846</v>
      </c>
      <c r="AC38">
        <v>3026</v>
      </c>
      <c r="AD38">
        <v>2474</v>
      </c>
      <c r="AE38">
        <v>8938</v>
      </c>
      <c r="AF38">
        <v>-154</v>
      </c>
      <c r="AG38">
        <v>-1833</v>
      </c>
      <c r="AH38">
        <v>-1304</v>
      </c>
      <c r="AI38">
        <v>7424</v>
      </c>
      <c r="AJ38">
        <v>13220</v>
      </c>
      <c r="AK38">
        <v>-5493</v>
      </c>
      <c r="AL38">
        <v>5745</v>
      </c>
      <c r="AM38">
        <v>15721</v>
      </c>
      <c r="AN38">
        <v>17080</v>
      </c>
      <c r="AO38">
        <v>35508</v>
      </c>
      <c r="AP38">
        <v>18827</v>
      </c>
      <c r="AQ38">
        <v>53476</v>
      </c>
      <c r="AR38">
        <v>7630</v>
      </c>
      <c r="AS38">
        <v>21908</v>
      </c>
      <c r="AT38">
        <v>53158</v>
      </c>
      <c r="AU38">
        <v>52250</v>
      </c>
      <c r="AV38">
        <v>26811</v>
      </c>
      <c r="AW38">
        <v>26352</v>
      </c>
      <c r="AX38">
        <v>73470</v>
      </c>
      <c r="AY38">
        <v>63499</v>
      </c>
      <c r="AZ38">
        <v>30681</v>
      </c>
      <c r="BA38">
        <v>-50426</v>
      </c>
      <c r="BB38">
        <v>4037</v>
      </c>
      <c r="BC38">
        <v>-17173</v>
      </c>
      <c r="BD38">
        <v>25741</v>
      </c>
      <c r="BE38">
        <v>36978</v>
      </c>
      <c r="BF38">
        <v>56154</v>
      </c>
      <c r="BG38">
        <v>144897</v>
      </c>
      <c r="BH38">
        <v>140862</v>
      </c>
      <c r="BI38">
        <v>209745</v>
      </c>
      <c r="BJ38">
        <v>176271</v>
      </c>
      <c r="BK38">
        <v>-86123</v>
      </c>
      <c r="BL38">
        <v>-136846</v>
      </c>
      <c r="BM38">
        <v>-92375</v>
      </c>
      <c r="BN38">
        <v>55450</v>
      </c>
      <c r="BO38">
        <v>175336</v>
      </c>
      <c r="BP38">
        <v>208104</v>
      </c>
      <c r="BQ38">
        <v>-112923</v>
      </c>
      <c r="BR38">
        <v>-94708</v>
      </c>
      <c r="BS38">
        <v>-352600</v>
      </c>
      <c r="BT38">
        <v>-47753</v>
      </c>
      <c r="BU38">
        <v>-81975</v>
      </c>
      <c r="BV38">
        <v>15737</v>
      </c>
      <c r="BW38">
        <v>27773</v>
      </c>
      <c r="BX38">
        <v>-63604</v>
      </c>
      <c r="BY38">
        <v>-31643</v>
      </c>
      <c r="BZ38">
        <v>-112271</v>
      </c>
      <c r="CA38">
        <v>70293</v>
      </c>
      <c r="CB38">
        <v>-16002</v>
      </c>
      <c r="CC38">
        <v>-29000</v>
      </c>
      <c r="CD38">
        <v>-20910</v>
      </c>
      <c r="CE38">
        <v>-7435</v>
      </c>
      <c r="CF38">
        <v>104514</v>
      </c>
      <c r="CG38">
        <v>-4867</v>
      </c>
      <c r="CH38">
        <v>-21694</v>
      </c>
    </row>
    <row r="39" spans="1:166">
      <c r="A39" t="s">
        <v>710</v>
      </c>
      <c r="B39" t="s">
        <v>88</v>
      </c>
      <c r="C39">
        <v>1000000</v>
      </c>
      <c r="D39" t="s">
        <v>89</v>
      </c>
      <c r="E39" t="s">
        <v>711</v>
      </c>
      <c r="F39" s="10" t="s">
        <v>712</v>
      </c>
      <c r="G39" t="s">
        <v>97</v>
      </c>
      <c r="H39">
        <v>-15301</v>
      </c>
      <c r="I39">
        <v>-7955</v>
      </c>
      <c r="J39">
        <v>-8357</v>
      </c>
      <c r="K39">
        <v>-961</v>
      </c>
      <c r="L39">
        <v>-4883</v>
      </c>
      <c r="M39">
        <v>-468</v>
      </c>
      <c r="N39">
        <v>2631</v>
      </c>
      <c r="O39">
        <v>1780</v>
      </c>
      <c r="P39">
        <v>5103</v>
      </c>
      <c r="Q39">
        <v>-8078</v>
      </c>
      <c r="R39">
        <v>-3803</v>
      </c>
      <c r="S39">
        <v>-2319</v>
      </c>
      <c r="T39">
        <v>11139</v>
      </c>
      <c r="U39">
        <v>-6821</v>
      </c>
      <c r="V39">
        <v>1893</v>
      </c>
      <c r="W39">
        <v>7918</v>
      </c>
      <c r="X39">
        <v>3588</v>
      </c>
      <c r="Y39">
        <v>106</v>
      </c>
      <c r="Z39">
        <v>3828</v>
      </c>
      <c r="AA39">
        <v>-23</v>
      </c>
      <c r="AB39">
        <v>810</v>
      </c>
      <c r="AC39">
        <v>9550</v>
      </c>
      <c r="AD39">
        <v>6617</v>
      </c>
      <c r="AE39">
        <v>-9832</v>
      </c>
      <c r="AF39">
        <v>12959</v>
      </c>
      <c r="AG39">
        <v>5663</v>
      </c>
      <c r="AH39">
        <v>2520</v>
      </c>
      <c r="AI39">
        <v>-1234</v>
      </c>
      <c r="AJ39">
        <v>1242</v>
      </c>
      <c r="AK39">
        <v>49488</v>
      </c>
      <c r="AL39">
        <v>46524</v>
      </c>
      <c r="AM39">
        <v>8954</v>
      </c>
      <c r="AN39">
        <v>3943</v>
      </c>
      <c r="AO39">
        <v>13797</v>
      </c>
      <c r="AP39">
        <v>41230</v>
      </c>
      <c r="AQ39">
        <v>59493</v>
      </c>
      <c r="AR39">
        <v>110361</v>
      </c>
      <c r="AS39">
        <v>98664</v>
      </c>
      <c r="AT39">
        <v>89144</v>
      </c>
      <c r="AU39">
        <v>126804</v>
      </c>
      <c r="AV39">
        <v>118878</v>
      </c>
      <c r="AW39">
        <v>46245</v>
      </c>
      <c r="AX39">
        <v>13631</v>
      </c>
      <c r="AY39">
        <v>11383</v>
      </c>
      <c r="AZ39">
        <v>102949</v>
      </c>
      <c r="BA39">
        <v>220891</v>
      </c>
      <c r="BB39">
        <v>163178</v>
      </c>
      <c r="BC39">
        <v>135006</v>
      </c>
      <c r="BD39">
        <v>-28929</v>
      </c>
      <c r="BE39">
        <v>38731</v>
      </c>
      <c r="BF39">
        <v>-53341</v>
      </c>
      <c r="BG39">
        <v>56249</v>
      </c>
      <c r="BH39">
        <v>-90924</v>
      </c>
      <c r="BI39">
        <v>-16273</v>
      </c>
      <c r="BJ39">
        <v>-60417</v>
      </c>
      <c r="BK39">
        <v>21436</v>
      </c>
      <c r="BL39">
        <v>173783</v>
      </c>
      <c r="BM39">
        <v>85128</v>
      </c>
      <c r="BN39">
        <v>5936</v>
      </c>
      <c r="BO39">
        <v>72322</v>
      </c>
      <c r="BP39">
        <v>45808</v>
      </c>
      <c r="BQ39">
        <v>58820</v>
      </c>
      <c r="BR39">
        <v>222426</v>
      </c>
      <c r="BS39">
        <v>441670</v>
      </c>
      <c r="BT39">
        <v>540147</v>
      </c>
      <c r="BU39">
        <v>891839</v>
      </c>
      <c r="BV39">
        <v>358462</v>
      </c>
      <c r="BW39">
        <v>500931</v>
      </c>
      <c r="BX39">
        <v>578498</v>
      </c>
      <c r="BY39">
        <v>234119</v>
      </c>
      <c r="BZ39">
        <v>647114</v>
      </c>
      <c r="CA39">
        <v>211792</v>
      </c>
      <c r="CB39">
        <v>415218</v>
      </c>
      <c r="CC39">
        <v>599328</v>
      </c>
      <c r="CD39">
        <v>4302545</v>
      </c>
      <c r="CE39">
        <v>1358356</v>
      </c>
      <c r="CF39">
        <v>-719696</v>
      </c>
      <c r="CG39">
        <v>755825</v>
      </c>
      <c r="CH39">
        <v>1057731</v>
      </c>
    </row>
    <row r="40" spans="1:166">
      <c r="A40" t="s">
        <v>713</v>
      </c>
      <c r="B40" t="s">
        <v>88</v>
      </c>
      <c r="C40">
        <v>1000000</v>
      </c>
      <c r="D40" t="s">
        <v>89</v>
      </c>
      <c r="E40" t="s">
        <v>714</v>
      </c>
      <c r="F40" s="10" t="s">
        <v>715</v>
      </c>
      <c r="G40" t="s">
        <v>97</v>
      </c>
      <c r="H40">
        <v>160</v>
      </c>
      <c r="I40">
        <v>21</v>
      </c>
      <c r="J40">
        <v>982</v>
      </c>
      <c r="K40">
        <v>46</v>
      </c>
      <c r="L40">
        <v>-208</v>
      </c>
      <c r="M40">
        <v>-62</v>
      </c>
      <c r="N40">
        <v>355</v>
      </c>
      <c r="O40">
        <v>1562</v>
      </c>
      <c r="P40">
        <v>-69</v>
      </c>
      <c r="Q40">
        <v>-542</v>
      </c>
      <c r="R40">
        <v>-304</v>
      </c>
      <c r="S40">
        <v>858</v>
      </c>
      <c r="T40">
        <v>995</v>
      </c>
      <c r="U40">
        <v>-423</v>
      </c>
      <c r="V40">
        <v>1256</v>
      </c>
      <c r="W40">
        <v>851</v>
      </c>
      <c r="X40">
        <v>1861</v>
      </c>
      <c r="Y40">
        <v>480</v>
      </c>
      <c r="Z40">
        <v>881</v>
      </c>
      <c r="AA40">
        <v>940</v>
      </c>
      <c r="AB40">
        <v>1444</v>
      </c>
      <c r="AC40">
        <v>3244</v>
      </c>
      <c r="AD40">
        <v>2767</v>
      </c>
      <c r="AE40">
        <v>1623</v>
      </c>
      <c r="AF40">
        <v>6761</v>
      </c>
      <c r="AG40">
        <v>8594</v>
      </c>
      <c r="AH40">
        <v>11466</v>
      </c>
      <c r="AI40">
        <v>13245</v>
      </c>
      <c r="AJ40">
        <v>11022</v>
      </c>
      <c r="AK40">
        <v>12744</v>
      </c>
      <c r="AL40">
        <v>9906</v>
      </c>
      <c r="AM40">
        <v>16785</v>
      </c>
      <c r="AN40">
        <v>20439</v>
      </c>
      <c r="AO40">
        <v>25359</v>
      </c>
      <c r="AP40">
        <v>36559</v>
      </c>
      <c r="AQ40">
        <v>36940</v>
      </c>
      <c r="AR40">
        <v>72723</v>
      </c>
      <c r="AS40">
        <v>65692</v>
      </c>
      <c r="AT40">
        <v>60534</v>
      </c>
      <c r="AU40">
        <v>73480</v>
      </c>
      <c r="AV40">
        <v>174651</v>
      </c>
      <c r="AW40">
        <v>152522</v>
      </c>
      <c r="AX40">
        <v>84538</v>
      </c>
      <c r="AY40">
        <v>102607</v>
      </c>
      <c r="AZ40">
        <v>138533</v>
      </c>
      <c r="BA40">
        <v>105032</v>
      </c>
      <c r="BB40">
        <v>116358</v>
      </c>
      <c r="BC40">
        <v>199425</v>
      </c>
      <c r="BD40">
        <v>148945</v>
      </c>
      <c r="BE40">
        <v>203908</v>
      </c>
      <c r="BF40">
        <v>131992</v>
      </c>
      <c r="BG40">
        <v>153810</v>
      </c>
      <c r="BH40">
        <v>338905</v>
      </c>
      <c r="BI40">
        <v>433612</v>
      </c>
      <c r="BJ40">
        <v>245010</v>
      </c>
      <c r="BK40">
        <v>678174</v>
      </c>
      <c r="BL40">
        <v>495576</v>
      </c>
      <c r="BM40">
        <v>557008</v>
      </c>
      <c r="BN40">
        <v>-159176</v>
      </c>
      <c r="BO40">
        <v>-169528</v>
      </c>
      <c r="BP40">
        <v>192678</v>
      </c>
      <c r="BQ40">
        <v>219815</v>
      </c>
      <c r="BR40">
        <v>696936</v>
      </c>
      <c r="BS40">
        <v>633400</v>
      </c>
      <c r="BT40">
        <v>46800</v>
      </c>
      <c r="BU40">
        <v>-19143</v>
      </c>
      <c r="BV40">
        <v>185710</v>
      </c>
      <c r="BW40">
        <v>400236</v>
      </c>
      <c r="BX40">
        <v>62149</v>
      </c>
      <c r="BY40">
        <v>32241</v>
      </c>
      <c r="BZ40">
        <v>308167</v>
      </c>
      <c r="CA40">
        <v>280989</v>
      </c>
      <c r="CB40">
        <v>-75</v>
      </c>
      <c r="CC40">
        <v>185563</v>
      </c>
      <c r="CD40">
        <v>1109935</v>
      </c>
      <c r="CE40">
        <v>603203</v>
      </c>
      <c r="CF40">
        <v>61261</v>
      </c>
      <c r="CG40">
        <v>75835</v>
      </c>
      <c r="CH40">
        <v>127310</v>
      </c>
    </row>
    <row r="41" spans="1:166">
      <c r="A41" t="s">
        <v>716</v>
      </c>
      <c r="B41" t="s">
        <v>88</v>
      </c>
      <c r="C41">
        <v>1000000</v>
      </c>
      <c r="D41" t="s">
        <v>89</v>
      </c>
      <c r="E41" t="s">
        <v>717</v>
      </c>
      <c r="F41" s="10" t="s">
        <v>718</v>
      </c>
      <c r="G41" t="s">
        <v>97</v>
      </c>
      <c r="H41">
        <v>365</v>
      </c>
      <c r="I41">
        <v>972</v>
      </c>
      <c r="J41">
        <v>1041</v>
      </c>
      <c r="K41">
        <v>1545</v>
      </c>
      <c r="L41">
        <v>2333</v>
      </c>
      <c r="M41">
        <v>1619</v>
      </c>
      <c r="N41">
        <v>1651</v>
      </c>
      <c r="O41">
        <v>2065</v>
      </c>
      <c r="P41">
        <v>3419</v>
      </c>
      <c r="Q41">
        <v>1565</v>
      </c>
      <c r="R41">
        <v>1315</v>
      </c>
      <c r="S41">
        <v>2309</v>
      </c>
      <c r="T41">
        <v>4059</v>
      </c>
      <c r="U41">
        <v>2282</v>
      </c>
      <c r="V41">
        <v>2044</v>
      </c>
      <c r="W41">
        <v>3850</v>
      </c>
      <c r="X41">
        <v>5758</v>
      </c>
      <c r="Y41">
        <v>4382</v>
      </c>
      <c r="Z41">
        <v>3578</v>
      </c>
      <c r="AA41">
        <v>4696</v>
      </c>
      <c r="AB41">
        <v>2619</v>
      </c>
      <c r="AC41">
        <v>10442</v>
      </c>
      <c r="AD41">
        <v>9529</v>
      </c>
      <c r="AE41">
        <v>1549</v>
      </c>
      <c r="AF41">
        <v>12560</v>
      </c>
      <c r="AG41">
        <v>16577</v>
      </c>
      <c r="AH41">
        <v>11753</v>
      </c>
      <c r="AI41">
        <v>9331</v>
      </c>
      <c r="AJ41">
        <v>7038</v>
      </c>
      <c r="AK41">
        <v>7737</v>
      </c>
      <c r="AL41">
        <v>13116</v>
      </c>
      <c r="AM41">
        <v>22979</v>
      </c>
      <c r="AN41">
        <v>24732</v>
      </c>
      <c r="AO41">
        <v>20702</v>
      </c>
      <c r="AP41">
        <v>23674</v>
      </c>
      <c r="AQ41">
        <v>13769</v>
      </c>
      <c r="AR41">
        <v>19899</v>
      </c>
      <c r="AS41">
        <v>14925</v>
      </c>
      <c r="AT41">
        <v>-8152</v>
      </c>
      <c r="AU41">
        <v>91002</v>
      </c>
      <c r="AV41">
        <v>42482</v>
      </c>
      <c r="AW41">
        <v>-4982</v>
      </c>
      <c r="AX41">
        <v>4026</v>
      </c>
      <c r="AY41">
        <v>6729</v>
      </c>
      <c r="AZ41">
        <v>24024</v>
      </c>
      <c r="BA41">
        <v>41122</v>
      </c>
      <c r="BB41">
        <v>67453</v>
      </c>
      <c r="BC41">
        <v>106971</v>
      </c>
      <c r="BD41">
        <v>-6016</v>
      </c>
      <c r="BE41">
        <v>47532</v>
      </c>
      <c r="BF41">
        <v>42798</v>
      </c>
      <c r="BG41">
        <v>44863</v>
      </c>
      <c r="BH41">
        <v>88106</v>
      </c>
      <c r="BI41">
        <v>38524</v>
      </c>
      <c r="BJ41">
        <v>11172</v>
      </c>
      <c r="BK41">
        <v>68528</v>
      </c>
      <c r="BL41">
        <v>68303</v>
      </c>
      <c r="BM41">
        <v>88571</v>
      </c>
      <c r="BN41">
        <v>58948</v>
      </c>
      <c r="BO41">
        <v>103489</v>
      </c>
      <c r="BP41">
        <v>114260</v>
      </c>
      <c r="BQ41">
        <v>202366</v>
      </c>
      <c r="BR41">
        <v>75589</v>
      </c>
      <c r="BS41">
        <v>-490</v>
      </c>
      <c r="BT41">
        <v>13995</v>
      </c>
      <c r="BU41">
        <v>-45192</v>
      </c>
      <c r="BV41">
        <v>89877</v>
      </c>
      <c r="BW41">
        <v>-38440</v>
      </c>
      <c r="BX41">
        <v>26221</v>
      </c>
      <c r="BY41">
        <v>48177</v>
      </c>
      <c r="BZ41">
        <v>13483</v>
      </c>
      <c r="CA41">
        <v>33521</v>
      </c>
      <c r="CB41">
        <v>-41381</v>
      </c>
      <c r="CC41">
        <v>76015</v>
      </c>
      <c r="CD41">
        <v>134599</v>
      </c>
      <c r="CE41">
        <v>171017</v>
      </c>
      <c r="CF41">
        <v>-107562</v>
      </c>
      <c r="CG41">
        <v>-73831</v>
      </c>
      <c r="CH41">
        <v>16623</v>
      </c>
    </row>
    <row r="42" spans="1:166">
      <c r="A42" t="s">
        <v>719</v>
      </c>
      <c r="B42" t="s">
        <v>88</v>
      </c>
      <c r="C42">
        <v>1000000</v>
      </c>
      <c r="D42" t="s">
        <v>89</v>
      </c>
      <c r="E42" t="s">
        <v>720</v>
      </c>
      <c r="F42" s="10" t="s">
        <v>721</v>
      </c>
      <c r="G42" t="s">
        <v>97</v>
      </c>
      <c r="H42">
        <v>2141</v>
      </c>
      <c r="I42">
        <v>3680</v>
      </c>
      <c r="J42">
        <v>4820</v>
      </c>
      <c r="K42">
        <v>3513</v>
      </c>
      <c r="L42">
        <v>2370</v>
      </c>
      <c r="M42">
        <v>3674</v>
      </c>
      <c r="N42">
        <v>5001</v>
      </c>
      <c r="O42">
        <v>4773</v>
      </c>
      <c r="P42">
        <v>4316</v>
      </c>
      <c r="Q42">
        <v>3044</v>
      </c>
      <c r="R42">
        <v>3886</v>
      </c>
      <c r="S42">
        <v>6549</v>
      </c>
      <c r="T42">
        <v>5617</v>
      </c>
      <c r="U42">
        <v>4260</v>
      </c>
      <c r="V42">
        <v>4761</v>
      </c>
      <c r="W42">
        <v>5325</v>
      </c>
      <c r="X42">
        <v>5961</v>
      </c>
      <c r="Y42">
        <v>6326</v>
      </c>
      <c r="Z42">
        <v>7247</v>
      </c>
      <c r="AA42">
        <v>7762</v>
      </c>
      <c r="AB42">
        <v>9215</v>
      </c>
      <c r="AC42">
        <v>12534</v>
      </c>
      <c r="AD42">
        <v>9323</v>
      </c>
      <c r="AE42">
        <v>8896</v>
      </c>
      <c r="AF42">
        <v>13934</v>
      </c>
      <c r="AG42">
        <v>15397</v>
      </c>
      <c r="AH42">
        <v>17393</v>
      </c>
      <c r="AI42">
        <v>11231</v>
      </c>
      <c r="AJ42">
        <v>15034</v>
      </c>
      <c r="AK42">
        <v>31687</v>
      </c>
      <c r="AL42">
        <v>28441</v>
      </c>
      <c r="AM42">
        <v>32678</v>
      </c>
      <c r="AN42">
        <v>36476</v>
      </c>
      <c r="AO42">
        <v>27544</v>
      </c>
      <c r="AP42">
        <v>39610</v>
      </c>
      <c r="AQ42">
        <v>25795</v>
      </c>
      <c r="AR42">
        <v>36603</v>
      </c>
      <c r="AS42">
        <v>36897</v>
      </c>
      <c r="AT42">
        <v>78255</v>
      </c>
      <c r="AU42">
        <v>53958</v>
      </c>
      <c r="AV42">
        <v>148931</v>
      </c>
      <c r="AW42">
        <v>121902</v>
      </c>
      <c r="AX42">
        <v>159007</v>
      </c>
      <c r="AY42">
        <v>97543</v>
      </c>
      <c r="AZ42">
        <v>73703</v>
      </c>
      <c r="BA42">
        <v>124423</v>
      </c>
      <c r="BB42">
        <v>147370</v>
      </c>
      <c r="BC42">
        <v>236690</v>
      </c>
      <c r="BD42">
        <v>100590</v>
      </c>
      <c r="BE42">
        <v>200679</v>
      </c>
      <c r="BF42">
        <v>222358</v>
      </c>
      <c r="BG42">
        <v>268730</v>
      </c>
      <c r="BH42">
        <v>363627</v>
      </c>
      <c r="BI42">
        <v>333575</v>
      </c>
      <c r="BJ42">
        <v>71407</v>
      </c>
      <c r="BK42">
        <v>307723</v>
      </c>
      <c r="BL42">
        <v>129411</v>
      </c>
      <c r="BM42">
        <v>577836</v>
      </c>
      <c r="BN42">
        <v>543995</v>
      </c>
      <c r="BO42">
        <v>371887</v>
      </c>
      <c r="BP42">
        <v>538195</v>
      </c>
      <c r="BQ42">
        <v>618301</v>
      </c>
      <c r="BR42">
        <v>-530777</v>
      </c>
      <c r="BS42">
        <v>78617</v>
      </c>
      <c r="BT42">
        <v>190764</v>
      </c>
      <c r="BU42">
        <v>-41054</v>
      </c>
      <c r="BV42">
        <v>352456</v>
      </c>
      <c r="BW42">
        <v>395043</v>
      </c>
      <c r="BX42">
        <v>254668</v>
      </c>
      <c r="BY42">
        <v>198267</v>
      </c>
      <c r="BZ42">
        <v>155761</v>
      </c>
      <c r="CA42">
        <v>339973</v>
      </c>
      <c r="CB42">
        <v>345148</v>
      </c>
      <c r="CC42">
        <v>190301</v>
      </c>
      <c r="CD42">
        <v>766176</v>
      </c>
      <c r="CE42">
        <v>1068510</v>
      </c>
      <c r="CF42">
        <v>451269</v>
      </c>
      <c r="CG42">
        <v>90952</v>
      </c>
      <c r="CH42">
        <v>692534</v>
      </c>
    </row>
    <row r="43" spans="1:166">
      <c r="A43" t="s">
        <v>722</v>
      </c>
      <c r="B43" t="s">
        <v>88</v>
      </c>
      <c r="C43">
        <v>1000000</v>
      </c>
      <c r="D43" t="s">
        <v>89</v>
      </c>
      <c r="E43" t="s">
        <v>723</v>
      </c>
      <c r="F43" s="10" t="s">
        <v>724</v>
      </c>
      <c r="G43" t="s">
        <v>97</v>
      </c>
      <c r="H43">
        <v>10356</v>
      </c>
      <c r="I43">
        <v>13108</v>
      </c>
      <c r="J43">
        <v>11289</v>
      </c>
      <c r="K43">
        <v>7832</v>
      </c>
      <c r="L43">
        <v>20542</v>
      </c>
      <c r="M43">
        <v>15157</v>
      </c>
      <c r="N43">
        <v>16523</v>
      </c>
      <c r="O43">
        <v>12268</v>
      </c>
      <c r="P43">
        <v>13611</v>
      </c>
      <c r="Q43">
        <v>31266</v>
      </c>
      <c r="R43">
        <v>22411</v>
      </c>
      <c r="S43">
        <v>16773</v>
      </c>
      <c r="T43">
        <v>15412</v>
      </c>
      <c r="U43">
        <v>34047</v>
      </c>
      <c r="V43">
        <v>26673</v>
      </c>
      <c r="W43">
        <v>27069</v>
      </c>
      <c r="X43">
        <v>36165</v>
      </c>
      <c r="Y43">
        <v>47219</v>
      </c>
      <c r="Z43">
        <v>47760</v>
      </c>
      <c r="AA43">
        <v>57568</v>
      </c>
      <c r="AB43">
        <v>44873</v>
      </c>
      <c r="AC43">
        <v>47625</v>
      </c>
      <c r="AD43">
        <v>54663</v>
      </c>
      <c r="AE43">
        <v>68072</v>
      </c>
      <c r="AF43">
        <v>51222</v>
      </c>
      <c r="AG43">
        <v>84179</v>
      </c>
      <c r="AH43">
        <v>133575</v>
      </c>
      <c r="AI43">
        <v>162703</v>
      </c>
      <c r="AJ43">
        <v>137645</v>
      </c>
      <c r="AK43">
        <v>46421</v>
      </c>
      <c r="AL43">
        <v>149971</v>
      </c>
      <c r="AM43">
        <v>227532</v>
      </c>
      <c r="AN43">
        <v>272337</v>
      </c>
      <c r="AO43">
        <v>309728</v>
      </c>
      <c r="AP43">
        <v>212294</v>
      </c>
      <c r="AQ43">
        <v>284569</v>
      </c>
      <c r="AR43">
        <v>206786</v>
      </c>
      <c r="AS43">
        <v>306296</v>
      </c>
      <c r="AT43">
        <v>544828</v>
      </c>
      <c r="AU43">
        <v>520981</v>
      </c>
      <c r="AV43">
        <v>555244</v>
      </c>
      <c r="AW43">
        <v>424572</v>
      </c>
      <c r="AX43">
        <v>514986</v>
      </c>
      <c r="AY43">
        <v>489652</v>
      </c>
      <c r="AZ43">
        <v>204514</v>
      </c>
      <c r="BA43">
        <v>126260</v>
      </c>
      <c r="BB43">
        <v>262978</v>
      </c>
      <c r="BC43">
        <v>354982</v>
      </c>
      <c r="BD43">
        <v>479891</v>
      </c>
      <c r="BE43">
        <v>724258</v>
      </c>
      <c r="BF43">
        <v>673449</v>
      </c>
      <c r="BG43">
        <v>794620</v>
      </c>
      <c r="BH43">
        <v>937029</v>
      </c>
      <c r="BI43">
        <v>1192415</v>
      </c>
      <c r="BJ43">
        <v>1080126</v>
      </c>
      <c r="BK43">
        <v>1012976</v>
      </c>
      <c r="BL43">
        <v>1099942</v>
      </c>
      <c r="BM43">
        <v>1169200</v>
      </c>
      <c r="BN43">
        <v>1941347</v>
      </c>
      <c r="BO43">
        <v>2129629</v>
      </c>
      <c r="BP43">
        <v>2168495</v>
      </c>
      <c r="BQ43">
        <v>2670575</v>
      </c>
      <c r="BR43">
        <v>533162</v>
      </c>
      <c r="BS43">
        <v>-1870647</v>
      </c>
      <c r="BT43">
        <v>-358420</v>
      </c>
      <c r="BU43">
        <v>99252</v>
      </c>
      <c r="BV43">
        <v>609830</v>
      </c>
      <c r="BW43">
        <v>200400</v>
      </c>
      <c r="BX43">
        <v>894915</v>
      </c>
      <c r="BY43">
        <v>923511</v>
      </c>
      <c r="BZ43">
        <v>998030</v>
      </c>
      <c r="CA43">
        <v>1248749</v>
      </c>
      <c r="CB43">
        <v>1502029</v>
      </c>
      <c r="CC43">
        <v>1470039</v>
      </c>
      <c r="CD43">
        <v>1082808</v>
      </c>
      <c r="CE43">
        <v>2943564</v>
      </c>
      <c r="CF43">
        <v>3464641</v>
      </c>
      <c r="CG43">
        <v>1027395</v>
      </c>
      <c r="CH43">
        <v>1355351</v>
      </c>
    </row>
    <row r="44" spans="1:166">
      <c r="A44" t="s">
        <v>725</v>
      </c>
      <c r="B44" t="s">
        <v>88</v>
      </c>
      <c r="C44">
        <v>1000000</v>
      </c>
      <c r="D44" t="s">
        <v>89</v>
      </c>
      <c r="E44" t="s">
        <v>726</v>
      </c>
      <c r="F44" s="10" t="s">
        <v>727</v>
      </c>
      <c r="G44" t="s">
        <v>97</v>
      </c>
      <c r="H44">
        <v>5390</v>
      </c>
      <c r="I44">
        <v>7226</v>
      </c>
      <c r="J44">
        <v>5213</v>
      </c>
      <c r="K44">
        <v>2626</v>
      </c>
      <c r="L44">
        <v>11409</v>
      </c>
      <c r="M44">
        <v>7304</v>
      </c>
      <c r="N44">
        <v>8897</v>
      </c>
      <c r="O44">
        <v>3911</v>
      </c>
      <c r="P44">
        <v>2785</v>
      </c>
      <c r="Q44">
        <v>16592</v>
      </c>
      <c r="R44">
        <v>9495</v>
      </c>
      <c r="S44">
        <v>7032</v>
      </c>
      <c r="T44">
        <v>3216</v>
      </c>
      <c r="U44">
        <v>18361</v>
      </c>
      <c r="V44">
        <v>12551</v>
      </c>
      <c r="W44">
        <v>10489</v>
      </c>
      <c r="X44">
        <v>15205</v>
      </c>
      <c r="Y44">
        <v>21720</v>
      </c>
      <c r="Z44">
        <v>21747</v>
      </c>
      <c r="AA44">
        <v>30780</v>
      </c>
      <c r="AB44">
        <v>24080</v>
      </c>
      <c r="AC44">
        <v>27150</v>
      </c>
      <c r="AD44">
        <v>29626</v>
      </c>
      <c r="AE44">
        <v>41670</v>
      </c>
      <c r="AF44">
        <v>24862</v>
      </c>
      <c r="AG44">
        <v>35248</v>
      </c>
      <c r="AH44">
        <v>66290</v>
      </c>
      <c r="AI44">
        <v>88846</v>
      </c>
      <c r="AJ44">
        <v>84657</v>
      </c>
      <c r="AK44">
        <v>2330</v>
      </c>
      <c r="AL44">
        <v>69547</v>
      </c>
      <c r="AM44">
        <v>110331</v>
      </c>
      <c r="AN44">
        <v>139630</v>
      </c>
      <c r="AO44">
        <v>173666</v>
      </c>
      <c r="AP44">
        <v>114484</v>
      </c>
      <c r="AQ44">
        <v>206696</v>
      </c>
      <c r="AR44">
        <v>139405</v>
      </c>
      <c r="AS44">
        <v>133120</v>
      </c>
      <c r="AT44">
        <v>341145</v>
      </c>
      <c r="AU44">
        <v>288287</v>
      </c>
      <c r="AV44">
        <v>270620</v>
      </c>
      <c r="AW44">
        <v>112048</v>
      </c>
      <c r="AX44">
        <v>222549</v>
      </c>
      <c r="AY44">
        <v>209444</v>
      </c>
      <c r="AZ44">
        <v>22302</v>
      </c>
      <c r="BA44">
        <v>323</v>
      </c>
      <c r="BB44">
        <v>132687</v>
      </c>
      <c r="BC44">
        <v>193829</v>
      </c>
      <c r="BD44">
        <v>308636</v>
      </c>
      <c r="BE44">
        <v>522422</v>
      </c>
      <c r="BF44">
        <v>389818</v>
      </c>
      <c r="BG44">
        <v>500776</v>
      </c>
      <c r="BH44">
        <v>445437</v>
      </c>
      <c r="BI44">
        <v>597904</v>
      </c>
      <c r="BJ44">
        <v>522460</v>
      </c>
      <c r="BK44">
        <v>337694</v>
      </c>
      <c r="BL44">
        <v>188544</v>
      </c>
      <c r="BM44">
        <v>187769</v>
      </c>
      <c r="BN44">
        <v>703482</v>
      </c>
      <c r="BO44">
        <v>709324</v>
      </c>
      <c r="BP44">
        <v>744509</v>
      </c>
      <c r="BQ44">
        <v>1550052</v>
      </c>
      <c r="BR44">
        <v>312141</v>
      </c>
      <c r="BS44">
        <v>-1832976</v>
      </c>
      <c r="BT44">
        <v>-49843</v>
      </c>
      <c r="BU44">
        <v>280439</v>
      </c>
      <c r="BV44">
        <v>679603</v>
      </c>
      <c r="BW44">
        <v>121252</v>
      </c>
      <c r="BX44">
        <v>685316</v>
      </c>
      <c r="BY44">
        <v>547230</v>
      </c>
      <c r="BZ44">
        <v>496877</v>
      </c>
      <c r="CA44">
        <v>682340</v>
      </c>
      <c r="CB44">
        <v>909015</v>
      </c>
      <c r="CC44">
        <v>899167</v>
      </c>
      <c r="CD44">
        <v>357171</v>
      </c>
      <c r="CE44">
        <v>1733663</v>
      </c>
      <c r="CF44">
        <v>2145140</v>
      </c>
      <c r="CG44">
        <v>399901</v>
      </c>
      <c r="CH44">
        <v>790730</v>
      </c>
    </row>
    <row r="45" spans="1:166">
      <c r="A45" t="s">
        <v>728</v>
      </c>
      <c r="B45" t="s">
        <v>88</v>
      </c>
      <c r="C45">
        <v>1000000</v>
      </c>
      <c r="D45" t="s">
        <v>89</v>
      </c>
      <c r="E45" t="s">
        <v>729</v>
      </c>
      <c r="F45" s="10" t="s">
        <v>730</v>
      </c>
      <c r="G45" t="s">
        <v>97</v>
      </c>
      <c r="H45">
        <v>4966</v>
      </c>
      <c r="I45">
        <v>5882</v>
      </c>
      <c r="J45">
        <v>6076</v>
      </c>
      <c r="K45">
        <v>5206</v>
      </c>
      <c r="L45">
        <v>9133</v>
      </c>
      <c r="M45">
        <v>7853</v>
      </c>
      <c r="N45">
        <v>7626</v>
      </c>
      <c r="O45">
        <v>8357</v>
      </c>
      <c r="P45">
        <v>10826</v>
      </c>
      <c r="Q45">
        <v>14674</v>
      </c>
      <c r="R45">
        <v>12916</v>
      </c>
      <c r="S45">
        <v>9741</v>
      </c>
      <c r="T45">
        <v>12196</v>
      </c>
      <c r="U45">
        <v>15686</v>
      </c>
      <c r="V45">
        <v>14122</v>
      </c>
      <c r="W45">
        <v>16580</v>
      </c>
      <c r="X45">
        <v>20960</v>
      </c>
      <c r="Y45">
        <v>25499</v>
      </c>
      <c r="Z45">
        <v>26013</v>
      </c>
      <c r="AA45">
        <v>26788</v>
      </c>
      <c r="AB45">
        <v>20793</v>
      </c>
      <c r="AC45">
        <v>20475</v>
      </c>
      <c r="AD45">
        <v>25037</v>
      </c>
      <c r="AE45">
        <v>26402</v>
      </c>
      <c r="AF45">
        <v>26360</v>
      </c>
      <c r="AG45">
        <v>48931</v>
      </c>
      <c r="AH45">
        <v>67285</v>
      </c>
      <c r="AI45">
        <v>73857</v>
      </c>
      <c r="AJ45">
        <v>52988</v>
      </c>
      <c r="AK45">
        <v>44091</v>
      </c>
      <c r="AL45">
        <v>80424</v>
      </c>
      <c r="AM45">
        <v>117201</v>
      </c>
      <c r="AN45">
        <v>132707</v>
      </c>
      <c r="AO45">
        <v>136062</v>
      </c>
      <c r="AP45">
        <v>97810</v>
      </c>
      <c r="AQ45">
        <v>77873</v>
      </c>
      <c r="AR45">
        <v>67381</v>
      </c>
      <c r="AS45">
        <v>173176</v>
      </c>
      <c r="AT45">
        <v>203683</v>
      </c>
      <c r="AU45">
        <v>232694</v>
      </c>
      <c r="AV45">
        <v>284624</v>
      </c>
      <c r="AW45">
        <v>312524</v>
      </c>
      <c r="AX45">
        <v>292437</v>
      </c>
      <c r="AY45">
        <v>280208</v>
      </c>
      <c r="AZ45">
        <v>182212</v>
      </c>
      <c r="BA45">
        <v>125937</v>
      </c>
      <c r="BB45">
        <v>130291</v>
      </c>
      <c r="BC45">
        <v>161153</v>
      </c>
      <c r="BD45">
        <v>171255</v>
      </c>
      <c r="BE45">
        <v>201836</v>
      </c>
      <c r="BF45">
        <v>283631</v>
      </c>
      <c r="BG45">
        <v>293844</v>
      </c>
      <c r="BH45">
        <v>491592</v>
      </c>
      <c r="BI45">
        <v>594511</v>
      </c>
      <c r="BJ45">
        <v>557666</v>
      </c>
      <c r="BK45">
        <v>675282</v>
      </c>
      <c r="BL45">
        <v>911398</v>
      </c>
      <c r="BM45">
        <v>981431</v>
      </c>
      <c r="BN45">
        <v>1237865</v>
      </c>
      <c r="BO45">
        <v>1420305</v>
      </c>
      <c r="BP45">
        <v>1423986</v>
      </c>
      <c r="BQ45">
        <v>1120523</v>
      </c>
      <c r="BR45">
        <v>221021</v>
      </c>
      <c r="BS45">
        <v>-37671</v>
      </c>
      <c r="BT45">
        <v>-308577</v>
      </c>
      <c r="BU45">
        <v>-181187</v>
      </c>
      <c r="BV45">
        <v>-69773</v>
      </c>
      <c r="BW45">
        <v>79148</v>
      </c>
      <c r="BX45">
        <v>209599</v>
      </c>
      <c r="BY45">
        <v>376281</v>
      </c>
      <c r="BZ45">
        <v>501153</v>
      </c>
      <c r="CA45">
        <v>566409</v>
      </c>
      <c r="CB45">
        <v>593014</v>
      </c>
      <c r="CC45">
        <v>570872</v>
      </c>
      <c r="CD45">
        <v>725637</v>
      </c>
      <c r="CE45">
        <v>1209901</v>
      </c>
      <c r="CF45">
        <v>1319501</v>
      </c>
      <c r="CG45">
        <v>627494</v>
      </c>
      <c r="CH45">
        <v>564621</v>
      </c>
    </row>
    <row r="46" spans="1:166">
      <c r="A46" t="s">
        <v>731</v>
      </c>
      <c r="B46" t="s">
        <v>88</v>
      </c>
      <c r="C46">
        <v>1000000</v>
      </c>
      <c r="D46" t="s">
        <v>89</v>
      </c>
      <c r="E46" t="s">
        <v>732</v>
      </c>
      <c r="F46" s="10" t="s">
        <v>733</v>
      </c>
      <c r="G46" t="s">
        <v>97</v>
      </c>
      <c r="H46">
        <v>351</v>
      </c>
      <c r="I46">
        <v>594</v>
      </c>
      <c r="J46">
        <v>375</v>
      </c>
      <c r="K46">
        <v>1037</v>
      </c>
      <c r="L46">
        <v>786</v>
      </c>
      <c r="M46">
        <v>759</v>
      </c>
      <c r="N46">
        <v>1678</v>
      </c>
      <c r="O46">
        <v>2063</v>
      </c>
      <c r="P46">
        <v>1316</v>
      </c>
      <c r="Q46">
        <v>1967</v>
      </c>
      <c r="R46">
        <v>2813</v>
      </c>
      <c r="S46">
        <v>4311</v>
      </c>
      <c r="T46">
        <v>3105</v>
      </c>
      <c r="U46">
        <v>5403</v>
      </c>
      <c r="V46">
        <v>6356</v>
      </c>
      <c r="W46">
        <v>5819</v>
      </c>
      <c r="X46">
        <v>7515</v>
      </c>
      <c r="Y46">
        <v>8011</v>
      </c>
      <c r="Z46">
        <v>9102</v>
      </c>
      <c r="AA46">
        <v>10841</v>
      </c>
      <c r="AB46">
        <v>12233</v>
      </c>
      <c r="AC46">
        <v>14961</v>
      </c>
      <c r="AD46">
        <v>19506</v>
      </c>
      <c r="AE46">
        <v>25877</v>
      </c>
      <c r="AF46">
        <v>15790</v>
      </c>
      <c r="AG46">
        <v>24862</v>
      </c>
      <c r="AH46">
        <v>27353</v>
      </c>
      <c r="AI46">
        <v>18675</v>
      </c>
      <c r="AJ46">
        <v>15500</v>
      </c>
      <c r="AK46">
        <v>18920</v>
      </c>
      <c r="AL46">
        <v>15529</v>
      </c>
      <c r="AM46">
        <v>19809</v>
      </c>
      <c r="AN46">
        <v>21658</v>
      </c>
      <c r="AO46">
        <v>29891</v>
      </c>
      <c r="AP46">
        <v>42123</v>
      </c>
      <c r="AQ46">
        <v>44813</v>
      </c>
      <c r="AR46">
        <v>67436</v>
      </c>
      <c r="AS46">
        <v>75469</v>
      </c>
      <c r="AT46">
        <v>35318</v>
      </c>
      <c r="AU46">
        <v>81527</v>
      </c>
      <c r="AV46">
        <v>78143</v>
      </c>
      <c r="AW46">
        <v>70765</v>
      </c>
      <c r="AX46">
        <v>64243</v>
      </c>
      <c r="AY46">
        <v>36738</v>
      </c>
      <c r="AZ46">
        <v>54267</v>
      </c>
      <c r="BA46">
        <v>107219</v>
      </c>
      <c r="BB46">
        <v>185351</v>
      </c>
      <c r="BC46">
        <v>371390</v>
      </c>
      <c r="BD46">
        <v>279978</v>
      </c>
      <c r="BE46">
        <v>247206</v>
      </c>
      <c r="BF46">
        <v>391926</v>
      </c>
      <c r="BG46">
        <v>355194</v>
      </c>
      <c r="BH46">
        <v>423551</v>
      </c>
      <c r="BI46">
        <v>313809</v>
      </c>
      <c r="BJ46">
        <v>759666</v>
      </c>
      <c r="BK46">
        <v>647717</v>
      </c>
      <c r="BL46">
        <v>414704</v>
      </c>
      <c r="BM46">
        <v>196250</v>
      </c>
      <c r="BN46">
        <v>790396</v>
      </c>
      <c r="BO46">
        <v>484737</v>
      </c>
      <c r="BP46">
        <v>507485</v>
      </c>
      <c r="BQ46">
        <v>798460</v>
      </c>
      <c r="BR46">
        <v>640430</v>
      </c>
      <c r="BS46">
        <v>246124</v>
      </c>
      <c r="BT46">
        <v>171374</v>
      </c>
      <c r="BU46">
        <v>52697</v>
      </c>
      <c r="BV46">
        <v>290371</v>
      </c>
      <c r="BW46">
        <v>259328</v>
      </c>
      <c r="BX46">
        <v>120961</v>
      </c>
      <c r="BY46">
        <v>252246</v>
      </c>
      <c r="BZ46">
        <v>59319</v>
      </c>
      <c r="CA46">
        <v>98396</v>
      </c>
      <c r="CB46">
        <v>-79757</v>
      </c>
      <c r="CC46">
        <v>-72726</v>
      </c>
      <c r="CD46">
        <v>-185645</v>
      </c>
      <c r="CE46">
        <v>-206542</v>
      </c>
      <c r="CF46">
        <v>-408673</v>
      </c>
      <c r="CG46">
        <v>-155484</v>
      </c>
      <c r="CH46">
        <v>-191762</v>
      </c>
    </row>
    <row r="47" spans="1:166">
      <c r="A47" t="s">
        <v>734</v>
      </c>
      <c r="B47" t="s">
        <v>88</v>
      </c>
      <c r="C47">
        <v>1000000</v>
      </c>
      <c r="D47" t="s">
        <v>89</v>
      </c>
      <c r="E47" t="s">
        <v>735</v>
      </c>
      <c r="F47" s="10" t="s">
        <v>736</v>
      </c>
      <c r="G47" t="s">
        <v>97</v>
      </c>
      <c r="H47">
        <v>303</v>
      </c>
      <c r="I47">
        <v>559</v>
      </c>
      <c r="J47">
        <v>346</v>
      </c>
      <c r="K47">
        <v>994</v>
      </c>
      <c r="L47">
        <v>710</v>
      </c>
      <c r="M47">
        <v>632</v>
      </c>
      <c r="N47">
        <v>1578</v>
      </c>
      <c r="O47">
        <v>1944</v>
      </c>
      <c r="P47">
        <v>1157</v>
      </c>
      <c r="Q47">
        <v>1797</v>
      </c>
      <c r="R47">
        <v>2611</v>
      </c>
      <c r="S47">
        <v>4113</v>
      </c>
      <c r="T47">
        <v>2912</v>
      </c>
      <c r="U47">
        <v>5177</v>
      </c>
      <c r="V47">
        <v>6096</v>
      </c>
      <c r="W47">
        <v>5534</v>
      </c>
      <c r="X47">
        <v>7124</v>
      </c>
      <c r="Y47">
        <v>7791</v>
      </c>
      <c r="Z47">
        <v>8624</v>
      </c>
      <c r="AA47">
        <v>10519</v>
      </c>
      <c r="AB47">
        <v>11752</v>
      </c>
      <c r="AC47">
        <v>14612</v>
      </c>
      <c r="AD47">
        <v>19029</v>
      </c>
      <c r="AE47">
        <v>21177</v>
      </c>
      <c r="AF47">
        <v>9236</v>
      </c>
      <c r="AG47">
        <v>19906</v>
      </c>
      <c r="AH47">
        <v>21086</v>
      </c>
      <c r="AI47">
        <v>14115</v>
      </c>
      <c r="AJ47">
        <v>6730</v>
      </c>
      <c r="AK47">
        <v>9324</v>
      </c>
      <c r="AL47">
        <v>7705</v>
      </c>
      <c r="AM47">
        <v>10395</v>
      </c>
      <c r="AN47">
        <v>12901</v>
      </c>
      <c r="AO47">
        <v>17701</v>
      </c>
      <c r="AP47">
        <v>19552</v>
      </c>
      <c r="AQ47">
        <v>27039</v>
      </c>
      <c r="AR47">
        <v>39949</v>
      </c>
      <c r="AS47">
        <v>49376</v>
      </c>
      <c r="AT47">
        <v>3297</v>
      </c>
      <c r="AU47">
        <v>48742</v>
      </c>
      <c r="AV47">
        <v>38618</v>
      </c>
      <c r="AW47">
        <v>54506</v>
      </c>
      <c r="AX47">
        <v>12565</v>
      </c>
      <c r="AY47">
        <v>18252</v>
      </c>
      <c r="AZ47">
        <v>20050</v>
      </c>
      <c r="BA47">
        <v>52768</v>
      </c>
      <c r="BB47">
        <v>81410</v>
      </c>
      <c r="BC47">
        <v>215995</v>
      </c>
      <c r="BD47">
        <v>153948</v>
      </c>
      <c r="BE47">
        <v>44849</v>
      </c>
      <c r="BF47">
        <v>153746</v>
      </c>
      <c r="BG47">
        <v>76930</v>
      </c>
      <c r="BH47">
        <v>129930</v>
      </c>
      <c r="BI47">
        <v>18485</v>
      </c>
      <c r="BJ47">
        <v>367966</v>
      </c>
      <c r="BK47">
        <v>392407</v>
      </c>
      <c r="BL47">
        <v>158562</v>
      </c>
      <c r="BM47">
        <v>45769</v>
      </c>
      <c r="BN47">
        <v>377422</v>
      </c>
      <c r="BO47">
        <v>188977</v>
      </c>
      <c r="BP47">
        <v>150348</v>
      </c>
      <c r="BQ47">
        <v>326525</v>
      </c>
      <c r="BR47">
        <v>399870</v>
      </c>
      <c r="BS47">
        <v>48404</v>
      </c>
      <c r="BT47">
        <v>140926</v>
      </c>
      <c r="BU47">
        <v>30885</v>
      </c>
      <c r="BV47">
        <v>64924</v>
      </c>
      <c r="BW47">
        <v>-11646</v>
      </c>
      <c r="BX47">
        <v>4269</v>
      </c>
      <c r="BY47">
        <v>232401</v>
      </c>
      <c r="BZ47">
        <v>-161328</v>
      </c>
      <c r="CA47">
        <v>83925</v>
      </c>
      <c r="CB47">
        <v>-138044</v>
      </c>
      <c r="CC47">
        <v>-286424</v>
      </c>
      <c r="CD47">
        <v>-393019</v>
      </c>
      <c r="CE47">
        <v>-177642</v>
      </c>
      <c r="CF47">
        <v>-23428</v>
      </c>
      <c r="CG47">
        <v>-304592</v>
      </c>
      <c r="CH47">
        <v>-89402</v>
      </c>
    </row>
    <row r="48" spans="1:166">
      <c r="A48" t="s">
        <v>737</v>
      </c>
      <c r="B48" t="s">
        <v>88</v>
      </c>
      <c r="C48">
        <v>1000000</v>
      </c>
      <c r="D48" t="s">
        <v>89</v>
      </c>
      <c r="E48" t="s">
        <v>738</v>
      </c>
      <c r="F48" s="10" t="s">
        <v>739</v>
      </c>
      <c r="G48" t="s">
        <v>97</v>
      </c>
      <c r="H48">
        <v>0</v>
      </c>
      <c r="I48">
        <v>0</v>
      </c>
      <c r="J48">
        <v>0</v>
      </c>
      <c r="K48">
        <v>0</v>
      </c>
      <c r="L48">
        <v>0</v>
      </c>
      <c r="M48">
        <v>0</v>
      </c>
      <c r="N48">
        <v>0</v>
      </c>
      <c r="O48">
        <v>0</v>
      </c>
      <c r="P48">
        <v>0</v>
      </c>
      <c r="Q48">
        <v>0</v>
      </c>
      <c r="R48">
        <v>0</v>
      </c>
      <c r="S48">
        <v>0</v>
      </c>
      <c r="T48">
        <v>0</v>
      </c>
      <c r="U48">
        <v>0</v>
      </c>
      <c r="V48">
        <v>0</v>
      </c>
      <c r="W48">
        <v>0</v>
      </c>
      <c r="X48">
        <v>204</v>
      </c>
      <c r="Y48">
        <v>-20</v>
      </c>
      <c r="Z48">
        <v>209</v>
      </c>
      <c r="AA48">
        <v>26</v>
      </c>
      <c r="AB48">
        <v>135</v>
      </c>
      <c r="AC48">
        <v>42</v>
      </c>
      <c r="AD48">
        <v>129</v>
      </c>
      <c r="AE48">
        <v>610</v>
      </c>
      <c r="AF48">
        <v>537</v>
      </c>
      <c r="AG48">
        <v>-163</v>
      </c>
      <c r="AH48">
        <v>-50</v>
      </c>
      <c r="AI48">
        <v>858</v>
      </c>
      <c r="AJ48">
        <v>1142</v>
      </c>
      <c r="AK48">
        <v>387</v>
      </c>
      <c r="AL48">
        <v>414</v>
      </c>
      <c r="AM48">
        <v>375</v>
      </c>
      <c r="AN48">
        <v>-461</v>
      </c>
      <c r="AO48">
        <v>1040</v>
      </c>
      <c r="AP48">
        <v>2319</v>
      </c>
      <c r="AQ48">
        <v>-1291</v>
      </c>
      <c r="AR48">
        <v>4888</v>
      </c>
      <c r="AS48">
        <v>1100</v>
      </c>
      <c r="AT48">
        <v>2865</v>
      </c>
      <c r="AU48">
        <v>3844</v>
      </c>
      <c r="AV48">
        <v>11789</v>
      </c>
      <c r="AW48">
        <v>4765</v>
      </c>
      <c r="AX48">
        <v>-955</v>
      </c>
      <c r="AY48">
        <v>841</v>
      </c>
      <c r="AZ48">
        <v>10636</v>
      </c>
      <c r="BA48">
        <v>24050</v>
      </c>
      <c r="BB48">
        <v>40889</v>
      </c>
      <c r="BC48">
        <v>68705</v>
      </c>
      <c r="BD48">
        <v>93723</v>
      </c>
      <c r="BE48">
        <v>103935</v>
      </c>
      <c r="BF48">
        <v>96158</v>
      </c>
      <c r="BG48">
        <v>128264</v>
      </c>
      <c r="BH48">
        <v>130838</v>
      </c>
      <c r="BI48">
        <v>121065</v>
      </c>
      <c r="BJ48">
        <v>218440</v>
      </c>
      <c r="BK48">
        <v>106709</v>
      </c>
      <c r="BL48">
        <v>124813</v>
      </c>
      <c r="BM48">
        <v>80759</v>
      </c>
      <c r="BN48">
        <v>139629</v>
      </c>
      <c r="BO48">
        <v>82265</v>
      </c>
      <c r="BP48">
        <v>97509</v>
      </c>
      <c r="BQ48">
        <v>75888</v>
      </c>
      <c r="BR48">
        <v>50851</v>
      </c>
      <c r="BS48">
        <v>95953</v>
      </c>
      <c r="BT48">
        <v>70090</v>
      </c>
      <c r="BU48">
        <v>-37625</v>
      </c>
      <c r="BV48">
        <v>-16438</v>
      </c>
      <c r="BW48">
        <v>128860</v>
      </c>
      <c r="BX48">
        <v>25945</v>
      </c>
      <c r="BY48">
        <v>-13810</v>
      </c>
      <c r="BZ48">
        <v>-82148</v>
      </c>
      <c r="CA48">
        <v>-31461</v>
      </c>
      <c r="CB48">
        <v>-102519</v>
      </c>
      <c r="CC48">
        <v>-52593</v>
      </c>
      <c r="CD48">
        <v>-80139</v>
      </c>
      <c r="CE48">
        <v>-381748</v>
      </c>
      <c r="CF48">
        <v>-211822</v>
      </c>
      <c r="CG48">
        <v>-37784</v>
      </c>
      <c r="CH48">
        <v>-314339</v>
      </c>
    </row>
    <row r="49" spans="1:86">
      <c r="A49" t="s">
        <v>740</v>
      </c>
      <c r="B49" t="s">
        <v>88</v>
      </c>
      <c r="C49">
        <v>1000000</v>
      </c>
      <c r="D49" t="s">
        <v>89</v>
      </c>
      <c r="E49" t="s">
        <v>741</v>
      </c>
      <c r="F49" s="10" t="s">
        <v>742</v>
      </c>
      <c r="G49" t="s">
        <v>97</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305</v>
      </c>
      <c r="AM49">
        <v>185</v>
      </c>
      <c r="AN49">
        <v>780</v>
      </c>
      <c r="AO49">
        <v>1485</v>
      </c>
      <c r="AP49">
        <v>2301</v>
      </c>
      <c r="AQ49">
        <v>8223</v>
      </c>
      <c r="AR49">
        <v>906</v>
      </c>
      <c r="AS49">
        <v>4185</v>
      </c>
      <c r="AT49">
        <v>4804</v>
      </c>
      <c r="AU49">
        <v>50</v>
      </c>
      <c r="AV49">
        <v>932</v>
      </c>
      <c r="AW49">
        <v>-2259</v>
      </c>
      <c r="AX49">
        <v>10942</v>
      </c>
      <c r="AY49">
        <v>-3821</v>
      </c>
      <c r="AZ49">
        <v>17289</v>
      </c>
      <c r="BA49">
        <v>8951</v>
      </c>
      <c r="BB49">
        <v>6172</v>
      </c>
      <c r="BC49">
        <v>14247</v>
      </c>
      <c r="BD49">
        <v>-4871</v>
      </c>
      <c r="BE49">
        <v>25210</v>
      </c>
      <c r="BF49">
        <v>31465</v>
      </c>
      <c r="BG49">
        <v>35849</v>
      </c>
      <c r="BH49">
        <v>27196</v>
      </c>
      <c r="BI49">
        <v>50978</v>
      </c>
      <c r="BJ49">
        <v>27461</v>
      </c>
      <c r="BK49">
        <v>54596</v>
      </c>
      <c r="BL49">
        <v>7629</v>
      </c>
      <c r="BM49">
        <v>-38347</v>
      </c>
      <c r="BN49">
        <v>-34254</v>
      </c>
      <c r="BO49">
        <v>46774</v>
      </c>
      <c r="BP49">
        <v>29219</v>
      </c>
      <c r="BQ49">
        <v>80721</v>
      </c>
      <c r="BR49">
        <v>90455</v>
      </c>
      <c r="BS49">
        <v>-46662</v>
      </c>
      <c r="BT49">
        <v>-32865</v>
      </c>
      <c r="BU49">
        <v>19978</v>
      </c>
      <c r="BV49">
        <v>4652</v>
      </c>
      <c r="BW49">
        <v>78667</v>
      </c>
      <c r="BX49">
        <v>6946</v>
      </c>
      <c r="BY49">
        <v>-65190</v>
      </c>
      <c r="BZ49">
        <v>139264</v>
      </c>
      <c r="CA49">
        <v>14270</v>
      </c>
      <c r="CB49">
        <v>27766</v>
      </c>
      <c r="CC49">
        <v>141181</v>
      </c>
      <c r="CD49">
        <v>163836</v>
      </c>
      <c r="CE49">
        <v>184739</v>
      </c>
      <c r="CF49">
        <v>-223677</v>
      </c>
      <c r="CG49">
        <v>48432</v>
      </c>
      <c r="CH49">
        <v>72800</v>
      </c>
    </row>
    <row r="50" spans="1:86">
      <c r="A50" t="s">
        <v>743</v>
      </c>
      <c r="B50" t="s">
        <v>88</v>
      </c>
      <c r="C50">
        <v>1000000</v>
      </c>
      <c r="D50" t="s">
        <v>89</v>
      </c>
      <c r="E50" t="s">
        <v>744</v>
      </c>
      <c r="F50" s="10" t="s">
        <v>745</v>
      </c>
      <c r="G50" t="s">
        <v>97</v>
      </c>
      <c r="H50">
        <v>12</v>
      </c>
      <c r="I50">
        <v>17</v>
      </c>
      <c r="J50">
        <v>16</v>
      </c>
      <c r="K50">
        <v>16</v>
      </c>
      <c r="L50">
        <v>44</v>
      </c>
      <c r="M50">
        <v>94</v>
      </c>
      <c r="N50">
        <v>44</v>
      </c>
      <c r="O50">
        <v>53</v>
      </c>
      <c r="P50">
        <v>70</v>
      </c>
      <c r="Q50">
        <v>78</v>
      </c>
      <c r="R50">
        <v>91</v>
      </c>
      <c r="S50">
        <v>78</v>
      </c>
      <c r="T50">
        <v>84</v>
      </c>
      <c r="U50">
        <v>97</v>
      </c>
      <c r="V50">
        <v>123</v>
      </c>
      <c r="W50">
        <v>118</v>
      </c>
      <c r="X50">
        <v>19</v>
      </c>
      <c r="Y50">
        <v>45</v>
      </c>
      <c r="Z50">
        <v>56</v>
      </c>
      <c r="AA50">
        <v>50</v>
      </c>
      <c r="AB50">
        <v>92</v>
      </c>
      <c r="AC50">
        <v>26</v>
      </c>
      <c r="AD50">
        <v>8</v>
      </c>
      <c r="AE50">
        <v>75</v>
      </c>
      <c r="AF50">
        <v>129</v>
      </c>
      <c r="AG50">
        <v>11</v>
      </c>
      <c r="AH50">
        <v>138</v>
      </c>
      <c r="AI50">
        <v>366</v>
      </c>
      <c r="AJ50">
        <v>502</v>
      </c>
      <c r="AK50">
        <v>81</v>
      </c>
      <c r="AL50">
        <v>184</v>
      </c>
      <c r="AM50">
        <v>406</v>
      </c>
      <c r="AN50">
        <v>825</v>
      </c>
      <c r="AO50">
        <v>1029</v>
      </c>
      <c r="AP50">
        <v>11</v>
      </c>
      <c r="AQ50">
        <v>667</v>
      </c>
      <c r="AR50">
        <v>442</v>
      </c>
      <c r="AS50">
        <v>126</v>
      </c>
      <c r="AT50">
        <v>805</v>
      </c>
      <c r="AU50">
        <v>1113</v>
      </c>
      <c r="AV50">
        <v>1172</v>
      </c>
      <c r="AW50">
        <v>1796</v>
      </c>
      <c r="AX50">
        <v>1896</v>
      </c>
      <c r="AY50">
        <v>208</v>
      </c>
      <c r="AZ50">
        <v>-2281</v>
      </c>
      <c r="BA50">
        <v>-904</v>
      </c>
      <c r="BB50">
        <v>-98</v>
      </c>
      <c r="BC50">
        <v>1348</v>
      </c>
      <c r="BD50">
        <v>1645</v>
      </c>
      <c r="BE50">
        <v>2038</v>
      </c>
      <c r="BF50">
        <v>1407</v>
      </c>
      <c r="BG50">
        <v>1762</v>
      </c>
      <c r="BH50">
        <v>3988</v>
      </c>
      <c r="BI50">
        <v>6070</v>
      </c>
      <c r="BJ50">
        <v>2177</v>
      </c>
      <c r="BK50">
        <v>2752</v>
      </c>
      <c r="BL50">
        <v>1898</v>
      </c>
      <c r="BM50">
        <v>2515</v>
      </c>
      <c r="BN50">
        <v>2390</v>
      </c>
      <c r="BO50">
        <v>1951</v>
      </c>
      <c r="BP50">
        <v>-42</v>
      </c>
      <c r="BQ50">
        <v>8252</v>
      </c>
      <c r="BR50">
        <v>-5271</v>
      </c>
      <c r="BS50">
        <v>0</v>
      </c>
      <c r="BT50">
        <v>-3247</v>
      </c>
      <c r="BU50">
        <v>-6193</v>
      </c>
      <c r="BV50">
        <v>-2007</v>
      </c>
      <c r="BW50">
        <v>-160</v>
      </c>
      <c r="BX50">
        <v>330</v>
      </c>
      <c r="BY50">
        <v>674</v>
      </c>
      <c r="BZ50">
        <v>1907</v>
      </c>
      <c r="CA50">
        <v>1371</v>
      </c>
      <c r="CB50">
        <v>841</v>
      </c>
      <c r="CC50">
        <v>-4003</v>
      </c>
      <c r="CD50">
        <v>-7097</v>
      </c>
      <c r="CE50">
        <v>-2333</v>
      </c>
      <c r="CF50">
        <v>18941</v>
      </c>
      <c r="CG50">
        <v>680</v>
      </c>
      <c r="CH50">
        <v>-1762</v>
      </c>
    </row>
    <row r="51" spans="1:86">
      <c r="A51" t="s">
        <v>746</v>
      </c>
      <c r="B51" t="s">
        <v>88</v>
      </c>
      <c r="C51">
        <v>1000000</v>
      </c>
      <c r="D51" t="s">
        <v>89</v>
      </c>
      <c r="E51" t="s">
        <v>747</v>
      </c>
      <c r="F51" s="10" t="s">
        <v>748</v>
      </c>
      <c r="G51" t="s">
        <v>97</v>
      </c>
      <c r="H51">
        <v>26</v>
      </c>
      <c r="I51">
        <v>9</v>
      </c>
      <c r="J51">
        <v>8</v>
      </c>
      <c r="K51">
        <v>17</v>
      </c>
      <c r="L51">
        <v>18</v>
      </c>
      <c r="M51">
        <v>21</v>
      </c>
      <c r="N51">
        <v>40</v>
      </c>
      <c r="O51">
        <v>54</v>
      </c>
      <c r="P51">
        <v>66</v>
      </c>
      <c r="Q51">
        <v>77</v>
      </c>
      <c r="R51">
        <v>88</v>
      </c>
      <c r="S51">
        <v>101</v>
      </c>
      <c r="T51">
        <v>91</v>
      </c>
      <c r="U51">
        <v>105</v>
      </c>
      <c r="V51">
        <v>115</v>
      </c>
      <c r="W51">
        <v>131</v>
      </c>
      <c r="X51">
        <v>146</v>
      </c>
      <c r="Y51">
        <v>165</v>
      </c>
      <c r="Z51">
        <v>186</v>
      </c>
      <c r="AA51">
        <v>219</v>
      </c>
      <c r="AB51">
        <v>235</v>
      </c>
      <c r="AC51">
        <v>253</v>
      </c>
      <c r="AD51">
        <v>308</v>
      </c>
      <c r="AE51">
        <v>376</v>
      </c>
      <c r="AF51">
        <v>455</v>
      </c>
      <c r="AG51">
        <v>568</v>
      </c>
      <c r="AH51">
        <v>728</v>
      </c>
      <c r="AI51">
        <v>882</v>
      </c>
      <c r="AJ51">
        <v>1086</v>
      </c>
      <c r="AK51">
        <v>1366</v>
      </c>
      <c r="AL51">
        <v>1852</v>
      </c>
      <c r="AM51">
        <v>2224</v>
      </c>
      <c r="AN51">
        <v>1974</v>
      </c>
      <c r="AO51">
        <v>2386</v>
      </c>
      <c r="AP51">
        <v>2892</v>
      </c>
      <c r="AQ51">
        <v>3437</v>
      </c>
      <c r="AR51">
        <v>2963</v>
      </c>
      <c r="AS51">
        <v>3863</v>
      </c>
      <c r="AT51">
        <v>3233</v>
      </c>
      <c r="AU51">
        <v>330</v>
      </c>
      <c r="AV51">
        <v>-744</v>
      </c>
      <c r="AW51">
        <v>989</v>
      </c>
      <c r="AX51">
        <v>3205</v>
      </c>
      <c r="AY51">
        <v>10042</v>
      </c>
      <c r="AZ51">
        <v>-2670</v>
      </c>
      <c r="BA51">
        <v>1413</v>
      </c>
      <c r="BB51">
        <v>2639</v>
      </c>
      <c r="BC51">
        <v>21352</v>
      </c>
      <c r="BD51">
        <v>1215</v>
      </c>
      <c r="BE51">
        <v>8333</v>
      </c>
      <c r="BF51">
        <v>13654</v>
      </c>
      <c r="BG51">
        <v>19658</v>
      </c>
      <c r="BH51">
        <v>9852</v>
      </c>
      <c r="BI51">
        <v>18597</v>
      </c>
      <c r="BJ51">
        <v>22464</v>
      </c>
      <c r="BK51">
        <v>16957</v>
      </c>
      <c r="BL51">
        <v>17570</v>
      </c>
      <c r="BM51">
        <v>22740</v>
      </c>
      <c r="BN51">
        <v>39328</v>
      </c>
      <c r="BO51">
        <v>13206</v>
      </c>
      <c r="BP51">
        <v>28423</v>
      </c>
      <c r="BQ51">
        <v>107061</v>
      </c>
      <c r="BR51">
        <v>70178</v>
      </c>
      <c r="BS51">
        <v>29081</v>
      </c>
      <c r="BT51">
        <v>6027</v>
      </c>
      <c r="BU51">
        <v>15734</v>
      </c>
      <c r="BV51">
        <v>18654</v>
      </c>
      <c r="BW51">
        <v>34899</v>
      </c>
      <c r="BX51">
        <v>20269</v>
      </c>
      <c r="BY51">
        <v>22652</v>
      </c>
      <c r="BZ51">
        <v>52361</v>
      </c>
      <c r="CA51">
        <v>49059</v>
      </c>
      <c r="CB51">
        <v>-3061</v>
      </c>
      <c r="CC51">
        <v>67556</v>
      </c>
      <c r="CD51">
        <v>51649</v>
      </c>
      <c r="CE51">
        <v>70069</v>
      </c>
      <c r="CF51">
        <v>67934</v>
      </c>
      <c r="CG51">
        <v>79855</v>
      </c>
      <c r="CH51">
        <v>71290</v>
      </c>
    </row>
    <row r="52" spans="1:86">
      <c r="A52" t="s">
        <v>749</v>
      </c>
      <c r="B52" t="s">
        <v>88</v>
      </c>
      <c r="C52">
        <v>1000000</v>
      </c>
      <c r="D52" t="s">
        <v>89</v>
      </c>
      <c r="E52" t="s">
        <v>750</v>
      </c>
      <c r="F52" s="10" t="s">
        <v>751</v>
      </c>
      <c r="G52" t="s">
        <v>97</v>
      </c>
      <c r="H52">
        <v>10</v>
      </c>
      <c r="I52">
        <v>9</v>
      </c>
      <c r="J52">
        <v>5</v>
      </c>
      <c r="K52">
        <v>10</v>
      </c>
      <c r="L52">
        <v>14</v>
      </c>
      <c r="M52">
        <v>12</v>
      </c>
      <c r="N52">
        <v>16</v>
      </c>
      <c r="O52">
        <v>12</v>
      </c>
      <c r="P52">
        <v>23</v>
      </c>
      <c r="Q52">
        <v>15</v>
      </c>
      <c r="R52">
        <v>23</v>
      </c>
      <c r="S52">
        <v>19</v>
      </c>
      <c r="T52">
        <v>18</v>
      </c>
      <c r="U52">
        <v>24</v>
      </c>
      <c r="V52">
        <v>22</v>
      </c>
      <c r="W52">
        <v>36</v>
      </c>
      <c r="X52">
        <v>22</v>
      </c>
      <c r="Y52">
        <v>30</v>
      </c>
      <c r="Z52">
        <v>27</v>
      </c>
      <c r="AA52">
        <v>27</v>
      </c>
      <c r="AB52">
        <v>19</v>
      </c>
      <c r="AC52">
        <v>28</v>
      </c>
      <c r="AD52">
        <v>32</v>
      </c>
      <c r="AE52">
        <v>39</v>
      </c>
      <c r="AF52">
        <v>33</v>
      </c>
      <c r="AG52">
        <v>40</v>
      </c>
      <c r="AH52">
        <v>51</v>
      </c>
      <c r="AI52">
        <v>51</v>
      </c>
      <c r="AJ52">
        <v>53</v>
      </c>
      <c r="AK52">
        <v>32</v>
      </c>
      <c r="AL52">
        <v>54</v>
      </c>
      <c r="AM52">
        <v>46</v>
      </c>
      <c r="AN52">
        <v>49</v>
      </c>
      <c r="AO52">
        <v>67</v>
      </c>
      <c r="AP52">
        <v>58</v>
      </c>
      <c r="AQ52">
        <v>75</v>
      </c>
      <c r="AR52">
        <v>81</v>
      </c>
      <c r="AS52">
        <v>106</v>
      </c>
      <c r="AT52">
        <v>161</v>
      </c>
      <c r="AU52">
        <v>155</v>
      </c>
      <c r="AV52">
        <v>93</v>
      </c>
      <c r="AW52">
        <v>173</v>
      </c>
      <c r="AX52">
        <v>66</v>
      </c>
      <c r="AY52">
        <v>130</v>
      </c>
      <c r="AZ52">
        <v>180</v>
      </c>
      <c r="BA52">
        <v>229</v>
      </c>
      <c r="BB52">
        <v>402</v>
      </c>
      <c r="BC52">
        <v>347</v>
      </c>
      <c r="BD52">
        <v>282</v>
      </c>
      <c r="BE52">
        <v>283</v>
      </c>
      <c r="BF52">
        <v>636</v>
      </c>
      <c r="BG52">
        <v>831</v>
      </c>
      <c r="BH52">
        <v>519</v>
      </c>
      <c r="BI52">
        <v>480</v>
      </c>
      <c r="BJ52">
        <v>565</v>
      </c>
      <c r="BK52">
        <v>376</v>
      </c>
      <c r="BL52">
        <v>1007</v>
      </c>
      <c r="BM52">
        <v>467</v>
      </c>
      <c r="BN52">
        <v>3067</v>
      </c>
      <c r="BO52">
        <v>1622</v>
      </c>
      <c r="BP52">
        <v>1789</v>
      </c>
      <c r="BQ52">
        <v>3125</v>
      </c>
      <c r="BR52">
        <v>2626</v>
      </c>
      <c r="BS52">
        <v>4564</v>
      </c>
      <c r="BT52">
        <v>884</v>
      </c>
      <c r="BU52">
        <v>375</v>
      </c>
      <c r="BV52">
        <v>461</v>
      </c>
      <c r="BW52">
        <v>147</v>
      </c>
      <c r="BX52">
        <v>1065</v>
      </c>
      <c r="BY52">
        <v>879</v>
      </c>
      <c r="BZ52">
        <v>992</v>
      </c>
      <c r="CA52">
        <v>946</v>
      </c>
      <c r="CB52">
        <v>946</v>
      </c>
      <c r="CC52">
        <v>-637</v>
      </c>
      <c r="CD52">
        <v>678</v>
      </c>
      <c r="CE52">
        <v>1501</v>
      </c>
      <c r="CF52">
        <v>1137</v>
      </c>
      <c r="CG52">
        <v>1051</v>
      </c>
      <c r="CH52">
        <v>1117</v>
      </c>
    </row>
    <row r="53" spans="1:86">
      <c r="A53" t="s">
        <v>752</v>
      </c>
      <c r="B53" t="s">
        <v>88</v>
      </c>
      <c r="C53">
        <v>1000000</v>
      </c>
      <c r="D53" t="s">
        <v>89</v>
      </c>
      <c r="E53" t="s">
        <v>753</v>
      </c>
      <c r="F53" s="10" t="s">
        <v>754</v>
      </c>
      <c r="G53" t="s">
        <v>97</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3600</v>
      </c>
      <c r="AF53">
        <v>5400</v>
      </c>
      <c r="AG53">
        <v>4500</v>
      </c>
      <c r="AH53">
        <v>5400</v>
      </c>
      <c r="AI53">
        <v>2403</v>
      </c>
      <c r="AJ53">
        <v>5987</v>
      </c>
      <c r="AK53">
        <v>7730</v>
      </c>
      <c r="AL53">
        <v>5015</v>
      </c>
      <c r="AM53">
        <v>6178</v>
      </c>
      <c r="AN53">
        <v>5590</v>
      </c>
      <c r="AO53">
        <v>6183</v>
      </c>
      <c r="AP53">
        <v>14990</v>
      </c>
      <c r="AQ53">
        <v>6663</v>
      </c>
      <c r="AR53">
        <v>18207</v>
      </c>
      <c r="AS53">
        <v>16713</v>
      </c>
      <c r="AT53">
        <v>20153</v>
      </c>
      <c r="AU53">
        <v>27293</v>
      </c>
      <c r="AV53">
        <v>26283</v>
      </c>
      <c r="AW53">
        <v>10795</v>
      </c>
      <c r="AX53">
        <v>36524</v>
      </c>
      <c r="AY53">
        <v>11086</v>
      </c>
      <c r="AZ53">
        <v>11063</v>
      </c>
      <c r="BA53">
        <v>20712</v>
      </c>
      <c r="BB53">
        <v>53937</v>
      </c>
      <c r="BC53">
        <v>49396</v>
      </c>
      <c r="BD53">
        <v>34036</v>
      </c>
      <c r="BE53">
        <v>62558</v>
      </c>
      <c r="BF53">
        <v>94860</v>
      </c>
      <c r="BG53">
        <v>91900</v>
      </c>
      <c r="BH53">
        <v>121228</v>
      </c>
      <c r="BI53">
        <v>98134</v>
      </c>
      <c r="BJ53">
        <v>120593</v>
      </c>
      <c r="BK53">
        <v>73920</v>
      </c>
      <c r="BL53">
        <v>103225</v>
      </c>
      <c r="BM53">
        <v>82347</v>
      </c>
      <c r="BN53">
        <v>262814</v>
      </c>
      <c r="BO53">
        <v>149942</v>
      </c>
      <c r="BP53">
        <v>200239</v>
      </c>
      <c r="BQ53">
        <v>196888</v>
      </c>
      <c r="BR53">
        <v>31721</v>
      </c>
      <c r="BS53">
        <v>114784</v>
      </c>
      <c r="BT53">
        <v>-10441</v>
      </c>
      <c r="BU53">
        <v>29543</v>
      </c>
      <c r="BV53">
        <v>220125</v>
      </c>
      <c r="BW53">
        <v>28561</v>
      </c>
      <c r="BX53">
        <v>62137</v>
      </c>
      <c r="BY53">
        <v>74640</v>
      </c>
      <c r="BZ53">
        <v>108271</v>
      </c>
      <c r="CA53">
        <v>-19714</v>
      </c>
      <c r="CB53">
        <v>134314</v>
      </c>
      <c r="CC53">
        <v>62194</v>
      </c>
      <c r="CD53">
        <v>78447</v>
      </c>
      <c r="CE53">
        <v>98872</v>
      </c>
      <c r="CF53">
        <v>-37758</v>
      </c>
      <c r="CG53">
        <v>56874</v>
      </c>
      <c r="CH53">
        <v>68534</v>
      </c>
    </row>
    <row r="54" spans="1:86">
      <c r="A54" t="s">
        <v>755</v>
      </c>
      <c r="B54" t="s">
        <v>88</v>
      </c>
      <c r="C54">
        <v>1000000</v>
      </c>
      <c r="D54" t="s">
        <v>89</v>
      </c>
      <c r="E54" t="s">
        <v>756</v>
      </c>
      <c r="F54" s="10" t="s">
        <v>757</v>
      </c>
      <c r="G54" t="s">
        <v>97</v>
      </c>
      <c r="H54">
        <v>5529</v>
      </c>
      <c r="I54">
        <v>4980</v>
      </c>
      <c r="J54">
        <v>5048</v>
      </c>
      <c r="K54">
        <v>5273</v>
      </c>
      <c r="L54">
        <v>6141</v>
      </c>
      <c r="M54">
        <v>10567</v>
      </c>
      <c r="N54">
        <v>10228</v>
      </c>
      <c r="O54">
        <v>11470</v>
      </c>
      <c r="P54">
        <v>10540</v>
      </c>
      <c r="Q54">
        <v>10695</v>
      </c>
      <c r="R54">
        <v>11639</v>
      </c>
      <c r="S54">
        <v>14854</v>
      </c>
      <c r="T54">
        <v>13072</v>
      </c>
      <c r="U54">
        <v>14455</v>
      </c>
      <c r="V54">
        <v>13198</v>
      </c>
      <c r="W54">
        <v>12080</v>
      </c>
      <c r="X54">
        <v>11382</v>
      </c>
      <c r="Y54">
        <v>13509</v>
      </c>
      <c r="Z54">
        <v>14626</v>
      </c>
      <c r="AA54">
        <v>18371</v>
      </c>
      <c r="AB54">
        <v>21628</v>
      </c>
      <c r="AC54">
        <v>25409</v>
      </c>
      <c r="AD54">
        <v>29403</v>
      </c>
      <c r="AE54">
        <v>37111</v>
      </c>
      <c r="AF54">
        <v>40070</v>
      </c>
      <c r="AG54">
        <v>42509</v>
      </c>
      <c r="AH54">
        <v>36934</v>
      </c>
      <c r="AI54">
        <v>46779</v>
      </c>
      <c r="AJ54">
        <v>51953</v>
      </c>
      <c r="AK54">
        <v>36402</v>
      </c>
      <c r="AL54">
        <v>55586</v>
      </c>
      <c r="AM54">
        <v>48388</v>
      </c>
      <c r="AN54">
        <v>49801</v>
      </c>
      <c r="AO54">
        <v>48680</v>
      </c>
      <c r="AP54">
        <v>92653</v>
      </c>
      <c r="AQ54">
        <v>72799</v>
      </c>
      <c r="AR54">
        <v>50766</v>
      </c>
      <c r="AS54">
        <v>109050</v>
      </c>
      <c r="AT54">
        <v>61228</v>
      </c>
      <c r="AU54">
        <v>19956</v>
      </c>
      <c r="AV54">
        <v>82054</v>
      </c>
      <c r="AW54">
        <v>114722</v>
      </c>
      <c r="AX54">
        <v>86826</v>
      </c>
      <c r="AY54">
        <v>117350</v>
      </c>
      <c r="AZ54">
        <v>159235</v>
      </c>
      <c r="BA54">
        <v>145184</v>
      </c>
      <c r="BB54">
        <v>171517</v>
      </c>
      <c r="BC54">
        <v>126532</v>
      </c>
      <c r="BD54">
        <v>129787</v>
      </c>
      <c r="BE54">
        <v>209125</v>
      </c>
      <c r="BF54">
        <v>207635</v>
      </c>
      <c r="BG54">
        <v>222823</v>
      </c>
      <c r="BH54">
        <v>242070</v>
      </c>
      <c r="BI54">
        <v>256022</v>
      </c>
      <c r="BJ54">
        <v>235949</v>
      </c>
      <c r="BK54">
        <v>268598</v>
      </c>
      <c r="BL54">
        <v>290564</v>
      </c>
      <c r="BM54">
        <v>494443</v>
      </c>
      <c r="BN54">
        <v>223310</v>
      </c>
      <c r="BO54">
        <v>459891</v>
      </c>
      <c r="BP54">
        <v>329703</v>
      </c>
      <c r="BQ54">
        <v>301445</v>
      </c>
      <c r="BR54">
        <v>239893</v>
      </c>
      <c r="BS54">
        <v>564522</v>
      </c>
      <c r="BT54">
        <v>320103</v>
      </c>
      <c r="BU54">
        <v>357718</v>
      </c>
      <c r="BV54">
        <v>297515</v>
      </c>
      <c r="BW54">
        <v>492673</v>
      </c>
      <c r="BX54">
        <v>268037</v>
      </c>
      <c r="BY54">
        <v>288302</v>
      </c>
      <c r="BZ54">
        <v>401571</v>
      </c>
      <c r="CA54">
        <v>266631</v>
      </c>
      <c r="CB54">
        <v>294395</v>
      </c>
      <c r="CC54">
        <v>321850</v>
      </c>
      <c r="CD54">
        <v>365541</v>
      </c>
      <c r="CE54">
        <v>445255</v>
      </c>
      <c r="CF54">
        <v>387221</v>
      </c>
      <c r="CG54">
        <v>426312</v>
      </c>
      <c r="CH54">
        <v>414682</v>
      </c>
    </row>
    <row r="55" spans="1:86">
      <c r="A55" t="s">
        <v>758</v>
      </c>
      <c r="B55" t="s">
        <v>88</v>
      </c>
      <c r="C55">
        <v>1000000</v>
      </c>
      <c r="D55" t="s">
        <v>89</v>
      </c>
      <c r="E55" t="s">
        <v>759</v>
      </c>
      <c r="F55" s="10" t="s">
        <v>760</v>
      </c>
      <c r="G55" t="s">
        <v>97</v>
      </c>
      <c r="H55">
        <v>-1738</v>
      </c>
      <c r="I55">
        <v>2215</v>
      </c>
      <c r="J55">
        <v>1055</v>
      </c>
      <c r="K55">
        <v>439</v>
      </c>
      <c r="L55">
        <v>-1256</v>
      </c>
      <c r="M55">
        <v>-187</v>
      </c>
      <c r="N55">
        <v>1805</v>
      </c>
      <c r="O55">
        <v>-707</v>
      </c>
      <c r="P55">
        <v>888</v>
      </c>
      <c r="Q55">
        <v>592</v>
      </c>
      <c r="R55">
        <v>464</v>
      </c>
      <c r="S55">
        <v>1207</v>
      </c>
      <c r="T55">
        <v>-872</v>
      </c>
      <c r="U55">
        <v>-1417</v>
      </c>
      <c r="V55">
        <v>-946</v>
      </c>
      <c r="W55">
        <v>-237</v>
      </c>
      <c r="X55">
        <v>314</v>
      </c>
      <c r="Y55">
        <v>2359</v>
      </c>
      <c r="Z55">
        <v>1382</v>
      </c>
      <c r="AA55">
        <v>-1286</v>
      </c>
      <c r="AB55">
        <v>344</v>
      </c>
      <c r="AC55">
        <v>351</v>
      </c>
      <c r="AD55">
        <v>-1344</v>
      </c>
      <c r="AE55">
        <v>2730</v>
      </c>
      <c r="AF55">
        <v>2277</v>
      </c>
      <c r="AG55">
        <v>5122</v>
      </c>
      <c r="AH55">
        <v>14198</v>
      </c>
      <c r="AI55">
        <v>24019</v>
      </c>
      <c r="AJ55">
        <v>-2349</v>
      </c>
      <c r="AK55">
        <v>26280</v>
      </c>
      <c r="AL55">
        <v>2559</v>
      </c>
      <c r="AM55">
        <v>18779</v>
      </c>
      <c r="AN55">
        <v>38416</v>
      </c>
      <c r="AO55">
        <v>3293</v>
      </c>
      <c r="AP55">
        <v>34677</v>
      </c>
      <c r="AQ55">
        <v>28386</v>
      </c>
      <c r="AR55">
        <v>68842</v>
      </c>
      <c r="AS55">
        <v>46516</v>
      </c>
      <c r="AT55">
        <v>22772</v>
      </c>
      <c r="AU55">
        <v>77831</v>
      </c>
      <c r="AV55">
        <v>51387</v>
      </c>
      <c r="AW55">
        <v>57566</v>
      </c>
      <c r="AX55">
        <v>99144</v>
      </c>
      <c r="AY55">
        <v>50597</v>
      </c>
      <c r="AZ55">
        <v>17893</v>
      </c>
      <c r="BA55">
        <v>85460</v>
      </c>
      <c r="BB55">
        <v>46574</v>
      </c>
      <c r="BC55">
        <v>84762</v>
      </c>
      <c r="BD55">
        <v>150310</v>
      </c>
      <c r="BE55">
        <v>68259</v>
      </c>
      <c r="BF55">
        <v>152729</v>
      </c>
      <c r="BG55">
        <v>344246</v>
      </c>
      <c r="BH55">
        <v>238096</v>
      </c>
      <c r="BI55">
        <v>67901</v>
      </c>
      <c r="BJ55">
        <v>483195</v>
      </c>
      <c r="BK55">
        <v>360272</v>
      </c>
      <c r="BL55">
        <v>74656</v>
      </c>
      <c r="BM55">
        <v>634792</v>
      </c>
      <c r="BN55">
        <v>735109</v>
      </c>
      <c r="BO55">
        <v>365708</v>
      </c>
      <c r="BP55">
        <v>691478</v>
      </c>
      <c r="BQ55">
        <v>371846</v>
      </c>
      <c r="BR55">
        <v>-1140130</v>
      </c>
      <c r="BS55">
        <v>-205556</v>
      </c>
      <c r="BT55">
        <v>-312277</v>
      </c>
      <c r="BU55">
        <v>238382</v>
      </c>
      <c r="BV55">
        <v>-67236</v>
      </c>
      <c r="BW55">
        <v>-7243</v>
      </c>
      <c r="BX55">
        <v>292092</v>
      </c>
      <c r="BY55">
        <v>-166100</v>
      </c>
      <c r="BZ55">
        <v>77014</v>
      </c>
      <c r="CA55">
        <v>10566</v>
      </c>
      <c r="CB55">
        <v>-321070</v>
      </c>
      <c r="CC55">
        <v>635277</v>
      </c>
      <c r="CD55">
        <v>442514</v>
      </c>
      <c r="CE55">
        <v>380627</v>
      </c>
      <c r="CF55">
        <v>-108127</v>
      </c>
      <c r="CG55">
        <v>424862</v>
      </c>
      <c r="CH55">
        <v>219915</v>
      </c>
    </row>
    <row r="56" spans="1:86">
      <c r="A56" t="s">
        <v>761</v>
      </c>
      <c r="B56" t="s">
        <v>88</v>
      </c>
      <c r="C56">
        <v>1000000</v>
      </c>
      <c r="D56" t="s">
        <v>89</v>
      </c>
      <c r="E56" t="s">
        <v>762</v>
      </c>
      <c r="F56" s="10" t="s">
        <v>763</v>
      </c>
      <c r="G56" t="s">
        <v>97</v>
      </c>
      <c r="H56">
        <v>1657</v>
      </c>
      <c r="I56">
        <v>18847</v>
      </c>
      <c r="J56">
        <v>17813</v>
      </c>
      <c r="K56">
        <v>14052</v>
      </c>
      <c r="L56">
        <v>27241</v>
      </c>
      <c r="M56">
        <v>33983</v>
      </c>
      <c r="N56">
        <v>38854</v>
      </c>
      <c r="O56">
        <v>34029</v>
      </c>
      <c r="P56">
        <v>34980</v>
      </c>
      <c r="Q56">
        <v>41063</v>
      </c>
      <c r="R56">
        <v>38414</v>
      </c>
      <c r="S56">
        <v>43873</v>
      </c>
      <c r="T56">
        <v>51133</v>
      </c>
      <c r="U56">
        <v>51128</v>
      </c>
      <c r="V56">
        <v>52877</v>
      </c>
      <c r="W56">
        <v>61967</v>
      </c>
      <c r="X56">
        <v>73755</v>
      </c>
      <c r="Y56">
        <v>81749</v>
      </c>
      <c r="Z56">
        <v>90859</v>
      </c>
      <c r="AA56">
        <v>99568</v>
      </c>
      <c r="AB56">
        <v>95621</v>
      </c>
      <c r="AC56">
        <v>121034</v>
      </c>
      <c r="AD56">
        <v>144047</v>
      </c>
      <c r="AE56">
        <v>146691</v>
      </c>
      <c r="AF56">
        <v>163139</v>
      </c>
      <c r="AG56">
        <v>208345</v>
      </c>
      <c r="AH56">
        <v>262010</v>
      </c>
      <c r="AI56">
        <v>293895</v>
      </c>
      <c r="AJ56">
        <v>267075</v>
      </c>
      <c r="AK56">
        <v>247667</v>
      </c>
      <c r="AL56">
        <v>346078</v>
      </c>
      <c r="AM56">
        <v>432239</v>
      </c>
      <c r="AN56">
        <v>516357</v>
      </c>
      <c r="AO56">
        <v>551122</v>
      </c>
      <c r="AP56">
        <v>603241</v>
      </c>
      <c r="AQ56">
        <v>707877</v>
      </c>
      <c r="AR56">
        <v>764337</v>
      </c>
      <c r="AS56">
        <v>805807</v>
      </c>
      <c r="AT56">
        <v>1049726</v>
      </c>
      <c r="AU56">
        <v>1168758</v>
      </c>
      <c r="AV56">
        <v>1434297</v>
      </c>
      <c r="AW56">
        <v>1003618</v>
      </c>
      <c r="AX56">
        <v>1153796</v>
      </c>
      <c r="AY56">
        <v>1045238</v>
      </c>
      <c r="AZ56">
        <v>765941</v>
      </c>
      <c r="BA56">
        <v>950006</v>
      </c>
      <c r="BB56">
        <v>1146461</v>
      </c>
      <c r="BC56">
        <v>1479188</v>
      </c>
      <c r="BD56">
        <v>1298089</v>
      </c>
      <c r="BE56">
        <v>1752620</v>
      </c>
      <c r="BF56">
        <v>1945177</v>
      </c>
      <c r="BG56">
        <v>2482926</v>
      </c>
      <c r="BH56">
        <v>2742188</v>
      </c>
      <c r="BI56">
        <v>3013952</v>
      </c>
      <c r="BJ56">
        <v>3119313</v>
      </c>
      <c r="BK56">
        <v>3496009</v>
      </c>
      <c r="BL56">
        <v>2607857</v>
      </c>
      <c r="BM56">
        <v>3626289</v>
      </c>
      <c r="BN56">
        <v>4268553</v>
      </c>
      <c r="BO56">
        <v>3889535</v>
      </c>
      <c r="BP56">
        <v>4915853</v>
      </c>
      <c r="BQ56">
        <v>5581653</v>
      </c>
      <c r="BR56">
        <v>2722603</v>
      </c>
      <c r="BS56">
        <v>-880976</v>
      </c>
      <c r="BT56">
        <v>545266</v>
      </c>
      <c r="BU56">
        <v>1842750</v>
      </c>
      <c r="BV56">
        <v>2132075</v>
      </c>
      <c r="BW56">
        <v>2771426</v>
      </c>
      <c r="BX56">
        <v>2453598</v>
      </c>
      <c r="BY56">
        <v>1029958</v>
      </c>
      <c r="BZ56">
        <v>1834056</v>
      </c>
      <c r="CA56">
        <v>2878839</v>
      </c>
      <c r="CB56">
        <v>1466700</v>
      </c>
      <c r="CC56">
        <v>3490549</v>
      </c>
      <c r="CD56">
        <v>9760217</v>
      </c>
      <c r="CE56">
        <v>6889593</v>
      </c>
      <c r="CF56">
        <v>1848455</v>
      </c>
      <c r="CG56">
        <v>3171330</v>
      </c>
      <c r="CH56">
        <v>3022212</v>
      </c>
    </row>
    <row r="57" spans="1:86">
      <c r="A57" t="s">
        <v>764</v>
      </c>
      <c r="B57" t="s">
        <v>88</v>
      </c>
      <c r="C57">
        <v>1000000</v>
      </c>
      <c r="D57" t="s">
        <v>89</v>
      </c>
      <c r="E57" t="s">
        <v>765</v>
      </c>
      <c r="F57" s="10" t="s">
        <v>766</v>
      </c>
      <c r="G57" t="s">
        <v>97</v>
      </c>
      <c r="H57">
        <v>-8675</v>
      </c>
      <c r="I57">
        <v>6948</v>
      </c>
      <c r="J57">
        <v>4357</v>
      </c>
      <c r="K57">
        <v>-357</v>
      </c>
      <c r="L57">
        <v>10612</v>
      </c>
      <c r="M57">
        <v>14751</v>
      </c>
      <c r="N57">
        <v>14757</v>
      </c>
      <c r="O57">
        <v>9040</v>
      </c>
      <c r="P57">
        <v>13719</v>
      </c>
      <c r="Q57">
        <v>12138</v>
      </c>
      <c r="R57">
        <v>12385</v>
      </c>
      <c r="S57">
        <v>11003</v>
      </c>
      <c r="T57">
        <v>22059</v>
      </c>
      <c r="U57">
        <v>11423</v>
      </c>
      <c r="V57">
        <v>17381</v>
      </c>
      <c r="W57">
        <v>28644</v>
      </c>
      <c r="X57">
        <v>34112</v>
      </c>
      <c r="Y57">
        <v>33953</v>
      </c>
      <c r="Z57">
        <v>40705</v>
      </c>
      <c r="AA57">
        <v>40742</v>
      </c>
      <c r="AB57">
        <v>30799</v>
      </c>
      <c r="AC57">
        <v>59107</v>
      </c>
      <c r="AD57">
        <v>55175</v>
      </c>
      <c r="AE57">
        <v>20683</v>
      </c>
      <c r="AF57">
        <v>67177</v>
      </c>
      <c r="AG57">
        <v>99583</v>
      </c>
      <c r="AH57">
        <v>109326</v>
      </c>
      <c r="AI57">
        <v>102396</v>
      </c>
      <c r="AJ57">
        <v>98249</v>
      </c>
      <c r="AK57">
        <v>106308</v>
      </c>
      <c r="AL57">
        <v>139231</v>
      </c>
      <c r="AM57">
        <v>169681</v>
      </c>
      <c r="AN57">
        <v>175396</v>
      </c>
      <c r="AO57">
        <v>173448</v>
      </c>
      <c r="AP57">
        <v>173760</v>
      </c>
      <c r="AQ57">
        <v>179941</v>
      </c>
      <c r="AR57">
        <v>284143</v>
      </c>
      <c r="AS57">
        <v>262400</v>
      </c>
      <c r="AT57">
        <v>361283</v>
      </c>
      <c r="AU57">
        <v>273155</v>
      </c>
      <c r="AV57">
        <v>380476</v>
      </c>
      <c r="AW57">
        <v>211145</v>
      </c>
      <c r="AX57">
        <v>267004</v>
      </c>
      <c r="AY57">
        <v>155254</v>
      </c>
      <c r="AZ57">
        <v>70763</v>
      </c>
      <c r="BA57">
        <v>58159</v>
      </c>
      <c r="BB57">
        <v>-34125</v>
      </c>
      <c r="BC57">
        <v>15833</v>
      </c>
      <c r="BD57">
        <v>54415</v>
      </c>
      <c r="BE57">
        <v>128235</v>
      </c>
      <c r="BF57">
        <v>198585</v>
      </c>
      <c r="BG57">
        <v>342833</v>
      </c>
      <c r="BH57">
        <v>262533</v>
      </c>
      <c r="BI57">
        <v>406942</v>
      </c>
      <c r="BJ57">
        <v>286256</v>
      </c>
      <c r="BK57">
        <v>548068</v>
      </c>
      <c r="BL57">
        <v>382275</v>
      </c>
      <c r="BM57">
        <v>526653</v>
      </c>
      <c r="BN57">
        <v>746193</v>
      </c>
      <c r="BO57">
        <v>744793</v>
      </c>
      <c r="BP57">
        <v>829066</v>
      </c>
      <c r="BQ57">
        <v>862699</v>
      </c>
      <c r="BR57">
        <v>2396005</v>
      </c>
      <c r="BS57">
        <v>36313</v>
      </c>
      <c r="BT57">
        <v>303032</v>
      </c>
      <c r="BU57">
        <v>1293995</v>
      </c>
      <c r="BV57">
        <v>495866</v>
      </c>
      <c r="BW57">
        <v>1710872</v>
      </c>
      <c r="BX57">
        <v>867648</v>
      </c>
      <c r="BY57">
        <v>119373</v>
      </c>
      <c r="BZ57">
        <v>466991</v>
      </c>
      <c r="CA57">
        <v>822590</v>
      </c>
      <c r="CB57">
        <v>351382</v>
      </c>
      <c r="CC57">
        <v>961560</v>
      </c>
      <c r="CD57">
        <v>6670498</v>
      </c>
      <c r="CE57">
        <v>1712650</v>
      </c>
      <c r="CF57">
        <v>-990998</v>
      </c>
      <c r="CG57">
        <v>722725</v>
      </c>
      <c r="CH57">
        <v>139020</v>
      </c>
    </row>
    <row r="58" spans="1:86">
      <c r="A58" t="s">
        <v>767</v>
      </c>
      <c r="B58" t="s">
        <v>88</v>
      </c>
      <c r="C58">
        <v>1000000</v>
      </c>
      <c r="D58" t="s">
        <v>89</v>
      </c>
      <c r="E58" t="s">
        <v>768</v>
      </c>
      <c r="F58" s="10" t="s">
        <v>769</v>
      </c>
      <c r="G58" t="s">
        <v>97</v>
      </c>
      <c r="H58">
        <v>573</v>
      </c>
      <c r="I58">
        <v>404</v>
      </c>
      <c r="J58">
        <v>892</v>
      </c>
      <c r="K58">
        <v>379</v>
      </c>
      <c r="L58">
        <v>781</v>
      </c>
      <c r="M58">
        <v>1071</v>
      </c>
      <c r="N58">
        <v>428</v>
      </c>
      <c r="O58">
        <v>1686</v>
      </c>
      <c r="P58">
        <v>-164</v>
      </c>
      <c r="Q58">
        <v>1390</v>
      </c>
      <c r="R58">
        <v>2241</v>
      </c>
      <c r="S58">
        <v>3456</v>
      </c>
      <c r="T58">
        <v>-297</v>
      </c>
      <c r="U58">
        <v>3853</v>
      </c>
      <c r="V58">
        <v>5699</v>
      </c>
      <c r="W58">
        <v>1952</v>
      </c>
      <c r="X58">
        <v>3144</v>
      </c>
      <c r="Y58">
        <v>4462</v>
      </c>
      <c r="Z58">
        <v>5648</v>
      </c>
      <c r="AA58">
        <v>4552</v>
      </c>
      <c r="AB58">
        <v>10836</v>
      </c>
      <c r="AC58">
        <v>3837</v>
      </c>
      <c r="AD58">
        <v>7349</v>
      </c>
      <c r="AE58">
        <v>22055</v>
      </c>
      <c r="AF58">
        <v>12244</v>
      </c>
      <c r="AG58">
        <v>11091</v>
      </c>
      <c r="AH58">
        <v>16404</v>
      </c>
      <c r="AI58">
        <v>31840</v>
      </c>
      <c r="AJ58">
        <v>42134</v>
      </c>
      <c r="AK58">
        <v>20117</v>
      </c>
      <c r="AL58">
        <v>27999</v>
      </c>
      <c r="AM58">
        <v>48347</v>
      </c>
      <c r="AN58">
        <v>58707</v>
      </c>
      <c r="AO58">
        <v>80299</v>
      </c>
      <c r="AP58">
        <v>65900</v>
      </c>
      <c r="AQ58">
        <v>86837</v>
      </c>
      <c r="AR58">
        <v>89414</v>
      </c>
      <c r="AS58">
        <v>105981</v>
      </c>
      <c r="AT58">
        <v>133672</v>
      </c>
      <c r="AU58">
        <v>189492</v>
      </c>
      <c r="AV58">
        <v>291179</v>
      </c>
      <c r="AW58">
        <v>267681</v>
      </c>
      <c r="AX58">
        <v>221162</v>
      </c>
      <c r="AY58">
        <v>221777</v>
      </c>
      <c r="AZ58">
        <v>227825</v>
      </c>
      <c r="BA58">
        <v>183247</v>
      </c>
      <c r="BB58">
        <v>234209</v>
      </c>
      <c r="BC58">
        <v>284527</v>
      </c>
      <c r="BD58">
        <v>455082</v>
      </c>
      <c r="BE58">
        <v>427700</v>
      </c>
      <c r="BF58">
        <v>475273</v>
      </c>
      <c r="BG58">
        <v>497970</v>
      </c>
      <c r="BH58">
        <v>873223</v>
      </c>
      <c r="BI58">
        <v>922392</v>
      </c>
      <c r="BJ58">
        <v>717009</v>
      </c>
      <c r="BK58">
        <v>859738</v>
      </c>
      <c r="BL58">
        <v>857188</v>
      </c>
      <c r="BM58">
        <v>1038736</v>
      </c>
      <c r="BN58">
        <v>804712</v>
      </c>
      <c r="BO58">
        <v>1054402</v>
      </c>
      <c r="BP58">
        <v>1354610</v>
      </c>
      <c r="BQ58">
        <v>1511621</v>
      </c>
      <c r="BR58">
        <v>364251</v>
      </c>
      <c r="BS58">
        <v>-977522</v>
      </c>
      <c r="BT58">
        <v>-463082</v>
      </c>
      <c r="BU58">
        <v>-410096</v>
      </c>
      <c r="BV58">
        <v>-218908</v>
      </c>
      <c r="BW58">
        <v>39574</v>
      </c>
      <c r="BX58">
        <v>107459</v>
      </c>
      <c r="BY58">
        <v>174972</v>
      </c>
      <c r="BZ58">
        <v>284014</v>
      </c>
      <c r="CA58">
        <v>339108</v>
      </c>
      <c r="CB58">
        <v>254551</v>
      </c>
      <c r="CC58">
        <v>466916</v>
      </c>
      <c r="CD58">
        <v>908227</v>
      </c>
      <c r="CE58">
        <v>721314</v>
      </c>
      <c r="CF58">
        <v>1251915</v>
      </c>
      <c r="CG58">
        <v>493344</v>
      </c>
      <c r="CH58">
        <v>560183</v>
      </c>
    </row>
    <row r="59" spans="1:86">
      <c r="A59" t="s">
        <v>770</v>
      </c>
      <c r="B59" t="s">
        <v>88</v>
      </c>
      <c r="C59">
        <v>1000000</v>
      </c>
      <c r="D59" t="s">
        <v>89</v>
      </c>
      <c r="E59" t="s">
        <v>771</v>
      </c>
      <c r="F59" s="10" t="s">
        <v>772</v>
      </c>
      <c r="G59" t="s">
        <v>97</v>
      </c>
      <c r="H59">
        <v>295</v>
      </c>
      <c r="I59">
        <v>116</v>
      </c>
      <c r="J59">
        <v>279</v>
      </c>
      <c r="K59">
        <v>-109</v>
      </c>
      <c r="L59">
        <v>406</v>
      </c>
      <c r="M59">
        <v>238</v>
      </c>
      <c r="N59">
        <v>57</v>
      </c>
      <c r="O59">
        <v>4</v>
      </c>
      <c r="P59">
        <v>-17</v>
      </c>
      <c r="Q59">
        <v>979</v>
      </c>
      <c r="R59">
        <v>476</v>
      </c>
      <c r="S59">
        <v>1424</v>
      </c>
      <c r="T59">
        <v>94</v>
      </c>
      <c r="U59">
        <v>2208</v>
      </c>
      <c r="V59">
        <v>738</v>
      </c>
      <c r="W59">
        <v>703</v>
      </c>
      <c r="X59">
        <v>1637</v>
      </c>
      <c r="Y59">
        <v>1648</v>
      </c>
      <c r="Z59">
        <v>512</v>
      </c>
      <c r="AA59">
        <v>2154</v>
      </c>
      <c r="AB59">
        <v>5503</v>
      </c>
      <c r="AC59">
        <v>120</v>
      </c>
      <c r="AD59">
        <v>3767</v>
      </c>
      <c r="AE59">
        <v>9744</v>
      </c>
      <c r="AF59">
        <v>9785</v>
      </c>
      <c r="AG59">
        <v>5903</v>
      </c>
      <c r="AH59">
        <v>8409</v>
      </c>
      <c r="AI59">
        <v>19931</v>
      </c>
      <c r="AJ59">
        <v>21085</v>
      </c>
      <c r="AK59">
        <v>9395</v>
      </c>
      <c r="AL59">
        <v>14642</v>
      </c>
      <c r="AM59">
        <v>23066</v>
      </c>
      <c r="AN59">
        <v>36673</v>
      </c>
      <c r="AO59">
        <v>47307</v>
      </c>
      <c r="AP59">
        <v>43585</v>
      </c>
      <c r="AQ59">
        <v>45532</v>
      </c>
      <c r="AR59">
        <v>64475</v>
      </c>
      <c r="AS59">
        <v>67695</v>
      </c>
      <c r="AT59">
        <v>74977</v>
      </c>
      <c r="AU59">
        <v>99462</v>
      </c>
      <c r="AV59">
        <v>178942</v>
      </c>
      <c r="AW59">
        <v>168007</v>
      </c>
      <c r="AX59">
        <v>120776</v>
      </c>
      <c r="AY59">
        <v>149493</v>
      </c>
      <c r="AZ59">
        <v>167462</v>
      </c>
      <c r="BA59">
        <v>145837</v>
      </c>
      <c r="BB59">
        <v>156263</v>
      </c>
      <c r="BC59">
        <v>165279</v>
      </c>
      <c r="BD59">
        <v>292153</v>
      </c>
      <c r="BE59">
        <v>204289</v>
      </c>
      <c r="BF59">
        <v>231413</v>
      </c>
      <c r="BG59">
        <v>213654</v>
      </c>
      <c r="BH59">
        <v>471589</v>
      </c>
      <c r="BI59">
        <v>593347</v>
      </c>
      <c r="BJ59">
        <v>434877</v>
      </c>
      <c r="BK59">
        <v>642687</v>
      </c>
      <c r="BL59">
        <v>546652</v>
      </c>
      <c r="BM59">
        <v>586245</v>
      </c>
      <c r="BN59">
        <v>115766</v>
      </c>
      <c r="BO59">
        <v>80424</v>
      </c>
      <c r="BP59">
        <v>328218</v>
      </c>
      <c r="BQ59">
        <v>905680</v>
      </c>
      <c r="BR59">
        <v>768741</v>
      </c>
      <c r="BS59">
        <v>-60053</v>
      </c>
      <c r="BT59">
        <v>-39534</v>
      </c>
      <c r="BU59">
        <v>-22129</v>
      </c>
      <c r="BV59">
        <v>-23792</v>
      </c>
      <c r="BW59">
        <v>238322</v>
      </c>
      <c r="BX59">
        <v>150271</v>
      </c>
      <c r="BY59">
        <v>220439</v>
      </c>
      <c r="BZ59">
        <v>351677</v>
      </c>
      <c r="CA59">
        <v>346600</v>
      </c>
      <c r="CB59">
        <v>246898</v>
      </c>
      <c r="CC59">
        <v>318635</v>
      </c>
      <c r="CD59">
        <v>658208</v>
      </c>
      <c r="CE59">
        <v>612910</v>
      </c>
      <c r="CF59">
        <v>979382</v>
      </c>
      <c r="CG59">
        <v>297041</v>
      </c>
      <c r="CH59">
        <v>298324</v>
      </c>
    </row>
    <row r="60" spans="1:86">
      <c r="A60" t="s">
        <v>773</v>
      </c>
      <c r="B60" t="s">
        <v>88</v>
      </c>
      <c r="C60">
        <v>1000000</v>
      </c>
      <c r="D60" t="s">
        <v>89</v>
      </c>
      <c r="E60" t="s">
        <v>774</v>
      </c>
      <c r="F60" s="10" t="s">
        <v>775</v>
      </c>
      <c r="G60" t="s">
        <v>97</v>
      </c>
      <c r="H60">
        <v>62</v>
      </c>
      <c r="I60">
        <v>131</v>
      </c>
      <c r="J60">
        <v>436</v>
      </c>
      <c r="K60">
        <v>307</v>
      </c>
      <c r="L60">
        <v>214</v>
      </c>
      <c r="M60">
        <v>386</v>
      </c>
      <c r="N60">
        <v>15</v>
      </c>
      <c r="O60">
        <v>1375</v>
      </c>
      <c r="P60">
        <v>-298</v>
      </c>
      <c r="Q60">
        <v>397</v>
      </c>
      <c r="R60">
        <v>1303</v>
      </c>
      <c r="S60">
        <v>1237</v>
      </c>
      <c r="T60">
        <v>-142</v>
      </c>
      <c r="U60">
        <v>990</v>
      </c>
      <c r="V60">
        <v>3236</v>
      </c>
      <c r="W60">
        <v>722</v>
      </c>
      <c r="X60">
        <v>331</v>
      </c>
      <c r="Y60">
        <v>1551</v>
      </c>
      <c r="Z60">
        <v>3141</v>
      </c>
      <c r="AA60">
        <v>1205</v>
      </c>
      <c r="AB60">
        <v>1600</v>
      </c>
      <c r="AC60">
        <v>968</v>
      </c>
      <c r="AD60">
        <v>597</v>
      </c>
      <c r="AE60">
        <v>957</v>
      </c>
      <c r="AF60">
        <v>2142</v>
      </c>
      <c r="AG60">
        <v>4408</v>
      </c>
      <c r="AH60">
        <v>7122</v>
      </c>
      <c r="AI60">
        <v>4957</v>
      </c>
      <c r="AJ60">
        <v>7602</v>
      </c>
      <c r="AK60">
        <v>9412</v>
      </c>
      <c r="AL60">
        <v>7328</v>
      </c>
      <c r="AM60">
        <v>12485</v>
      </c>
      <c r="AN60">
        <v>8091</v>
      </c>
      <c r="AO60">
        <v>6155</v>
      </c>
      <c r="AP60">
        <v>9390</v>
      </c>
      <c r="AQ60">
        <v>8625</v>
      </c>
      <c r="AR60">
        <v>15011</v>
      </c>
      <c r="AS60">
        <v>16998</v>
      </c>
      <c r="AT60">
        <v>30668</v>
      </c>
      <c r="AU60">
        <v>47330</v>
      </c>
      <c r="AV60">
        <v>88676</v>
      </c>
      <c r="AW60">
        <v>71764</v>
      </c>
      <c r="AX60">
        <v>60555</v>
      </c>
      <c r="AY60">
        <v>40936</v>
      </c>
      <c r="AZ60">
        <v>51770</v>
      </c>
      <c r="BA60">
        <v>57251</v>
      </c>
      <c r="BB60">
        <v>83529</v>
      </c>
      <c r="BC60">
        <v>126270</v>
      </c>
      <c r="BD60">
        <v>128977</v>
      </c>
      <c r="BE60">
        <v>180720</v>
      </c>
      <c r="BF60">
        <v>151632</v>
      </c>
      <c r="BG60">
        <v>117665</v>
      </c>
      <c r="BH60">
        <v>240651</v>
      </c>
      <c r="BI60">
        <v>152822</v>
      </c>
      <c r="BJ60">
        <v>150406</v>
      </c>
      <c r="BK60">
        <v>221609</v>
      </c>
      <c r="BL60">
        <v>391472</v>
      </c>
      <c r="BM60">
        <v>497314</v>
      </c>
      <c r="BN60">
        <v>591586</v>
      </c>
      <c r="BO60">
        <v>720272</v>
      </c>
      <c r="BP60">
        <v>750477</v>
      </c>
      <c r="BQ60">
        <v>785011</v>
      </c>
      <c r="BR60">
        <v>-220948</v>
      </c>
      <c r="BS60">
        <v>-463927</v>
      </c>
      <c r="BT60">
        <v>-301524</v>
      </c>
      <c r="BU60">
        <v>-288289</v>
      </c>
      <c r="BV60">
        <v>-121836</v>
      </c>
      <c r="BW60">
        <v>-160331</v>
      </c>
      <c r="BX60">
        <v>12155</v>
      </c>
      <c r="BY60">
        <v>-66588</v>
      </c>
      <c r="BZ60">
        <v>-37437</v>
      </c>
      <c r="CA60">
        <v>5627</v>
      </c>
      <c r="CB60">
        <v>41764</v>
      </c>
      <c r="CC60">
        <v>74486</v>
      </c>
      <c r="CD60">
        <v>227038</v>
      </c>
      <c r="CE60">
        <v>192167</v>
      </c>
      <c r="CF60">
        <v>90058</v>
      </c>
      <c r="CG60">
        <v>188797</v>
      </c>
      <c r="CH60">
        <v>225114</v>
      </c>
    </row>
    <row r="61" spans="1:86">
      <c r="A61" t="s">
        <v>776</v>
      </c>
      <c r="B61" t="s">
        <v>88</v>
      </c>
      <c r="C61">
        <v>1000000</v>
      </c>
      <c r="D61" t="s">
        <v>89</v>
      </c>
      <c r="E61" t="s">
        <v>777</v>
      </c>
      <c r="F61" s="10" t="s">
        <v>778</v>
      </c>
      <c r="G61" t="s">
        <v>97</v>
      </c>
      <c r="H61">
        <v>216</v>
      </c>
      <c r="I61">
        <v>157</v>
      </c>
      <c r="J61">
        <v>177</v>
      </c>
      <c r="K61">
        <v>181</v>
      </c>
      <c r="L61">
        <v>161</v>
      </c>
      <c r="M61">
        <v>447</v>
      </c>
      <c r="N61">
        <v>356</v>
      </c>
      <c r="O61">
        <v>307</v>
      </c>
      <c r="P61">
        <v>151</v>
      </c>
      <c r="Q61">
        <v>14</v>
      </c>
      <c r="R61">
        <v>462</v>
      </c>
      <c r="S61">
        <v>795</v>
      </c>
      <c r="T61">
        <v>-249</v>
      </c>
      <c r="U61">
        <v>655</v>
      </c>
      <c r="V61">
        <v>1725</v>
      </c>
      <c r="W61">
        <v>527</v>
      </c>
      <c r="X61">
        <v>1176</v>
      </c>
      <c r="Y61">
        <v>1263</v>
      </c>
      <c r="Z61">
        <v>1995</v>
      </c>
      <c r="AA61">
        <v>1193</v>
      </c>
      <c r="AB61">
        <v>3733</v>
      </c>
      <c r="AC61">
        <v>2749</v>
      </c>
      <c r="AD61">
        <v>2985</v>
      </c>
      <c r="AE61">
        <v>11354</v>
      </c>
      <c r="AF61">
        <v>317</v>
      </c>
      <c r="AG61">
        <v>780</v>
      </c>
      <c r="AH61">
        <v>873</v>
      </c>
      <c r="AI61">
        <v>6952</v>
      </c>
      <c r="AJ61">
        <v>13447</v>
      </c>
      <c r="AK61">
        <v>1310</v>
      </c>
      <c r="AL61">
        <v>6029</v>
      </c>
      <c r="AM61">
        <v>12796</v>
      </c>
      <c r="AN61">
        <v>13943</v>
      </c>
      <c r="AO61">
        <v>26837</v>
      </c>
      <c r="AP61">
        <v>12925</v>
      </c>
      <c r="AQ61">
        <v>32680</v>
      </c>
      <c r="AR61">
        <v>9928</v>
      </c>
      <c r="AS61">
        <v>21288</v>
      </c>
      <c r="AT61">
        <v>28027</v>
      </c>
      <c r="AU61">
        <v>42700</v>
      </c>
      <c r="AV61">
        <v>23561</v>
      </c>
      <c r="AW61">
        <v>27910</v>
      </c>
      <c r="AX61">
        <v>39831</v>
      </c>
      <c r="AY61">
        <v>31348</v>
      </c>
      <c r="AZ61">
        <v>8593</v>
      </c>
      <c r="BA61">
        <v>-19841</v>
      </c>
      <c r="BB61">
        <v>-5583</v>
      </c>
      <c r="BC61">
        <v>-7022</v>
      </c>
      <c r="BD61">
        <v>33952</v>
      </c>
      <c r="BE61">
        <v>42691</v>
      </c>
      <c r="BF61">
        <v>92228</v>
      </c>
      <c r="BG61">
        <v>166651</v>
      </c>
      <c r="BH61">
        <v>160983</v>
      </c>
      <c r="BI61">
        <v>176223</v>
      </c>
      <c r="BJ61">
        <v>131726</v>
      </c>
      <c r="BK61">
        <v>-4558</v>
      </c>
      <c r="BL61">
        <v>-80936</v>
      </c>
      <c r="BM61">
        <v>-44823</v>
      </c>
      <c r="BN61">
        <v>97360</v>
      </c>
      <c r="BO61">
        <v>253706</v>
      </c>
      <c r="BP61">
        <v>275915</v>
      </c>
      <c r="BQ61">
        <v>-179070</v>
      </c>
      <c r="BR61">
        <v>-183542</v>
      </c>
      <c r="BS61">
        <v>-453542</v>
      </c>
      <c r="BT61">
        <v>-122024</v>
      </c>
      <c r="BU61">
        <v>-99678</v>
      </c>
      <c r="BV61">
        <v>-73280</v>
      </c>
      <c r="BW61">
        <v>-38417</v>
      </c>
      <c r="BX61">
        <v>-54967</v>
      </c>
      <c r="BY61">
        <v>21121</v>
      </c>
      <c r="BZ61">
        <v>-30226</v>
      </c>
      <c r="CA61">
        <v>-13119</v>
      </c>
      <c r="CB61">
        <v>-34111</v>
      </c>
      <c r="CC61">
        <v>73795</v>
      </c>
      <c r="CD61">
        <v>22981</v>
      </c>
      <c r="CE61">
        <v>-83763</v>
      </c>
      <c r="CF61">
        <v>182475</v>
      </c>
      <c r="CG61">
        <v>7506</v>
      </c>
      <c r="CH61">
        <v>36745</v>
      </c>
    </row>
    <row r="62" spans="1:86">
      <c r="A62" t="s">
        <v>779</v>
      </c>
      <c r="B62" t="s">
        <v>88</v>
      </c>
      <c r="C62">
        <v>1000000</v>
      </c>
      <c r="D62" t="s">
        <v>89</v>
      </c>
      <c r="E62" t="s">
        <v>780</v>
      </c>
      <c r="F62" s="10" t="s">
        <v>781</v>
      </c>
      <c r="G62" t="s">
        <v>97</v>
      </c>
      <c r="H62">
        <v>-1012</v>
      </c>
      <c r="I62">
        <v>-358</v>
      </c>
      <c r="J62">
        <v>1187</v>
      </c>
      <c r="K62">
        <v>960</v>
      </c>
      <c r="L62">
        <v>2032</v>
      </c>
      <c r="M62">
        <v>-220</v>
      </c>
      <c r="N62">
        <v>1485</v>
      </c>
      <c r="O62">
        <v>297</v>
      </c>
      <c r="P62">
        <v>777</v>
      </c>
      <c r="Q62">
        <v>1874</v>
      </c>
      <c r="R62">
        <v>-190</v>
      </c>
      <c r="S62">
        <v>-461</v>
      </c>
      <c r="T62">
        <v>1042</v>
      </c>
      <c r="U62">
        <v>2903</v>
      </c>
      <c r="V62">
        <v>-325</v>
      </c>
      <c r="W62">
        <v>1486</v>
      </c>
      <c r="X62">
        <v>2642</v>
      </c>
      <c r="Y62">
        <v>3687</v>
      </c>
      <c r="Z62">
        <v>1687</v>
      </c>
      <c r="AA62">
        <v>5093</v>
      </c>
      <c r="AB62">
        <v>1291</v>
      </c>
      <c r="AC62">
        <v>2357</v>
      </c>
      <c r="AD62">
        <v>8250</v>
      </c>
      <c r="AE62">
        <v>8978</v>
      </c>
      <c r="AF62">
        <v>6419</v>
      </c>
      <c r="AG62">
        <v>7526</v>
      </c>
      <c r="AH62">
        <v>19467</v>
      </c>
      <c r="AI62">
        <v>23519</v>
      </c>
      <c r="AJ62">
        <v>16305</v>
      </c>
      <c r="AK62">
        <v>-13187</v>
      </c>
      <c r="AL62">
        <v>28981</v>
      </c>
      <c r="AM62">
        <v>24226</v>
      </c>
      <c r="AN62">
        <v>34159</v>
      </c>
      <c r="AO62">
        <v>47947</v>
      </c>
      <c r="AP62">
        <v>46971</v>
      </c>
      <c r="AQ62">
        <v>90749</v>
      </c>
      <c r="AR62">
        <v>43281</v>
      </c>
      <c r="AS62">
        <v>31327</v>
      </c>
      <c r="AT62">
        <v>112868</v>
      </c>
      <c r="AU62">
        <v>114140</v>
      </c>
      <c r="AV62">
        <v>142434</v>
      </c>
      <c r="AW62">
        <v>-4718</v>
      </c>
      <c r="AX62">
        <v>81786</v>
      </c>
      <c r="AY62">
        <v>102867</v>
      </c>
      <c r="AZ62">
        <v>-48021</v>
      </c>
      <c r="BA62">
        <v>22774</v>
      </c>
      <c r="BB62">
        <v>136225</v>
      </c>
      <c r="BC62">
        <v>201978</v>
      </c>
      <c r="BD62">
        <v>45217</v>
      </c>
      <c r="BE62">
        <v>241495</v>
      </c>
      <c r="BF62">
        <v>171260</v>
      </c>
      <c r="BG62">
        <v>321571</v>
      </c>
      <c r="BH62">
        <v>148098</v>
      </c>
      <c r="BI62">
        <v>249229</v>
      </c>
      <c r="BJ62">
        <v>400785</v>
      </c>
      <c r="BK62">
        <v>289294</v>
      </c>
      <c r="BL62">
        <v>221368</v>
      </c>
      <c r="BM62">
        <v>293486</v>
      </c>
      <c r="BN62">
        <v>589499</v>
      </c>
      <c r="BO62">
        <v>529615</v>
      </c>
      <c r="BP62">
        <v>599745</v>
      </c>
      <c r="BQ62">
        <v>799286</v>
      </c>
      <c r="BR62">
        <v>-664074</v>
      </c>
      <c r="BS62">
        <v>-1193707</v>
      </c>
      <c r="BT62">
        <v>18859</v>
      </c>
      <c r="BU62">
        <v>137643</v>
      </c>
      <c r="BV62">
        <v>234167</v>
      </c>
      <c r="BW62">
        <v>-214575</v>
      </c>
      <c r="BX62">
        <v>193180</v>
      </c>
      <c r="BY62">
        <v>18267</v>
      </c>
      <c r="BZ62">
        <v>175481</v>
      </c>
      <c r="CA62">
        <v>54843</v>
      </c>
      <c r="CB62">
        <v>-15790</v>
      </c>
      <c r="CC62">
        <v>148897</v>
      </c>
      <c r="CD62">
        <v>-197028</v>
      </c>
      <c r="CE62">
        <v>1875880</v>
      </c>
      <c r="CF62">
        <v>1035979</v>
      </c>
      <c r="CG62">
        <v>-994986</v>
      </c>
      <c r="CH62">
        <v>-351928</v>
      </c>
    </row>
    <row r="63" spans="1:86">
      <c r="A63" t="s">
        <v>782</v>
      </c>
      <c r="B63" t="s">
        <v>88</v>
      </c>
      <c r="C63">
        <v>1000000</v>
      </c>
      <c r="D63" t="s">
        <v>89</v>
      </c>
      <c r="E63" t="s">
        <v>783</v>
      </c>
      <c r="F63" s="10" t="s">
        <v>784</v>
      </c>
      <c r="G63" t="s">
        <v>97</v>
      </c>
      <c r="H63">
        <v>-1015</v>
      </c>
      <c r="I63">
        <v>-387</v>
      </c>
      <c r="J63">
        <v>1143</v>
      </c>
      <c r="K63">
        <v>931</v>
      </c>
      <c r="L63">
        <v>1946</v>
      </c>
      <c r="M63">
        <v>-261</v>
      </c>
      <c r="N63">
        <v>1482</v>
      </c>
      <c r="O63">
        <v>297</v>
      </c>
      <c r="P63">
        <v>761</v>
      </c>
      <c r="Q63">
        <v>1862</v>
      </c>
      <c r="R63">
        <v>-186</v>
      </c>
      <c r="S63">
        <v>-453</v>
      </c>
      <c r="T63">
        <v>1032</v>
      </c>
      <c r="U63">
        <v>2902</v>
      </c>
      <c r="V63">
        <v>-339</v>
      </c>
      <c r="W63">
        <v>1445</v>
      </c>
      <c r="X63">
        <v>2658</v>
      </c>
      <c r="Y63">
        <v>3669</v>
      </c>
      <c r="Z63">
        <v>1662</v>
      </c>
      <c r="AA63">
        <v>5099</v>
      </c>
      <c r="AB63">
        <v>1312</v>
      </c>
      <c r="AC63">
        <v>2339</v>
      </c>
      <c r="AD63">
        <v>8230</v>
      </c>
      <c r="AE63">
        <v>9008</v>
      </c>
      <c r="AF63">
        <v>6416</v>
      </c>
      <c r="AG63">
        <v>7468</v>
      </c>
      <c r="AH63">
        <v>19406</v>
      </c>
      <c r="AI63">
        <v>23456</v>
      </c>
      <c r="AJ63">
        <v>16323</v>
      </c>
      <c r="AK63">
        <v>-13275</v>
      </c>
      <c r="AL63">
        <v>28908</v>
      </c>
      <c r="AM63">
        <v>24179</v>
      </c>
      <c r="AN63">
        <v>34112</v>
      </c>
      <c r="AO63">
        <v>47603</v>
      </c>
      <c r="AP63">
        <v>46491</v>
      </c>
      <c r="AQ63">
        <v>90433</v>
      </c>
      <c r="AR63">
        <v>42488</v>
      </c>
      <c r="AS63">
        <v>30872</v>
      </c>
      <c r="AT63">
        <v>111738</v>
      </c>
      <c r="AU63">
        <v>113395</v>
      </c>
      <c r="AV63">
        <v>140685</v>
      </c>
      <c r="AW63">
        <v>-7168</v>
      </c>
      <c r="AX63">
        <v>81079</v>
      </c>
      <c r="AY63">
        <v>98660</v>
      </c>
      <c r="AZ63">
        <v>-47004</v>
      </c>
      <c r="BA63">
        <v>20436</v>
      </c>
      <c r="BB63">
        <v>137214</v>
      </c>
      <c r="BC63">
        <v>192435</v>
      </c>
      <c r="BD63">
        <v>48148</v>
      </c>
      <c r="BE63">
        <v>238413</v>
      </c>
      <c r="BF63">
        <v>169486</v>
      </c>
      <c r="BG63">
        <v>313064</v>
      </c>
      <c r="BH63">
        <v>143750</v>
      </c>
      <c r="BI63">
        <v>238266</v>
      </c>
      <c r="BJ63">
        <v>395040</v>
      </c>
      <c r="BK63">
        <v>281585</v>
      </c>
      <c r="BL63">
        <v>226181</v>
      </c>
      <c r="BM63">
        <v>296126</v>
      </c>
      <c r="BN63">
        <v>585162</v>
      </c>
      <c r="BO63">
        <v>529893</v>
      </c>
      <c r="BP63">
        <v>584126</v>
      </c>
      <c r="BQ63">
        <v>808480</v>
      </c>
      <c r="BR63">
        <v>-655125</v>
      </c>
      <c r="BS63">
        <v>-1207129</v>
      </c>
      <c r="BT63">
        <v>8315</v>
      </c>
      <c r="BU63">
        <v>122117</v>
      </c>
      <c r="BV63">
        <v>236808</v>
      </c>
      <c r="BW63">
        <v>-208043</v>
      </c>
      <c r="BX63">
        <v>182883</v>
      </c>
      <c r="BY63">
        <v>1148</v>
      </c>
      <c r="BZ63">
        <v>68365</v>
      </c>
      <c r="CA63">
        <v>54160</v>
      </c>
      <c r="CB63">
        <v>18509</v>
      </c>
      <c r="CC63">
        <v>162043</v>
      </c>
      <c r="CD63">
        <v>-202831</v>
      </c>
      <c r="CE63">
        <v>1877856</v>
      </c>
      <c r="CF63">
        <v>1070673</v>
      </c>
      <c r="CG63">
        <v>-994270</v>
      </c>
      <c r="CH63">
        <v>-330239</v>
      </c>
    </row>
    <row r="64" spans="1:86">
      <c r="A64" t="s">
        <v>785</v>
      </c>
      <c r="B64" t="s">
        <v>88</v>
      </c>
      <c r="C64">
        <v>1000000</v>
      </c>
      <c r="D64" t="s">
        <v>89</v>
      </c>
      <c r="E64" t="s">
        <v>786</v>
      </c>
      <c r="F64" s="10" t="s">
        <v>787</v>
      </c>
      <c r="G64" t="s">
        <v>97</v>
      </c>
      <c r="H64">
        <v>3</v>
      </c>
      <c r="I64">
        <v>29</v>
      </c>
      <c r="J64">
        <v>44</v>
      </c>
      <c r="K64">
        <v>29</v>
      </c>
      <c r="L64">
        <v>86</v>
      </c>
      <c r="M64">
        <v>41</v>
      </c>
      <c r="N64">
        <v>3</v>
      </c>
      <c r="O64">
        <v>0</v>
      </c>
      <c r="P64">
        <v>16</v>
      </c>
      <c r="Q64">
        <v>12</v>
      </c>
      <c r="R64">
        <v>-4</v>
      </c>
      <c r="S64">
        <v>-8</v>
      </c>
      <c r="T64">
        <v>10</v>
      </c>
      <c r="U64">
        <v>1</v>
      </c>
      <c r="V64">
        <v>14</v>
      </c>
      <c r="W64">
        <v>41</v>
      </c>
      <c r="X64">
        <v>-16</v>
      </c>
      <c r="Y64">
        <v>18</v>
      </c>
      <c r="Z64">
        <v>25</v>
      </c>
      <c r="AA64">
        <v>-6</v>
      </c>
      <c r="AB64">
        <v>-21</v>
      </c>
      <c r="AC64">
        <v>18</v>
      </c>
      <c r="AD64">
        <v>20</v>
      </c>
      <c r="AE64">
        <v>-30</v>
      </c>
      <c r="AF64">
        <v>3</v>
      </c>
      <c r="AG64">
        <v>58</v>
      </c>
      <c r="AH64">
        <v>61</v>
      </c>
      <c r="AI64">
        <v>63</v>
      </c>
      <c r="AJ64">
        <v>-18</v>
      </c>
      <c r="AK64">
        <v>88</v>
      </c>
      <c r="AL64">
        <v>73</v>
      </c>
      <c r="AM64">
        <v>47</v>
      </c>
      <c r="AN64">
        <v>47</v>
      </c>
      <c r="AO64">
        <v>344</v>
      </c>
      <c r="AP64">
        <v>480</v>
      </c>
      <c r="AQ64">
        <v>316</v>
      </c>
      <c r="AR64">
        <v>793</v>
      </c>
      <c r="AS64">
        <v>455</v>
      </c>
      <c r="AT64">
        <v>1130</v>
      </c>
      <c r="AU64">
        <v>745</v>
      </c>
      <c r="AV64">
        <v>1749</v>
      </c>
      <c r="AW64">
        <v>2450</v>
      </c>
      <c r="AX64">
        <v>707</v>
      </c>
      <c r="AY64">
        <v>4207</v>
      </c>
      <c r="AZ64">
        <v>-1017</v>
      </c>
      <c r="BA64">
        <v>2338</v>
      </c>
      <c r="BB64">
        <v>-989</v>
      </c>
      <c r="BC64">
        <v>9543</v>
      </c>
      <c r="BD64">
        <v>-2931</v>
      </c>
      <c r="BE64">
        <v>3082</v>
      </c>
      <c r="BF64">
        <v>1774</v>
      </c>
      <c r="BG64">
        <v>8507</v>
      </c>
      <c r="BH64">
        <v>4348</v>
      </c>
      <c r="BI64">
        <v>10963</v>
      </c>
      <c r="BJ64">
        <v>5745</v>
      </c>
      <c r="BK64">
        <v>7709</v>
      </c>
      <c r="BL64">
        <v>-4813</v>
      </c>
      <c r="BM64">
        <v>-2640</v>
      </c>
      <c r="BN64">
        <v>4337</v>
      </c>
      <c r="BO64">
        <v>-278</v>
      </c>
      <c r="BP64">
        <v>15619</v>
      </c>
      <c r="BQ64">
        <v>-9194</v>
      </c>
      <c r="BR64">
        <v>-8949</v>
      </c>
      <c r="BS64">
        <v>13422</v>
      </c>
      <c r="BT64">
        <v>10544</v>
      </c>
      <c r="BU64">
        <v>15526</v>
      </c>
      <c r="BV64">
        <v>-2641</v>
      </c>
      <c r="BW64">
        <v>-6532</v>
      </c>
      <c r="BX64">
        <v>10297</v>
      </c>
      <c r="BY64">
        <v>17119</v>
      </c>
      <c r="BZ64">
        <v>107116</v>
      </c>
      <c r="CA64">
        <v>683</v>
      </c>
      <c r="CB64">
        <v>-34299</v>
      </c>
      <c r="CC64">
        <v>-13146</v>
      </c>
      <c r="CD64">
        <v>5803</v>
      </c>
      <c r="CE64">
        <v>-1976</v>
      </c>
      <c r="CF64">
        <v>-34694</v>
      </c>
      <c r="CG64">
        <v>-716</v>
      </c>
      <c r="CH64">
        <v>-21689</v>
      </c>
    </row>
    <row r="65" spans="1:86">
      <c r="A65" t="s">
        <v>788</v>
      </c>
      <c r="B65" t="s">
        <v>88</v>
      </c>
      <c r="C65">
        <v>1000000</v>
      </c>
      <c r="D65" t="s">
        <v>89</v>
      </c>
      <c r="E65" t="s">
        <v>789</v>
      </c>
      <c r="F65" s="10" t="s">
        <v>790</v>
      </c>
      <c r="G65" t="s">
        <v>97</v>
      </c>
      <c r="H65">
        <v>142</v>
      </c>
      <c r="I65">
        <v>422</v>
      </c>
      <c r="J65">
        <v>235</v>
      </c>
      <c r="K65">
        <v>561</v>
      </c>
      <c r="L65">
        <v>446</v>
      </c>
      <c r="M65">
        <v>487</v>
      </c>
      <c r="N65">
        <v>692</v>
      </c>
      <c r="O65">
        <v>934</v>
      </c>
      <c r="P65">
        <v>26</v>
      </c>
      <c r="Q65">
        <v>476</v>
      </c>
      <c r="R65">
        <v>1282</v>
      </c>
      <c r="S65">
        <v>2016</v>
      </c>
      <c r="T65">
        <v>870</v>
      </c>
      <c r="U65">
        <v>1845</v>
      </c>
      <c r="V65">
        <v>2177</v>
      </c>
      <c r="W65">
        <v>492</v>
      </c>
      <c r="X65">
        <v>1509</v>
      </c>
      <c r="Y65">
        <v>1984</v>
      </c>
      <c r="Z65">
        <v>1207</v>
      </c>
      <c r="AA65">
        <v>1581</v>
      </c>
      <c r="AB65">
        <v>3230</v>
      </c>
      <c r="AC65">
        <v>461</v>
      </c>
      <c r="AD65">
        <v>3392</v>
      </c>
      <c r="AE65">
        <v>12404</v>
      </c>
      <c r="AF65">
        <v>10928</v>
      </c>
      <c r="AG65">
        <v>7973</v>
      </c>
      <c r="AH65">
        <v>11965</v>
      </c>
      <c r="AI65">
        <v>17757</v>
      </c>
      <c r="AJ65">
        <v>17243</v>
      </c>
      <c r="AK65">
        <v>17548</v>
      </c>
      <c r="AL65">
        <v>10043</v>
      </c>
      <c r="AM65">
        <v>14248</v>
      </c>
      <c r="AN65">
        <v>16821</v>
      </c>
      <c r="AO65">
        <v>46952</v>
      </c>
      <c r="AP65">
        <v>53790</v>
      </c>
      <c r="AQ65">
        <v>133967</v>
      </c>
      <c r="AR65">
        <v>78898</v>
      </c>
      <c r="AS65">
        <v>16004</v>
      </c>
      <c r="AT65">
        <v>115754</v>
      </c>
      <c r="AU65">
        <v>134066</v>
      </c>
      <c r="AV65">
        <v>232562</v>
      </c>
      <c r="AW65">
        <v>100565</v>
      </c>
      <c r="AX65">
        <v>64136</v>
      </c>
      <c r="AY65">
        <v>137165</v>
      </c>
      <c r="AZ65">
        <v>115696</v>
      </c>
      <c r="BA65">
        <v>244045</v>
      </c>
      <c r="BB65">
        <v>315219</v>
      </c>
      <c r="BC65">
        <v>409779</v>
      </c>
      <c r="BD65">
        <v>193109</v>
      </c>
      <c r="BE65">
        <v>374942</v>
      </c>
      <c r="BF65">
        <v>516456</v>
      </c>
      <c r="BG65">
        <v>531220</v>
      </c>
      <c r="BH65">
        <v>735358</v>
      </c>
      <c r="BI65">
        <v>695548</v>
      </c>
      <c r="BJ65">
        <v>742586</v>
      </c>
      <c r="BK65">
        <v>761500</v>
      </c>
      <c r="BL65">
        <v>340890</v>
      </c>
      <c r="BM65">
        <v>238936</v>
      </c>
      <c r="BN65">
        <v>558528</v>
      </c>
      <c r="BO65">
        <v>667994</v>
      </c>
      <c r="BP65">
        <v>956744</v>
      </c>
      <c r="BQ65">
        <v>1494193</v>
      </c>
      <c r="BR65">
        <v>1477818</v>
      </c>
      <c r="BS65">
        <v>491579</v>
      </c>
      <c r="BT65">
        <v>92202</v>
      </c>
      <c r="BU65">
        <v>253369</v>
      </c>
      <c r="BV65">
        <v>807670</v>
      </c>
      <c r="BW65">
        <v>622820</v>
      </c>
      <c r="BX65">
        <v>642467</v>
      </c>
      <c r="BY65">
        <v>435808</v>
      </c>
      <c r="BZ65">
        <v>233949</v>
      </c>
      <c r="CA65">
        <v>881434</v>
      </c>
      <c r="CB65">
        <v>508666</v>
      </c>
      <c r="CC65">
        <v>1183652</v>
      </c>
      <c r="CD65">
        <v>1211211</v>
      </c>
      <c r="CE65">
        <v>1517746</v>
      </c>
      <c r="CF65">
        <v>-229977</v>
      </c>
      <c r="CG65">
        <v>1414134</v>
      </c>
      <c r="CH65">
        <v>1850091</v>
      </c>
    </row>
    <row r="66" spans="1:86">
      <c r="A66" t="s">
        <v>791</v>
      </c>
      <c r="B66" t="s">
        <v>88</v>
      </c>
      <c r="C66">
        <v>1000000</v>
      </c>
      <c r="D66" t="s">
        <v>89</v>
      </c>
      <c r="E66" t="s">
        <v>792</v>
      </c>
      <c r="F66" s="10" t="s">
        <v>793</v>
      </c>
      <c r="G66" t="s">
        <v>97</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2379</v>
      </c>
      <c r="AK66">
        <v>1266</v>
      </c>
      <c r="AL66">
        <v>-241</v>
      </c>
      <c r="AM66">
        <v>483</v>
      </c>
      <c r="AN66">
        <v>6921</v>
      </c>
      <c r="AO66">
        <v>34406</v>
      </c>
      <c r="AP66">
        <v>31201</v>
      </c>
      <c r="AQ66">
        <v>109890</v>
      </c>
      <c r="AR66">
        <v>33623</v>
      </c>
      <c r="AS66">
        <v>-40461</v>
      </c>
      <c r="AT66">
        <v>54087</v>
      </c>
      <c r="AU66">
        <v>10249</v>
      </c>
      <c r="AV66">
        <v>48349</v>
      </c>
      <c r="AW66">
        <v>23944</v>
      </c>
      <c r="AX66">
        <v>22766</v>
      </c>
      <c r="AY66">
        <v>91145</v>
      </c>
      <c r="AZ66">
        <v>71261</v>
      </c>
      <c r="BA66">
        <v>41173</v>
      </c>
      <c r="BB66">
        <v>3753</v>
      </c>
      <c r="BC66">
        <v>19125</v>
      </c>
      <c r="BD66">
        <v>45686</v>
      </c>
      <c r="BE66">
        <v>142013</v>
      </c>
      <c r="BF66">
        <v>148789</v>
      </c>
      <c r="BG66">
        <v>157078</v>
      </c>
      <c r="BH66">
        <v>292793</v>
      </c>
      <c r="BI66">
        <v>261468</v>
      </c>
      <c r="BJ66">
        <v>232102</v>
      </c>
      <c r="BK66">
        <v>440062</v>
      </c>
      <c r="BL66">
        <v>-20235</v>
      </c>
      <c r="BM66">
        <v>-225054</v>
      </c>
      <c r="BN66">
        <v>-138321</v>
      </c>
      <c r="BO66">
        <v>125121</v>
      </c>
      <c r="BP66">
        <v>311630</v>
      </c>
      <c r="BQ66">
        <v>747309</v>
      </c>
      <c r="BR66">
        <v>746477</v>
      </c>
      <c r="BS66">
        <v>-516344</v>
      </c>
      <c r="BT66">
        <v>-526881</v>
      </c>
      <c r="BU66">
        <v>-92575</v>
      </c>
      <c r="BV66">
        <v>54702</v>
      </c>
      <c r="BW66">
        <v>50690</v>
      </c>
      <c r="BX66">
        <v>25688</v>
      </c>
      <c r="BY66">
        <v>5234</v>
      </c>
      <c r="BZ66">
        <v>-122980</v>
      </c>
      <c r="CA66">
        <v>165309</v>
      </c>
      <c r="CB66">
        <v>169154</v>
      </c>
      <c r="CC66">
        <v>712779</v>
      </c>
      <c r="CD66">
        <v>763454</v>
      </c>
      <c r="CE66">
        <v>439535</v>
      </c>
      <c r="CF66">
        <v>17606</v>
      </c>
      <c r="CG66">
        <v>1134490</v>
      </c>
      <c r="CH66">
        <v>885629</v>
      </c>
    </row>
    <row r="67" spans="1:86">
      <c r="A67" t="s">
        <v>794</v>
      </c>
      <c r="B67" t="s">
        <v>88</v>
      </c>
      <c r="C67">
        <v>1000000</v>
      </c>
      <c r="D67" t="s">
        <v>89</v>
      </c>
      <c r="E67" t="s">
        <v>795</v>
      </c>
      <c r="F67" s="10" t="s">
        <v>796</v>
      </c>
      <c r="G67" t="s">
        <v>97</v>
      </c>
      <c r="H67">
        <v>29</v>
      </c>
      <c r="I67">
        <v>300</v>
      </c>
      <c r="J67">
        <v>100</v>
      </c>
      <c r="K67">
        <v>300</v>
      </c>
      <c r="L67">
        <v>300</v>
      </c>
      <c r="M67">
        <v>200</v>
      </c>
      <c r="N67">
        <v>95</v>
      </c>
      <c r="O67">
        <v>433</v>
      </c>
      <c r="P67">
        <v>-587</v>
      </c>
      <c r="Q67">
        <v>-243</v>
      </c>
      <c r="R67">
        <v>316</v>
      </c>
      <c r="S67">
        <v>955</v>
      </c>
      <c r="T67">
        <v>-646</v>
      </c>
      <c r="U67">
        <v>240</v>
      </c>
      <c r="V67">
        <v>874</v>
      </c>
      <c r="W67">
        <v>-1357</v>
      </c>
      <c r="X67">
        <v>133</v>
      </c>
      <c r="Y67">
        <v>989</v>
      </c>
      <c r="Z67">
        <v>-36</v>
      </c>
      <c r="AA67">
        <v>-644</v>
      </c>
      <c r="AB67">
        <v>387</v>
      </c>
      <c r="AC67">
        <v>-730</v>
      </c>
      <c r="AD67">
        <v>988</v>
      </c>
      <c r="AE67">
        <v>5135</v>
      </c>
      <c r="AF67">
        <v>3913</v>
      </c>
      <c r="AG67">
        <v>3203</v>
      </c>
      <c r="AH67">
        <v>7738</v>
      </c>
      <c r="AI67">
        <v>14890</v>
      </c>
      <c r="AJ67">
        <v>7221</v>
      </c>
      <c r="AK67">
        <v>7753</v>
      </c>
      <c r="AL67">
        <v>6752</v>
      </c>
      <c r="AM67">
        <v>5807</v>
      </c>
      <c r="AN67">
        <v>3021</v>
      </c>
      <c r="AO67">
        <v>2913</v>
      </c>
      <c r="AP67">
        <v>2987</v>
      </c>
      <c r="AQ67">
        <v>9761</v>
      </c>
      <c r="AR67">
        <v>13362</v>
      </c>
      <c r="AS67">
        <v>12907</v>
      </c>
      <c r="AT67">
        <v>11251</v>
      </c>
      <c r="AU67">
        <v>12054</v>
      </c>
      <c r="AV67">
        <v>9299</v>
      </c>
      <c r="AW67">
        <v>12288</v>
      </c>
      <c r="AX67">
        <v>21679</v>
      </c>
      <c r="AY67">
        <v>6556</v>
      </c>
      <c r="AZ67">
        <v>4443</v>
      </c>
      <c r="BA67">
        <v>28769</v>
      </c>
      <c r="BB67">
        <v>41039</v>
      </c>
      <c r="BC67">
        <v>36581</v>
      </c>
      <c r="BD67">
        <v>-4865</v>
      </c>
      <c r="BE67">
        <v>-1763</v>
      </c>
      <c r="BF67">
        <v>-28109</v>
      </c>
      <c r="BG67">
        <v>-51454</v>
      </c>
      <c r="BH67">
        <v>-15076</v>
      </c>
      <c r="BI67">
        <v>-7595</v>
      </c>
      <c r="BJ67">
        <v>25039</v>
      </c>
      <c r="BK67">
        <v>29753</v>
      </c>
      <c r="BL67">
        <v>58114</v>
      </c>
      <c r="BM67">
        <v>68246</v>
      </c>
      <c r="BN67">
        <v>94729</v>
      </c>
      <c r="BO67">
        <v>89062</v>
      </c>
      <c r="BP67">
        <v>62340</v>
      </c>
      <c r="BQ67">
        <v>138573</v>
      </c>
      <c r="BR67">
        <v>630513</v>
      </c>
      <c r="BS67">
        <v>319834</v>
      </c>
      <c r="BT67">
        <v>184214</v>
      </c>
      <c r="BU67">
        <v>94859</v>
      </c>
      <c r="BV67">
        <v>120591</v>
      </c>
      <c r="BW67">
        <v>161010</v>
      </c>
      <c r="BX67">
        <v>222616</v>
      </c>
      <c r="BY67">
        <v>200644</v>
      </c>
      <c r="BZ67">
        <v>239977</v>
      </c>
      <c r="CA67">
        <v>380283</v>
      </c>
      <c r="CB67">
        <v>180271</v>
      </c>
      <c r="CC67">
        <v>158201</v>
      </c>
      <c r="CD67">
        <v>476527</v>
      </c>
      <c r="CE67">
        <v>811660</v>
      </c>
      <c r="CF67">
        <v>488857</v>
      </c>
      <c r="CG67">
        <v>491901</v>
      </c>
      <c r="CH67">
        <v>993096</v>
      </c>
    </row>
    <row r="68" spans="1:86">
      <c r="A68" t="s">
        <v>797</v>
      </c>
      <c r="B68" t="s">
        <v>88</v>
      </c>
      <c r="C68">
        <v>1000000</v>
      </c>
      <c r="D68" t="s">
        <v>89</v>
      </c>
      <c r="E68" t="s">
        <v>798</v>
      </c>
      <c r="F68" s="10" t="s">
        <v>799</v>
      </c>
      <c r="G68" t="s">
        <v>97</v>
      </c>
      <c r="H68">
        <v>185</v>
      </c>
      <c r="I68">
        <v>163</v>
      </c>
      <c r="J68">
        <v>148</v>
      </c>
      <c r="K68">
        <v>275</v>
      </c>
      <c r="L68">
        <v>211</v>
      </c>
      <c r="M68">
        <v>266</v>
      </c>
      <c r="N68">
        <v>505</v>
      </c>
      <c r="O68">
        <v>383</v>
      </c>
      <c r="P68">
        <v>421</v>
      </c>
      <c r="Q68">
        <v>572</v>
      </c>
      <c r="R68">
        <v>786</v>
      </c>
      <c r="S68">
        <v>835</v>
      </c>
      <c r="T68">
        <v>1408</v>
      </c>
      <c r="U68">
        <v>1419</v>
      </c>
      <c r="V68">
        <v>1049</v>
      </c>
      <c r="W68">
        <v>1671</v>
      </c>
      <c r="X68">
        <v>1250</v>
      </c>
      <c r="Y68">
        <v>967</v>
      </c>
      <c r="Z68">
        <v>1190</v>
      </c>
      <c r="AA68">
        <v>2150</v>
      </c>
      <c r="AB68">
        <v>2482</v>
      </c>
      <c r="AC68">
        <v>1095</v>
      </c>
      <c r="AD68">
        <v>2512</v>
      </c>
      <c r="AE68">
        <v>3331</v>
      </c>
      <c r="AF68">
        <v>1575</v>
      </c>
      <c r="AG68">
        <v>117</v>
      </c>
      <c r="AH68">
        <v>-1461</v>
      </c>
      <c r="AI68">
        <v>-1128</v>
      </c>
      <c r="AJ68">
        <v>51</v>
      </c>
      <c r="AK68">
        <v>-358</v>
      </c>
      <c r="AL68">
        <v>-2522</v>
      </c>
      <c r="AM68">
        <v>662</v>
      </c>
      <c r="AN68">
        <v>-875</v>
      </c>
      <c r="AO68">
        <v>-833</v>
      </c>
      <c r="AP68">
        <v>2002</v>
      </c>
      <c r="AQ68">
        <v>3457</v>
      </c>
      <c r="AR68">
        <v>9488</v>
      </c>
      <c r="AS68">
        <v>25029</v>
      </c>
      <c r="AT68">
        <v>25127</v>
      </c>
      <c r="AU68">
        <v>81934</v>
      </c>
      <c r="AV68">
        <v>145640</v>
      </c>
      <c r="AW68">
        <v>49697</v>
      </c>
      <c r="AX68">
        <v>-5915</v>
      </c>
      <c r="AY68">
        <v>29302</v>
      </c>
      <c r="AZ68">
        <v>42854</v>
      </c>
      <c r="BA68">
        <v>130515</v>
      </c>
      <c r="BB68">
        <v>202088</v>
      </c>
      <c r="BC68">
        <v>280163</v>
      </c>
      <c r="BD68">
        <v>114297</v>
      </c>
      <c r="BE68">
        <v>168843</v>
      </c>
      <c r="BF68">
        <v>285087</v>
      </c>
      <c r="BG68">
        <v>330452</v>
      </c>
      <c r="BH68">
        <v>301837</v>
      </c>
      <c r="BI68">
        <v>239752</v>
      </c>
      <c r="BJ68">
        <v>295151</v>
      </c>
      <c r="BK68">
        <v>191495</v>
      </c>
      <c r="BL68">
        <v>182995</v>
      </c>
      <c r="BM68">
        <v>282752</v>
      </c>
      <c r="BN68">
        <v>288143</v>
      </c>
      <c r="BO68">
        <v>286040</v>
      </c>
      <c r="BP68">
        <v>346153</v>
      </c>
      <c r="BQ68">
        <v>376098</v>
      </c>
      <c r="BR68">
        <v>-57924</v>
      </c>
      <c r="BS68">
        <v>533453</v>
      </c>
      <c r="BT68">
        <v>395761</v>
      </c>
      <c r="BU68">
        <v>200616</v>
      </c>
      <c r="BV68">
        <v>386529</v>
      </c>
      <c r="BW68">
        <v>346893</v>
      </c>
      <c r="BX68">
        <v>311028</v>
      </c>
      <c r="BY68">
        <v>98660</v>
      </c>
      <c r="BZ68">
        <v>28328</v>
      </c>
      <c r="CA68">
        <v>317271</v>
      </c>
      <c r="CB68">
        <v>-64704</v>
      </c>
      <c r="CC68">
        <v>207222</v>
      </c>
      <c r="CD68">
        <v>-230528</v>
      </c>
      <c r="CE68">
        <v>217685</v>
      </c>
      <c r="CF68">
        <v>-798063</v>
      </c>
      <c r="CG68">
        <v>-310824</v>
      </c>
      <c r="CH68">
        <v>-168803</v>
      </c>
    </row>
    <row r="69" spans="1:86">
      <c r="A69" t="s">
        <v>800</v>
      </c>
      <c r="B69" t="s">
        <v>88</v>
      </c>
      <c r="C69">
        <v>1000000</v>
      </c>
      <c r="D69" t="s">
        <v>89</v>
      </c>
      <c r="E69" t="s">
        <v>801</v>
      </c>
      <c r="F69" s="10" t="s">
        <v>802</v>
      </c>
      <c r="G69" t="s">
        <v>97</v>
      </c>
      <c r="H69">
        <v>-87</v>
      </c>
      <c r="I69">
        <v>-30</v>
      </c>
      <c r="J69">
        <v>21</v>
      </c>
      <c r="K69">
        <v>-5</v>
      </c>
      <c r="L69">
        <v>7</v>
      </c>
      <c r="M69">
        <v>43</v>
      </c>
      <c r="N69">
        <v>49</v>
      </c>
      <c r="O69">
        <v>60</v>
      </c>
      <c r="P69">
        <v>140</v>
      </c>
      <c r="Q69">
        <v>92</v>
      </c>
      <c r="R69">
        <v>112</v>
      </c>
      <c r="S69">
        <v>181</v>
      </c>
      <c r="T69">
        <v>96</v>
      </c>
      <c r="U69">
        <v>135</v>
      </c>
      <c r="V69">
        <v>176</v>
      </c>
      <c r="W69">
        <v>145</v>
      </c>
      <c r="X69">
        <v>49</v>
      </c>
      <c r="Y69">
        <v>18</v>
      </c>
      <c r="Z69">
        <v>28</v>
      </c>
      <c r="AA69">
        <v>99</v>
      </c>
      <c r="AB69">
        <v>264</v>
      </c>
      <c r="AC69">
        <v>78</v>
      </c>
      <c r="AD69">
        <v>-153</v>
      </c>
      <c r="AE69">
        <v>208</v>
      </c>
      <c r="AF69">
        <v>-30</v>
      </c>
      <c r="AG69">
        <v>94</v>
      </c>
      <c r="AH69">
        <v>240</v>
      </c>
      <c r="AI69">
        <v>546</v>
      </c>
      <c r="AJ69">
        <v>742</v>
      </c>
      <c r="AK69">
        <v>358</v>
      </c>
      <c r="AL69">
        <v>481</v>
      </c>
      <c r="AM69">
        <v>697</v>
      </c>
      <c r="AN69">
        <v>1223</v>
      </c>
      <c r="AO69">
        <v>1551</v>
      </c>
      <c r="AP69">
        <v>682</v>
      </c>
      <c r="AQ69">
        <v>1381</v>
      </c>
      <c r="AR69">
        <v>858</v>
      </c>
      <c r="AS69">
        <v>204</v>
      </c>
      <c r="AT69">
        <v>887</v>
      </c>
      <c r="AU69">
        <v>801</v>
      </c>
      <c r="AV69">
        <v>531</v>
      </c>
      <c r="AW69">
        <v>1294</v>
      </c>
      <c r="AX69">
        <v>1964</v>
      </c>
      <c r="AY69">
        <v>-595</v>
      </c>
      <c r="AZ69">
        <v>-2531</v>
      </c>
      <c r="BA69">
        <v>-705</v>
      </c>
      <c r="BB69">
        <v>-172</v>
      </c>
      <c r="BC69">
        <v>1645</v>
      </c>
      <c r="BD69">
        <v>1826</v>
      </c>
      <c r="BE69">
        <v>1983</v>
      </c>
      <c r="BF69">
        <v>1450</v>
      </c>
      <c r="BG69">
        <v>1762</v>
      </c>
      <c r="BH69">
        <v>4053</v>
      </c>
      <c r="BI69">
        <v>6062</v>
      </c>
      <c r="BJ69">
        <v>2229</v>
      </c>
      <c r="BK69">
        <v>3276</v>
      </c>
      <c r="BL69">
        <v>1992</v>
      </c>
      <c r="BM69">
        <v>3203</v>
      </c>
      <c r="BN69">
        <v>2505</v>
      </c>
      <c r="BO69">
        <v>1909</v>
      </c>
      <c r="BP69">
        <v>181</v>
      </c>
      <c r="BQ69">
        <v>9093</v>
      </c>
      <c r="BR69">
        <v>-4204</v>
      </c>
      <c r="BS69">
        <v>0</v>
      </c>
      <c r="BT69">
        <v>-2746</v>
      </c>
      <c r="BU69">
        <v>-5942</v>
      </c>
      <c r="BV69">
        <v>-1830</v>
      </c>
      <c r="BW69">
        <v>474</v>
      </c>
      <c r="BX69">
        <v>1210</v>
      </c>
      <c r="BY69">
        <v>1269</v>
      </c>
      <c r="BZ69">
        <v>2746</v>
      </c>
      <c r="CA69">
        <v>4200</v>
      </c>
      <c r="CB69">
        <v>1084</v>
      </c>
      <c r="CC69">
        <v>-3667</v>
      </c>
      <c r="CD69">
        <v>-6793</v>
      </c>
      <c r="CE69">
        <v>-903</v>
      </c>
      <c r="CF69">
        <v>19957</v>
      </c>
      <c r="CG69">
        <v>4072</v>
      </c>
      <c r="CH69">
        <v>-754</v>
      </c>
    </row>
    <row r="70" spans="1:86">
      <c r="A70" t="s">
        <v>803</v>
      </c>
      <c r="B70" t="s">
        <v>88</v>
      </c>
      <c r="C70">
        <v>1000000</v>
      </c>
      <c r="D70" t="s">
        <v>89</v>
      </c>
      <c r="E70" t="s">
        <v>804</v>
      </c>
      <c r="F70" s="10" t="s">
        <v>805</v>
      </c>
      <c r="G70" t="s">
        <v>97</v>
      </c>
      <c r="H70">
        <v>5</v>
      </c>
      <c r="I70">
        <v>-20</v>
      </c>
      <c r="J70">
        <v>-39</v>
      </c>
      <c r="K70">
        <v>-19</v>
      </c>
      <c r="L70">
        <v>-86</v>
      </c>
      <c r="M70">
        <v>-34</v>
      </c>
      <c r="N70">
        <v>27</v>
      </c>
      <c r="O70">
        <v>46</v>
      </c>
      <c r="P70">
        <v>29</v>
      </c>
      <c r="Q70">
        <v>40</v>
      </c>
      <c r="R70">
        <v>45</v>
      </c>
      <c r="S70">
        <v>26</v>
      </c>
      <c r="T70">
        <v>-6</v>
      </c>
      <c r="U70">
        <v>27</v>
      </c>
      <c r="V70">
        <v>56</v>
      </c>
      <c r="W70">
        <v>-3</v>
      </c>
      <c r="X70">
        <v>55</v>
      </c>
      <c r="Y70">
        <v>-20</v>
      </c>
      <c r="Z70">
        <v>-2</v>
      </c>
      <c r="AA70">
        <v>-51</v>
      </c>
      <c r="AB70">
        <v>78</v>
      </c>
      <c r="AC70">
        <v>-10</v>
      </c>
      <c r="AD70">
        <v>13</v>
      </c>
      <c r="AE70">
        <v>91</v>
      </c>
      <c r="AF70">
        <v>37</v>
      </c>
      <c r="AG70">
        <v>19</v>
      </c>
      <c r="AH70">
        <v>-3</v>
      </c>
      <c r="AI70">
        <v>45</v>
      </c>
      <c r="AJ70">
        <v>54</v>
      </c>
      <c r="AK70">
        <v>338</v>
      </c>
      <c r="AL70">
        <v>696</v>
      </c>
      <c r="AM70">
        <v>607</v>
      </c>
      <c r="AN70">
        <v>630</v>
      </c>
      <c r="AO70">
        <v>1944</v>
      </c>
      <c r="AP70">
        <v>2284</v>
      </c>
      <c r="AQ70">
        <v>2721</v>
      </c>
      <c r="AR70">
        <v>2476</v>
      </c>
      <c r="AS70">
        <v>858</v>
      </c>
      <c r="AT70">
        <v>3764</v>
      </c>
      <c r="AU70">
        <v>828</v>
      </c>
      <c r="AV70">
        <v>687</v>
      </c>
      <c r="AW70">
        <v>2895</v>
      </c>
      <c r="AX70">
        <v>-13649</v>
      </c>
      <c r="AY70">
        <v>331</v>
      </c>
      <c r="AZ70">
        <v>-10310</v>
      </c>
      <c r="BA70">
        <v>22196</v>
      </c>
      <c r="BB70">
        <v>13963</v>
      </c>
      <c r="BC70">
        <v>21445</v>
      </c>
      <c r="BD70">
        <v>2945</v>
      </c>
      <c r="BE70">
        <v>-112</v>
      </c>
      <c r="BF70">
        <v>12911</v>
      </c>
      <c r="BG70">
        <v>-2423</v>
      </c>
      <c r="BH70">
        <v>29658</v>
      </c>
      <c r="BI70">
        <v>94730</v>
      </c>
      <c r="BJ70">
        <v>66072</v>
      </c>
      <c r="BK70">
        <v>17995</v>
      </c>
      <c r="BL70">
        <v>14429</v>
      </c>
      <c r="BM70">
        <v>26494</v>
      </c>
      <c r="BN70">
        <v>45857</v>
      </c>
      <c r="BO70">
        <v>14143</v>
      </c>
      <c r="BP70">
        <v>36400</v>
      </c>
      <c r="BQ70">
        <v>17854</v>
      </c>
      <c r="BR70">
        <v>129054</v>
      </c>
      <c r="BS70">
        <v>31646</v>
      </c>
      <c r="BT70">
        <v>37339</v>
      </c>
      <c r="BU70">
        <v>27242</v>
      </c>
      <c r="BV70">
        <v>23470</v>
      </c>
      <c r="BW70">
        <v>35655</v>
      </c>
      <c r="BX70">
        <v>14396</v>
      </c>
      <c r="BY70">
        <v>49199</v>
      </c>
      <c r="BZ70">
        <v>-40722</v>
      </c>
      <c r="CA70">
        <v>32187</v>
      </c>
      <c r="CB70">
        <v>78064</v>
      </c>
      <c r="CC70">
        <v>42315</v>
      </c>
      <c r="CD70">
        <v>8567</v>
      </c>
      <c r="CE70">
        <v>26368</v>
      </c>
      <c r="CF70">
        <v>80488</v>
      </c>
      <c r="CG70">
        <v>30502</v>
      </c>
      <c r="CH70">
        <v>58440</v>
      </c>
    </row>
    <row r="71" spans="1:86">
      <c r="A71" t="s">
        <v>806</v>
      </c>
      <c r="B71" t="s">
        <v>88</v>
      </c>
      <c r="C71">
        <v>1000000</v>
      </c>
      <c r="D71" t="s">
        <v>89</v>
      </c>
      <c r="E71" t="s">
        <v>807</v>
      </c>
      <c r="F71" s="10" t="s">
        <v>808</v>
      </c>
      <c r="G71" t="s">
        <v>97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950</v>
      </c>
      <c r="AJ71">
        <v>756</v>
      </c>
      <c r="AK71">
        <v>429</v>
      </c>
      <c r="AL71">
        <v>-192</v>
      </c>
      <c r="AM71">
        <v>-232</v>
      </c>
      <c r="AN71">
        <v>262</v>
      </c>
      <c r="AO71">
        <v>721</v>
      </c>
      <c r="AP71">
        <v>-414</v>
      </c>
      <c r="AQ71">
        <v>19</v>
      </c>
      <c r="AR71">
        <v>803</v>
      </c>
      <c r="AS71">
        <v>648</v>
      </c>
      <c r="AT71">
        <v>324</v>
      </c>
      <c r="AU71">
        <v>752</v>
      </c>
      <c r="AV71">
        <v>1680</v>
      </c>
      <c r="AW71">
        <v>-521</v>
      </c>
      <c r="AX71">
        <v>701</v>
      </c>
      <c r="AY71">
        <v>-790</v>
      </c>
      <c r="AZ71">
        <v>-1264</v>
      </c>
      <c r="BA71">
        <v>1156</v>
      </c>
      <c r="BB71">
        <v>209</v>
      </c>
      <c r="BC71">
        <v>1077</v>
      </c>
      <c r="BD71">
        <v>-1098</v>
      </c>
      <c r="BE71">
        <v>1137</v>
      </c>
      <c r="BF71">
        <v>832</v>
      </c>
      <c r="BG71">
        <v>3074</v>
      </c>
      <c r="BH71">
        <v>346</v>
      </c>
      <c r="BI71">
        <v>2517</v>
      </c>
      <c r="BJ71">
        <v>835</v>
      </c>
      <c r="BK71">
        <v>4623</v>
      </c>
      <c r="BL71">
        <v>-637</v>
      </c>
      <c r="BM71">
        <v>481</v>
      </c>
      <c r="BN71">
        <v>-266</v>
      </c>
      <c r="BO71">
        <v>155</v>
      </c>
      <c r="BP71">
        <v>-1988</v>
      </c>
      <c r="BQ71">
        <v>5253</v>
      </c>
      <c r="BR71">
        <v>-445</v>
      </c>
      <c r="BS71">
        <v>1250</v>
      </c>
      <c r="BT71">
        <v>6162</v>
      </c>
      <c r="BU71">
        <v>-1751</v>
      </c>
      <c r="BV71">
        <v>10440</v>
      </c>
      <c r="BW71">
        <v>2908</v>
      </c>
      <c r="BX71">
        <v>4327</v>
      </c>
      <c r="BY71">
        <v>5283</v>
      </c>
      <c r="BZ71">
        <v>17337</v>
      </c>
      <c r="CA71">
        <v>952</v>
      </c>
      <c r="CB71">
        <v>9537</v>
      </c>
      <c r="CC71">
        <v>5245</v>
      </c>
      <c r="CD71">
        <v>6859</v>
      </c>
      <c r="CE71">
        <v>15770</v>
      </c>
      <c r="CF71">
        <v>3657</v>
      </c>
      <c r="CG71">
        <v>14068</v>
      </c>
      <c r="CH71">
        <v>16771</v>
      </c>
    </row>
    <row r="72" spans="1:86">
      <c r="A72" t="s">
        <v>809</v>
      </c>
      <c r="B72" t="s">
        <v>88</v>
      </c>
      <c r="C72">
        <v>1000000</v>
      </c>
      <c r="D72" t="s">
        <v>89</v>
      </c>
      <c r="E72" t="s">
        <v>810</v>
      </c>
      <c r="F72" s="10" t="s">
        <v>811</v>
      </c>
      <c r="G72" t="s">
        <v>97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3600</v>
      </c>
      <c r="AF72">
        <v>5400</v>
      </c>
      <c r="AG72">
        <v>4500</v>
      </c>
      <c r="AH72">
        <v>5400</v>
      </c>
      <c r="AI72">
        <v>2403</v>
      </c>
      <c r="AJ72">
        <v>5987</v>
      </c>
      <c r="AK72">
        <v>7730</v>
      </c>
      <c r="AL72">
        <v>5015</v>
      </c>
      <c r="AM72">
        <v>6178</v>
      </c>
      <c r="AN72">
        <v>5590</v>
      </c>
      <c r="AO72">
        <v>6183</v>
      </c>
      <c r="AP72">
        <v>14990</v>
      </c>
      <c r="AQ72">
        <v>6663</v>
      </c>
      <c r="AR72">
        <v>18207</v>
      </c>
      <c r="AS72">
        <v>16713</v>
      </c>
      <c r="AT72">
        <v>20153</v>
      </c>
      <c r="AU72">
        <v>27293</v>
      </c>
      <c r="AV72">
        <v>26283</v>
      </c>
      <c r="AW72">
        <v>10795</v>
      </c>
      <c r="AX72">
        <v>36524</v>
      </c>
      <c r="AY72">
        <v>11086</v>
      </c>
      <c r="AZ72">
        <v>11063</v>
      </c>
      <c r="BA72">
        <v>20712</v>
      </c>
      <c r="BB72">
        <v>53937</v>
      </c>
      <c r="BC72">
        <v>49396</v>
      </c>
      <c r="BD72">
        <v>34036</v>
      </c>
      <c r="BE72">
        <v>62558</v>
      </c>
      <c r="BF72">
        <v>94860</v>
      </c>
      <c r="BG72">
        <v>91900</v>
      </c>
      <c r="BH72">
        <v>121228</v>
      </c>
      <c r="BI72">
        <v>98134</v>
      </c>
      <c r="BJ72">
        <v>120593</v>
      </c>
      <c r="BK72">
        <v>73920</v>
      </c>
      <c r="BL72">
        <v>103225</v>
      </c>
      <c r="BM72">
        <v>82347</v>
      </c>
      <c r="BN72">
        <v>262814</v>
      </c>
      <c r="BO72">
        <v>149942</v>
      </c>
      <c r="BP72">
        <v>200239</v>
      </c>
      <c r="BQ72">
        <v>196888</v>
      </c>
      <c r="BR72">
        <v>31721</v>
      </c>
      <c r="BS72">
        <v>117176</v>
      </c>
      <c r="BT72">
        <v>-2531</v>
      </c>
      <c r="BU72">
        <v>30545</v>
      </c>
      <c r="BV72">
        <v>213307</v>
      </c>
      <c r="BW72">
        <v>25043</v>
      </c>
      <c r="BX72">
        <v>62137</v>
      </c>
      <c r="BY72">
        <v>74640</v>
      </c>
      <c r="BZ72">
        <v>108271</v>
      </c>
      <c r="CA72">
        <v>-19714</v>
      </c>
      <c r="CB72">
        <v>134314</v>
      </c>
      <c r="CC72">
        <v>62194</v>
      </c>
      <c r="CD72">
        <v>78447</v>
      </c>
      <c r="CE72">
        <v>98872</v>
      </c>
      <c r="CF72">
        <v>-37758</v>
      </c>
      <c r="CG72">
        <v>56874</v>
      </c>
      <c r="CH72">
        <v>68534</v>
      </c>
    </row>
    <row r="73" spans="1:86">
      <c r="A73" t="s">
        <v>812</v>
      </c>
      <c r="B73" t="s">
        <v>88</v>
      </c>
      <c r="C73">
        <v>1000000</v>
      </c>
      <c r="D73" t="s">
        <v>89</v>
      </c>
      <c r="E73" t="s">
        <v>813</v>
      </c>
      <c r="F73" s="10" t="s">
        <v>814</v>
      </c>
      <c r="G73" t="s">
        <v>97</v>
      </c>
      <c r="H73">
        <v>10</v>
      </c>
      <c r="I73">
        <v>9</v>
      </c>
      <c r="J73">
        <v>5</v>
      </c>
      <c r="K73">
        <v>10</v>
      </c>
      <c r="L73">
        <v>14</v>
      </c>
      <c r="M73">
        <v>12</v>
      </c>
      <c r="N73">
        <v>16</v>
      </c>
      <c r="O73">
        <v>12</v>
      </c>
      <c r="P73">
        <v>23</v>
      </c>
      <c r="Q73">
        <v>15</v>
      </c>
      <c r="R73">
        <v>23</v>
      </c>
      <c r="S73">
        <v>19</v>
      </c>
      <c r="T73">
        <v>18</v>
      </c>
      <c r="U73">
        <v>24</v>
      </c>
      <c r="V73">
        <v>22</v>
      </c>
      <c r="W73">
        <v>36</v>
      </c>
      <c r="X73">
        <v>22</v>
      </c>
      <c r="Y73">
        <v>30</v>
      </c>
      <c r="Z73">
        <v>27</v>
      </c>
      <c r="AA73">
        <v>27</v>
      </c>
      <c r="AB73">
        <v>19</v>
      </c>
      <c r="AC73">
        <v>28</v>
      </c>
      <c r="AD73">
        <v>32</v>
      </c>
      <c r="AE73">
        <v>39</v>
      </c>
      <c r="AF73">
        <v>33</v>
      </c>
      <c r="AG73">
        <v>40</v>
      </c>
      <c r="AH73">
        <v>51</v>
      </c>
      <c r="AI73">
        <v>51</v>
      </c>
      <c r="AJ73">
        <v>53</v>
      </c>
      <c r="AK73">
        <v>32</v>
      </c>
      <c r="AL73">
        <v>54</v>
      </c>
      <c r="AM73">
        <v>46</v>
      </c>
      <c r="AN73">
        <v>49</v>
      </c>
      <c r="AO73">
        <v>67</v>
      </c>
      <c r="AP73">
        <v>58</v>
      </c>
      <c r="AQ73">
        <v>75</v>
      </c>
      <c r="AR73">
        <v>81</v>
      </c>
      <c r="AS73">
        <v>106</v>
      </c>
      <c r="AT73">
        <v>161</v>
      </c>
      <c r="AU73">
        <v>155</v>
      </c>
      <c r="AV73">
        <v>93</v>
      </c>
      <c r="AW73">
        <v>173</v>
      </c>
      <c r="AX73">
        <v>66</v>
      </c>
      <c r="AY73">
        <v>130</v>
      </c>
      <c r="AZ73">
        <v>180</v>
      </c>
      <c r="BA73">
        <v>229</v>
      </c>
      <c r="BB73">
        <v>402</v>
      </c>
      <c r="BC73">
        <v>347</v>
      </c>
      <c r="BD73">
        <v>282</v>
      </c>
      <c r="BE73">
        <v>283</v>
      </c>
      <c r="BF73">
        <v>636</v>
      </c>
      <c r="BG73">
        <v>831</v>
      </c>
      <c r="BH73">
        <v>519</v>
      </c>
      <c r="BI73">
        <v>480</v>
      </c>
      <c r="BJ73">
        <v>565</v>
      </c>
      <c r="BK73">
        <v>376</v>
      </c>
      <c r="BL73">
        <v>1007</v>
      </c>
      <c r="BM73">
        <v>467</v>
      </c>
      <c r="BN73">
        <v>3067</v>
      </c>
      <c r="BO73">
        <v>1622</v>
      </c>
      <c r="BP73">
        <v>1789</v>
      </c>
      <c r="BQ73">
        <v>3125</v>
      </c>
      <c r="BR73">
        <v>2626</v>
      </c>
      <c r="BS73">
        <v>4564</v>
      </c>
      <c r="BT73">
        <v>884</v>
      </c>
      <c r="BU73">
        <v>375</v>
      </c>
      <c r="BV73">
        <v>461</v>
      </c>
      <c r="BW73">
        <v>147</v>
      </c>
      <c r="BX73">
        <v>1065</v>
      </c>
      <c r="BY73">
        <v>879</v>
      </c>
      <c r="BZ73">
        <v>992</v>
      </c>
      <c r="CA73">
        <v>946</v>
      </c>
      <c r="CB73">
        <v>946</v>
      </c>
      <c r="CC73">
        <v>-637</v>
      </c>
      <c r="CD73">
        <v>2178</v>
      </c>
      <c r="CE73">
        <v>1</v>
      </c>
      <c r="CF73">
        <v>1137</v>
      </c>
      <c r="CG73">
        <v>1051</v>
      </c>
      <c r="CH73">
        <v>1117</v>
      </c>
    </row>
    <row r="74" spans="1:86">
      <c r="A74" t="s">
        <v>815</v>
      </c>
      <c r="B74" t="s">
        <v>88</v>
      </c>
      <c r="C74">
        <v>1000000</v>
      </c>
      <c r="D74" t="s">
        <v>89</v>
      </c>
      <c r="E74" t="s">
        <v>816</v>
      </c>
      <c r="F74" s="10" t="s">
        <v>817</v>
      </c>
      <c r="G74" t="s">
        <v>97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112500</v>
      </c>
      <c r="CE74">
        <v>-91242</v>
      </c>
      <c r="CF74">
        <v>-5858</v>
      </c>
      <c r="CG74">
        <v>-8000</v>
      </c>
      <c r="CH74">
        <v>-3939</v>
      </c>
    </row>
    <row r="75" spans="1:86">
      <c r="A75" t="s">
        <v>818</v>
      </c>
      <c r="B75" t="s">
        <v>88</v>
      </c>
      <c r="C75">
        <v>1000000</v>
      </c>
      <c r="D75" t="s">
        <v>89</v>
      </c>
      <c r="E75" t="s">
        <v>819</v>
      </c>
      <c r="F75" s="10" t="s">
        <v>820</v>
      </c>
      <c r="G75" t="s">
        <v>97</v>
      </c>
      <c r="H75">
        <v>10272</v>
      </c>
      <c r="I75">
        <v>10542</v>
      </c>
      <c r="J75">
        <v>10920</v>
      </c>
      <c r="K75">
        <v>11445</v>
      </c>
      <c r="L75">
        <v>11823</v>
      </c>
      <c r="M75">
        <v>17499</v>
      </c>
      <c r="N75">
        <v>19890</v>
      </c>
      <c r="O75">
        <v>20714</v>
      </c>
      <c r="P75">
        <v>19950</v>
      </c>
      <c r="Q75">
        <v>21172</v>
      </c>
      <c r="R75">
        <v>22906</v>
      </c>
      <c r="S75">
        <v>26750</v>
      </c>
      <c r="T75">
        <v>25982</v>
      </c>
      <c r="U75">
        <v>29614</v>
      </c>
      <c r="V75">
        <v>28315</v>
      </c>
      <c r="W75">
        <v>28540</v>
      </c>
      <c r="X75">
        <v>28836</v>
      </c>
      <c r="Y75">
        <v>32631</v>
      </c>
      <c r="Z75">
        <v>37699</v>
      </c>
      <c r="AA75">
        <v>43246</v>
      </c>
      <c r="AB75">
        <v>49480</v>
      </c>
      <c r="AC75">
        <v>54050</v>
      </c>
      <c r="AD75">
        <v>61443</v>
      </c>
      <c r="AE75">
        <v>73008</v>
      </c>
      <c r="AF75">
        <v>69940</v>
      </c>
      <c r="AG75">
        <v>76972</v>
      </c>
      <c r="AH75">
        <v>92482</v>
      </c>
      <c r="AI75">
        <v>94467</v>
      </c>
      <c r="AJ75">
        <v>102275</v>
      </c>
      <c r="AK75">
        <v>114325</v>
      </c>
      <c r="AL75">
        <v>127251</v>
      </c>
      <c r="AM75">
        <v>143128</v>
      </c>
      <c r="AN75">
        <v>159261</v>
      </c>
      <c r="AO75">
        <v>167430</v>
      </c>
      <c r="AP75">
        <v>232647</v>
      </c>
      <c r="AQ75">
        <v>212344</v>
      </c>
      <c r="AR75">
        <v>238647</v>
      </c>
      <c r="AS75">
        <v>292918</v>
      </c>
      <c r="AT75">
        <v>247046</v>
      </c>
      <c r="AU75">
        <v>302299</v>
      </c>
      <c r="AV75">
        <v>345371</v>
      </c>
      <c r="AW75">
        <v>377742</v>
      </c>
      <c r="AX75">
        <v>384094</v>
      </c>
      <c r="AY75">
        <v>383652</v>
      </c>
      <c r="AZ75">
        <v>402454</v>
      </c>
      <c r="BA75">
        <v>402331</v>
      </c>
      <c r="BB75">
        <v>430164</v>
      </c>
      <c r="BC75">
        <v>470662</v>
      </c>
      <c r="BD75">
        <v>445597</v>
      </c>
      <c r="BE75">
        <v>445347</v>
      </c>
      <c r="BF75">
        <v>422774</v>
      </c>
      <c r="BG75">
        <v>482806</v>
      </c>
      <c r="BH75">
        <v>557843</v>
      </c>
      <c r="BI75">
        <v>443304</v>
      </c>
      <c r="BJ75">
        <v>496854</v>
      </c>
      <c r="BK75">
        <v>629473</v>
      </c>
      <c r="BL75">
        <v>622035</v>
      </c>
      <c r="BM75">
        <v>779299</v>
      </c>
      <c r="BN75">
        <v>783891</v>
      </c>
      <c r="BO75">
        <v>738596</v>
      </c>
      <c r="BP75">
        <v>667223</v>
      </c>
      <c r="BQ75">
        <v>676052</v>
      </c>
      <c r="BR75">
        <v>645230</v>
      </c>
      <c r="BS75">
        <v>704716</v>
      </c>
      <c r="BT75">
        <v>718372</v>
      </c>
      <c r="BU75">
        <v>704661</v>
      </c>
      <c r="BV75">
        <v>582057</v>
      </c>
      <c r="BW75">
        <v>594979</v>
      </c>
      <c r="BX75">
        <v>436289</v>
      </c>
      <c r="BY75">
        <v>502513</v>
      </c>
      <c r="BZ75">
        <v>507045</v>
      </c>
      <c r="CA75">
        <v>637186</v>
      </c>
      <c r="CB75">
        <v>443675</v>
      </c>
      <c r="CC75">
        <v>529180</v>
      </c>
      <c r="CD75">
        <v>649183</v>
      </c>
      <c r="CE75">
        <v>407038</v>
      </c>
      <c r="CF75">
        <v>612249</v>
      </c>
      <c r="CG75">
        <v>694293</v>
      </c>
      <c r="CH75">
        <v>654971</v>
      </c>
    </row>
    <row r="76" spans="1:86">
      <c r="A76" t="s">
        <v>821</v>
      </c>
      <c r="B76" t="s">
        <v>88</v>
      </c>
      <c r="C76">
        <v>1000000</v>
      </c>
      <c r="D76" t="s">
        <v>89</v>
      </c>
      <c r="E76" t="s">
        <v>822</v>
      </c>
      <c r="F76" s="10" t="s">
        <v>823</v>
      </c>
      <c r="G76" t="s">
        <v>97</v>
      </c>
      <c r="H76">
        <v>357</v>
      </c>
      <c r="I76">
        <v>889</v>
      </c>
      <c r="J76">
        <v>222</v>
      </c>
      <c r="K76">
        <v>1064</v>
      </c>
      <c r="L76">
        <v>1547</v>
      </c>
      <c r="M76">
        <v>395</v>
      </c>
      <c r="N76">
        <v>1602</v>
      </c>
      <c r="O76">
        <v>1358</v>
      </c>
      <c r="P76">
        <v>672</v>
      </c>
      <c r="Q76">
        <v>4013</v>
      </c>
      <c r="R76">
        <v>-210</v>
      </c>
      <c r="S76">
        <v>1109</v>
      </c>
      <c r="T76">
        <v>1477</v>
      </c>
      <c r="U76">
        <v>1490</v>
      </c>
      <c r="V76">
        <v>-370</v>
      </c>
      <c r="W76">
        <v>853</v>
      </c>
      <c r="X76">
        <v>3512</v>
      </c>
      <c r="Y76">
        <v>5032</v>
      </c>
      <c r="Z76">
        <v>3913</v>
      </c>
      <c r="AA76">
        <v>4354</v>
      </c>
      <c r="AB76">
        <v>-15</v>
      </c>
      <c r="AC76">
        <v>1222</v>
      </c>
      <c r="AD76">
        <v>8438</v>
      </c>
      <c r="AE76">
        <v>9563</v>
      </c>
      <c r="AF76">
        <v>-3569</v>
      </c>
      <c r="AG76">
        <v>5200</v>
      </c>
      <c r="AH76">
        <v>12366</v>
      </c>
      <c r="AI76">
        <v>23916</v>
      </c>
      <c r="AJ76">
        <v>-9131</v>
      </c>
      <c r="AK76">
        <v>2556</v>
      </c>
      <c r="AL76">
        <v>12573</v>
      </c>
      <c r="AM76">
        <v>32609</v>
      </c>
      <c r="AN76">
        <v>72013</v>
      </c>
      <c r="AO76">
        <v>35046</v>
      </c>
      <c r="AP76">
        <v>30173</v>
      </c>
      <c r="AQ76">
        <v>4039</v>
      </c>
      <c r="AR76">
        <v>29954</v>
      </c>
      <c r="AS76">
        <v>97177</v>
      </c>
      <c r="AT76">
        <v>79103</v>
      </c>
      <c r="AU76">
        <v>155606</v>
      </c>
      <c r="AV76">
        <v>42275</v>
      </c>
      <c r="AW76">
        <v>51203</v>
      </c>
      <c r="AX76">
        <v>135614</v>
      </c>
      <c r="AY76">
        <v>44523</v>
      </c>
      <c r="AZ76">
        <v>-2776</v>
      </c>
      <c r="BA76">
        <v>39450</v>
      </c>
      <c r="BB76">
        <v>64769</v>
      </c>
      <c r="BC76">
        <v>96409</v>
      </c>
      <c r="BD76">
        <v>104669</v>
      </c>
      <c r="BE76">
        <v>134901</v>
      </c>
      <c r="BF76">
        <v>160829</v>
      </c>
      <c r="BG76">
        <v>306526</v>
      </c>
      <c r="BH76">
        <v>165133</v>
      </c>
      <c r="BI76">
        <v>296537</v>
      </c>
      <c r="BJ76">
        <v>475823</v>
      </c>
      <c r="BK76">
        <v>407936</v>
      </c>
      <c r="BL76">
        <v>184101</v>
      </c>
      <c r="BM76">
        <v>749179</v>
      </c>
      <c r="BN76">
        <v>785730</v>
      </c>
      <c r="BO76">
        <v>154135</v>
      </c>
      <c r="BP76">
        <v>508465</v>
      </c>
      <c r="BQ76">
        <v>237802</v>
      </c>
      <c r="BR76">
        <v>-1496627</v>
      </c>
      <c r="BS76">
        <v>57645</v>
      </c>
      <c r="BT76">
        <v>-124117</v>
      </c>
      <c r="BU76">
        <v>-136822</v>
      </c>
      <c r="BV76">
        <v>231223</v>
      </c>
      <c r="BW76">
        <v>17756</v>
      </c>
      <c r="BX76">
        <v>206555</v>
      </c>
      <c r="BY76">
        <v>-220975</v>
      </c>
      <c r="BZ76">
        <v>166576</v>
      </c>
      <c r="CA76">
        <v>143678</v>
      </c>
      <c r="CB76">
        <v>-75784</v>
      </c>
      <c r="CC76">
        <v>200344</v>
      </c>
      <c r="CD76">
        <v>518126</v>
      </c>
      <c r="CE76">
        <v>654965</v>
      </c>
      <c r="CF76">
        <v>169287</v>
      </c>
      <c r="CG76">
        <v>841820</v>
      </c>
      <c r="CH76">
        <v>169875</v>
      </c>
    </row>
    <row r="77" spans="1:86">
      <c r="A77" t="s">
        <v>824</v>
      </c>
      <c r="B77" t="s">
        <v>88</v>
      </c>
      <c r="C77">
        <v>1000000</v>
      </c>
      <c r="D77" t="s">
        <v>89</v>
      </c>
      <c r="E77" t="s">
        <v>825</v>
      </c>
      <c r="F77" s="10" t="s">
        <v>826</v>
      </c>
      <c r="G77" t="s">
        <v>97</v>
      </c>
      <c r="H77">
        <v>1363</v>
      </c>
      <c r="I77">
        <v>898</v>
      </c>
      <c r="J77">
        <v>1028</v>
      </c>
      <c r="K77">
        <v>1015</v>
      </c>
      <c r="L77">
        <v>2007</v>
      </c>
      <c r="M77">
        <v>725</v>
      </c>
      <c r="N77">
        <v>1911</v>
      </c>
      <c r="O77">
        <v>1856</v>
      </c>
      <c r="P77">
        <v>3411</v>
      </c>
      <c r="Q77">
        <v>1201</v>
      </c>
      <c r="R77">
        <v>1241</v>
      </c>
      <c r="S77">
        <v>1438</v>
      </c>
      <c r="T77">
        <v>2070</v>
      </c>
      <c r="U77">
        <v>924</v>
      </c>
      <c r="V77">
        <v>3916</v>
      </c>
      <c r="W77">
        <v>4391</v>
      </c>
      <c r="X77">
        <v>2329</v>
      </c>
      <c r="Y77">
        <v>1527</v>
      </c>
      <c r="Z77">
        <v>1433</v>
      </c>
      <c r="AA77">
        <v>1076</v>
      </c>
      <c r="AB77">
        <v>3547</v>
      </c>
      <c r="AC77">
        <v>9923</v>
      </c>
      <c r="AD77">
        <v>-5803</v>
      </c>
      <c r="AE77">
        <v>-423</v>
      </c>
      <c r="AF77">
        <v>-170</v>
      </c>
      <c r="AG77">
        <v>2148</v>
      </c>
      <c r="AH77">
        <v>-752</v>
      </c>
      <c r="AI77">
        <v>12466</v>
      </c>
      <c r="AJ77">
        <v>3665</v>
      </c>
      <c r="AK77">
        <v>-5013</v>
      </c>
      <c r="AL77">
        <v>2305</v>
      </c>
      <c r="AM77">
        <v>12121</v>
      </c>
      <c r="AN77">
        <v>18509</v>
      </c>
      <c r="AO77">
        <v>11598</v>
      </c>
      <c r="AP77">
        <v>7439</v>
      </c>
      <c r="AQ77">
        <v>-2823</v>
      </c>
      <c r="AR77">
        <v>2931</v>
      </c>
      <c r="AS77">
        <v>-31718</v>
      </c>
      <c r="AT77">
        <v>-48318</v>
      </c>
      <c r="AU77">
        <v>-30826</v>
      </c>
      <c r="AV77">
        <v>-13415</v>
      </c>
      <c r="AW77">
        <v>27091</v>
      </c>
      <c r="AX77">
        <v>9337</v>
      </c>
      <c r="AY77">
        <v>35316</v>
      </c>
      <c r="AZ77">
        <v>16055</v>
      </c>
      <c r="BA77">
        <v>-6530</v>
      </c>
      <c r="BB77">
        <v>-19895</v>
      </c>
      <c r="BC77">
        <v>55643</v>
      </c>
      <c r="BD77">
        <v>-16072</v>
      </c>
      <c r="BE77">
        <v>44462</v>
      </c>
      <c r="BF77">
        <v>-42102</v>
      </c>
      <c r="BG77">
        <v>44848</v>
      </c>
      <c r="BH77">
        <v>-217</v>
      </c>
      <c r="BI77">
        <v>-55779</v>
      </c>
      <c r="BJ77">
        <v>-40722</v>
      </c>
      <c r="BK77">
        <v>45643</v>
      </c>
      <c r="BL77">
        <v>27527</v>
      </c>
      <c r="BM77">
        <v>159781</v>
      </c>
      <c r="BN77">
        <v>164036</v>
      </c>
      <c r="BO77">
        <v>236008</v>
      </c>
      <c r="BP77">
        <v>158358</v>
      </c>
      <c r="BQ77">
        <v>99888</v>
      </c>
      <c r="BR77">
        <v>-92986</v>
      </c>
      <c r="BS77">
        <v>-220590</v>
      </c>
      <c r="BT77">
        <v>-149284</v>
      </c>
      <c r="BU77">
        <v>42427</v>
      </c>
      <c r="BV77">
        <v>-217055</v>
      </c>
      <c r="BW77">
        <v>209968</v>
      </c>
      <c r="BX77">
        <v>116656</v>
      </c>
      <c r="BY77">
        <v>29192</v>
      </c>
      <c r="BZ77">
        <v>193536</v>
      </c>
      <c r="CA77">
        <v>-10027</v>
      </c>
      <c r="CB77">
        <v>79897</v>
      </c>
      <c r="CC77">
        <v>60498</v>
      </c>
      <c r="CD77">
        <v>21359</v>
      </c>
      <c r="CE77">
        <v>411693</v>
      </c>
      <c r="CF77">
        <v>371693</v>
      </c>
      <c r="CG77">
        <v>90258</v>
      </c>
      <c r="CH77">
        <v>196322</v>
      </c>
    </row>
    <row r="78" spans="1:86">
      <c r="A78" t="s">
        <v>827</v>
      </c>
      <c r="B78" t="s">
        <v>88</v>
      </c>
      <c r="C78">
        <v>1000000</v>
      </c>
      <c r="D78" t="s">
        <v>89</v>
      </c>
      <c r="E78" t="s">
        <v>828</v>
      </c>
      <c r="F78" s="10" t="s">
        <v>829</v>
      </c>
      <c r="G78" t="s">
        <v>97</v>
      </c>
      <c r="H78">
        <v>690</v>
      </c>
      <c r="I78">
        <v>449</v>
      </c>
      <c r="J78">
        <v>-127</v>
      </c>
      <c r="K78">
        <v>-507</v>
      </c>
      <c r="L78">
        <v>944</v>
      </c>
      <c r="M78">
        <v>-515</v>
      </c>
      <c r="N78">
        <v>340</v>
      </c>
      <c r="O78">
        <v>37</v>
      </c>
      <c r="P78">
        <v>1548</v>
      </c>
      <c r="Q78">
        <v>-698</v>
      </c>
      <c r="R78">
        <v>-904</v>
      </c>
      <c r="S78">
        <v>-773</v>
      </c>
      <c r="T78">
        <v>175</v>
      </c>
      <c r="U78">
        <v>-1663</v>
      </c>
      <c r="V78">
        <v>1224</v>
      </c>
      <c r="W78">
        <v>1574</v>
      </c>
      <c r="X78">
        <v>-802</v>
      </c>
      <c r="Y78">
        <v>-1355</v>
      </c>
      <c r="Z78">
        <v>-355</v>
      </c>
      <c r="AA78">
        <v>-1485</v>
      </c>
      <c r="AB78">
        <v>397</v>
      </c>
      <c r="AC78">
        <v>7204</v>
      </c>
      <c r="AD78">
        <v>-8341</v>
      </c>
      <c r="AE78">
        <v>-3759</v>
      </c>
      <c r="AF78">
        <v>-3034</v>
      </c>
      <c r="AG78">
        <v>-832</v>
      </c>
      <c r="AH78">
        <v>-6955</v>
      </c>
      <c r="AI78">
        <v>7270</v>
      </c>
      <c r="AJ78">
        <v>1133</v>
      </c>
      <c r="AK78">
        <v>-6703</v>
      </c>
      <c r="AL78">
        <v>527</v>
      </c>
      <c r="AM78">
        <v>3841</v>
      </c>
      <c r="AN78">
        <v>9454</v>
      </c>
      <c r="AO78">
        <v>7095</v>
      </c>
      <c r="AP78">
        <v>8970</v>
      </c>
      <c r="AQ78">
        <v>3221</v>
      </c>
      <c r="AR78">
        <v>19355</v>
      </c>
      <c r="AS78">
        <v>-17400</v>
      </c>
      <c r="AT78">
        <v>21748</v>
      </c>
      <c r="AU78">
        <v>-8145</v>
      </c>
      <c r="AV78">
        <v>-4704</v>
      </c>
      <c r="AW78">
        <v>19677</v>
      </c>
      <c r="AX78">
        <v>29534</v>
      </c>
      <c r="AY78">
        <v>58339</v>
      </c>
      <c r="AZ78">
        <v>-1681</v>
      </c>
      <c r="BA78">
        <v>-14095</v>
      </c>
      <c r="BB78">
        <v>-32876</v>
      </c>
      <c r="BC78">
        <v>58572</v>
      </c>
      <c r="BD78">
        <v>-86081</v>
      </c>
      <c r="BE78">
        <v>17666</v>
      </c>
      <c r="BF78">
        <v>-19509</v>
      </c>
      <c r="BG78">
        <v>55644</v>
      </c>
      <c r="BH78">
        <v>121790</v>
      </c>
      <c r="BI78">
        <v>-37614</v>
      </c>
      <c r="BJ78">
        <v>17808</v>
      </c>
      <c r="BK78">
        <v>108886</v>
      </c>
      <c r="BL78">
        <v>31980</v>
      </c>
      <c r="BM78">
        <v>44789</v>
      </c>
      <c r="BN78">
        <v>86348</v>
      </c>
      <c r="BO78">
        <v>150850</v>
      </c>
      <c r="BP78">
        <v>12705</v>
      </c>
      <c r="BQ78">
        <v>194727</v>
      </c>
      <c r="BR78">
        <v>44184</v>
      </c>
      <c r="BS78">
        <v>-423559</v>
      </c>
      <c r="BT78">
        <v>-505007</v>
      </c>
      <c r="BU78">
        <v>-327811</v>
      </c>
      <c r="BV78">
        <v>-282995</v>
      </c>
      <c r="BW78">
        <v>141310</v>
      </c>
      <c r="BX78">
        <v>46315</v>
      </c>
      <c r="BY78">
        <v>299547</v>
      </c>
      <c r="BZ78">
        <v>138254</v>
      </c>
      <c r="CA78">
        <v>5299</v>
      </c>
      <c r="CB78">
        <v>-3635</v>
      </c>
      <c r="CC78">
        <v>-178771</v>
      </c>
      <c r="CD78">
        <v>-8712</v>
      </c>
      <c r="CE78">
        <v>433315</v>
      </c>
      <c r="CF78">
        <v>315355</v>
      </c>
      <c r="CG78">
        <v>57286</v>
      </c>
      <c r="CH78">
        <v>58312</v>
      </c>
    </row>
    <row r="79" spans="1:86">
      <c r="A79" t="s">
        <v>147</v>
      </c>
      <c r="B79" t="s">
        <v>88</v>
      </c>
      <c r="C79">
        <v>1000000</v>
      </c>
      <c r="D79" t="s">
        <v>89</v>
      </c>
      <c r="E79" t="s">
        <v>830</v>
      </c>
      <c r="F79" s="10" t="s">
        <v>831</v>
      </c>
      <c r="G79" t="s">
        <v>97</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-3</v>
      </c>
      <c r="AH79">
        <v>-66</v>
      </c>
      <c r="AI79">
        <v>-18</v>
      </c>
      <c r="AJ79">
        <v>-1</v>
      </c>
      <c r="AK79">
        <v>0</v>
      </c>
      <c r="AL79">
        <v>-5</v>
      </c>
      <c r="AM79">
        <v>-10</v>
      </c>
      <c r="AN79">
        <v>0</v>
      </c>
      <c r="AO79">
        <v>-36</v>
      </c>
      <c r="AP79">
        <v>-20</v>
      </c>
      <c r="AQ79">
        <v>0</v>
      </c>
      <c r="AR79">
        <v>-22</v>
      </c>
      <c r="AS79">
        <v>-29</v>
      </c>
      <c r="AT79">
        <v>0</v>
      </c>
      <c r="AU79">
        <v>-6</v>
      </c>
      <c r="AV79">
        <v>0</v>
      </c>
      <c r="AW79">
        <v>0</v>
      </c>
      <c r="AX79">
        <v>0</v>
      </c>
      <c r="AY79">
        <v>-186</v>
      </c>
      <c r="AZ79">
        <v>1213</v>
      </c>
      <c r="BA79">
        <v>0</v>
      </c>
      <c r="BB79">
        <v>-252</v>
      </c>
      <c r="BC79">
        <v>-98</v>
      </c>
      <c r="BD79">
        <v>-165</v>
      </c>
      <c r="BE79">
        <v>-39</v>
      </c>
      <c r="BF79">
        <v>0</v>
      </c>
      <c r="BG79">
        <v>0</v>
      </c>
      <c r="BH79">
        <v>0</v>
      </c>
      <c r="BI79">
        <v>-44</v>
      </c>
      <c r="BJ79">
        <v>0</v>
      </c>
      <c r="BK79">
        <v>-3769</v>
      </c>
      <c r="BL79">
        <v>0</v>
      </c>
      <c r="BM79">
        <v>0</v>
      </c>
      <c r="BN79">
        <v>-1664</v>
      </c>
      <c r="BO79">
        <v>-1677</v>
      </c>
      <c r="BP79">
        <v>0</v>
      </c>
      <c r="BQ79">
        <v>0</v>
      </c>
      <c r="BR79">
        <v>-599</v>
      </c>
      <c r="BS79">
        <v>0</v>
      </c>
      <c r="BT79">
        <v>-2097</v>
      </c>
      <c r="BU79">
        <v>0</v>
      </c>
      <c r="BV79">
        <v>-1767</v>
      </c>
      <c r="BW79">
        <v>0</v>
      </c>
      <c r="BX79">
        <v>0</v>
      </c>
      <c r="BY79">
        <v>0</v>
      </c>
      <c r="BZ79">
        <v>0</v>
      </c>
      <c r="CA79">
        <v>-1847</v>
      </c>
      <c r="CB79">
        <v>-2395</v>
      </c>
      <c r="CC79">
        <v>0</v>
      </c>
      <c r="CD79">
        <v>0</v>
      </c>
      <c r="CE79">
        <v>-430</v>
      </c>
      <c r="CF79">
        <v>-1518</v>
      </c>
      <c r="CG79">
        <v>0</v>
      </c>
      <c r="CH79">
        <v>-785</v>
      </c>
    </row>
    <row r="80" spans="1:86">
      <c r="A80" t="s">
        <v>832</v>
      </c>
      <c r="B80" t="s">
        <v>88</v>
      </c>
      <c r="C80">
        <v>1000000</v>
      </c>
      <c r="D80" t="s">
        <v>89</v>
      </c>
      <c r="E80" t="s">
        <v>833</v>
      </c>
      <c r="F80" s="10" t="s">
        <v>834</v>
      </c>
      <c r="G80" t="s">
        <v>97</v>
      </c>
      <c r="H80">
        <v>0</v>
      </c>
      <c r="I80">
        <v>41</v>
      </c>
      <c r="J80">
        <v>0</v>
      </c>
      <c r="K80">
        <v>0</v>
      </c>
      <c r="L80">
        <v>0</v>
      </c>
      <c r="M80">
        <v>0</v>
      </c>
      <c r="N80">
        <v>232</v>
      </c>
      <c r="O80">
        <v>-7</v>
      </c>
      <c r="P80">
        <v>13</v>
      </c>
      <c r="Q80">
        <v>7</v>
      </c>
      <c r="R80">
        <v>-7</v>
      </c>
      <c r="S80">
        <v>-13</v>
      </c>
      <c r="T80">
        <v>24</v>
      </c>
      <c r="U80">
        <v>92</v>
      </c>
      <c r="V80">
        <v>-4</v>
      </c>
      <c r="W80">
        <v>22</v>
      </c>
      <c r="X80">
        <v>-26</v>
      </c>
      <c r="Y80">
        <v>-467</v>
      </c>
      <c r="Z80">
        <v>17</v>
      </c>
      <c r="AA80">
        <v>10</v>
      </c>
      <c r="AB80">
        <v>-33</v>
      </c>
      <c r="AC80">
        <v>47</v>
      </c>
      <c r="AD80">
        <v>5</v>
      </c>
      <c r="AE80">
        <v>-843</v>
      </c>
      <c r="AF80">
        <v>-9</v>
      </c>
      <c r="AG80">
        <v>747</v>
      </c>
      <c r="AH80">
        <v>-1157</v>
      </c>
      <c r="AI80">
        <v>-986</v>
      </c>
      <c r="AJ80">
        <v>-137</v>
      </c>
      <c r="AK80">
        <v>387</v>
      </c>
      <c r="AL80">
        <v>2376</v>
      </c>
      <c r="AM80">
        <v>-327</v>
      </c>
      <c r="AN80">
        <v>-278</v>
      </c>
      <c r="AO80">
        <v>-939</v>
      </c>
      <c r="AP80">
        <v>-5096</v>
      </c>
      <c r="AQ80">
        <v>-7944</v>
      </c>
      <c r="AR80">
        <v>-2365</v>
      </c>
      <c r="AS80">
        <v>-365</v>
      </c>
      <c r="AT80">
        <v>45550</v>
      </c>
      <c r="AU80">
        <v>-4176</v>
      </c>
      <c r="AV80">
        <v>-17675</v>
      </c>
      <c r="AW80">
        <v>-20964</v>
      </c>
      <c r="AX80">
        <v>-264</v>
      </c>
      <c r="AY80">
        <v>-4995</v>
      </c>
      <c r="AZ80">
        <v>-40625</v>
      </c>
      <c r="BA80">
        <v>-3972</v>
      </c>
      <c r="BB80">
        <v>-6416</v>
      </c>
      <c r="BC80">
        <v>-3511</v>
      </c>
      <c r="BD80">
        <v>-83932</v>
      </c>
      <c r="BE80">
        <v>-30387</v>
      </c>
      <c r="BF80">
        <v>7632</v>
      </c>
      <c r="BG80">
        <v>6539</v>
      </c>
      <c r="BH80">
        <v>77297</v>
      </c>
      <c r="BI80">
        <v>-9657</v>
      </c>
      <c r="BJ80">
        <v>15379</v>
      </c>
      <c r="BK80">
        <v>87060</v>
      </c>
      <c r="BL80">
        <v>89190</v>
      </c>
      <c r="BM80">
        <v>-12700</v>
      </c>
      <c r="BN80">
        <v>1116</v>
      </c>
      <c r="BO80">
        <v>-10710</v>
      </c>
      <c r="BP80">
        <v>-45059</v>
      </c>
      <c r="BQ80">
        <v>76563</v>
      </c>
      <c r="BR80">
        <v>103219</v>
      </c>
      <c r="BS80">
        <v>135207</v>
      </c>
      <c r="BT80">
        <v>-49740</v>
      </c>
      <c r="BU80">
        <v>-151501</v>
      </c>
      <c r="BV80">
        <v>94949</v>
      </c>
      <c r="BW80">
        <v>-17210</v>
      </c>
      <c r="BX80">
        <v>33201</v>
      </c>
      <c r="BY80">
        <v>339626</v>
      </c>
      <c r="BZ80">
        <v>66218</v>
      </c>
      <c r="CA80">
        <v>54761</v>
      </c>
      <c r="CB80">
        <v>48912</v>
      </c>
      <c r="CC80">
        <v>-119471</v>
      </c>
      <c r="CD80">
        <v>-4511</v>
      </c>
      <c r="CE80">
        <v>50810</v>
      </c>
      <c r="CF80">
        <v>23721</v>
      </c>
      <c r="CG80">
        <v>95566</v>
      </c>
      <c r="CH80">
        <v>33214</v>
      </c>
    </row>
    <row r="81" spans="1:86">
      <c r="A81" t="s">
        <v>835</v>
      </c>
      <c r="B81" t="s">
        <v>88</v>
      </c>
      <c r="C81">
        <v>1000000</v>
      </c>
      <c r="D81" t="s">
        <v>89</v>
      </c>
      <c r="E81" t="s">
        <v>836</v>
      </c>
      <c r="F81" s="10" t="s">
        <v>837</v>
      </c>
      <c r="G81" t="s">
        <v>97</v>
      </c>
      <c r="H81">
        <v>-690</v>
      </c>
      <c r="I81">
        <v>-408</v>
      </c>
      <c r="J81">
        <v>127</v>
      </c>
      <c r="K81">
        <v>507</v>
      </c>
      <c r="L81">
        <v>-944</v>
      </c>
      <c r="M81">
        <v>515</v>
      </c>
      <c r="N81">
        <v>-108</v>
      </c>
      <c r="O81">
        <v>-44</v>
      </c>
      <c r="P81">
        <v>-1535</v>
      </c>
      <c r="Q81">
        <v>705</v>
      </c>
      <c r="R81">
        <v>897</v>
      </c>
      <c r="S81">
        <v>760</v>
      </c>
      <c r="T81">
        <v>-151</v>
      </c>
      <c r="U81">
        <v>1755</v>
      </c>
      <c r="V81">
        <v>-1228</v>
      </c>
      <c r="W81">
        <v>-1552</v>
      </c>
      <c r="X81">
        <v>776</v>
      </c>
      <c r="Y81">
        <v>888</v>
      </c>
      <c r="Z81">
        <v>372</v>
      </c>
      <c r="AA81">
        <v>1495</v>
      </c>
      <c r="AB81">
        <v>-430</v>
      </c>
      <c r="AC81">
        <v>-7157</v>
      </c>
      <c r="AD81">
        <v>8346</v>
      </c>
      <c r="AE81">
        <v>2916</v>
      </c>
      <c r="AF81">
        <v>3025</v>
      </c>
      <c r="AG81">
        <v>1576</v>
      </c>
      <c r="AH81">
        <v>5732</v>
      </c>
      <c r="AI81">
        <v>-8274</v>
      </c>
      <c r="AJ81">
        <v>-1271</v>
      </c>
      <c r="AK81">
        <v>7090</v>
      </c>
      <c r="AL81">
        <v>1844</v>
      </c>
      <c r="AM81">
        <v>-4178</v>
      </c>
      <c r="AN81">
        <v>-9732</v>
      </c>
      <c r="AO81">
        <v>-8070</v>
      </c>
      <c r="AP81">
        <v>-14086</v>
      </c>
      <c r="AQ81">
        <v>-11165</v>
      </c>
      <c r="AR81">
        <v>-21742</v>
      </c>
      <c r="AS81">
        <v>17006</v>
      </c>
      <c r="AT81">
        <v>23802</v>
      </c>
      <c r="AU81">
        <v>3963</v>
      </c>
      <c r="AV81">
        <v>-12971</v>
      </c>
      <c r="AW81">
        <v>-40641</v>
      </c>
      <c r="AX81">
        <v>-29798</v>
      </c>
      <c r="AY81">
        <v>-63520</v>
      </c>
      <c r="AZ81">
        <v>-37731</v>
      </c>
      <c r="BA81">
        <v>10123</v>
      </c>
      <c r="BB81">
        <v>26208</v>
      </c>
      <c r="BC81">
        <v>-62181</v>
      </c>
      <c r="BD81">
        <v>1984</v>
      </c>
      <c r="BE81">
        <v>-48092</v>
      </c>
      <c r="BF81">
        <v>27141</v>
      </c>
      <c r="BG81">
        <v>-49105</v>
      </c>
      <c r="BH81">
        <v>-44493</v>
      </c>
      <c r="BI81">
        <v>27913</v>
      </c>
      <c r="BJ81">
        <v>-2429</v>
      </c>
      <c r="BK81">
        <v>-25595</v>
      </c>
      <c r="BL81">
        <v>57211</v>
      </c>
      <c r="BM81">
        <v>-57489</v>
      </c>
      <c r="BN81">
        <v>-86896</v>
      </c>
      <c r="BO81">
        <v>-163237</v>
      </c>
      <c r="BP81">
        <v>-57764</v>
      </c>
      <c r="BQ81">
        <v>-118164</v>
      </c>
      <c r="BR81">
        <v>58437</v>
      </c>
      <c r="BS81">
        <v>558766</v>
      </c>
      <c r="BT81">
        <v>453170</v>
      </c>
      <c r="BU81">
        <v>176310</v>
      </c>
      <c r="BV81">
        <v>376177</v>
      </c>
      <c r="BW81">
        <v>-158520</v>
      </c>
      <c r="BX81">
        <v>-13114</v>
      </c>
      <c r="BY81">
        <v>40079</v>
      </c>
      <c r="BZ81">
        <v>-72036</v>
      </c>
      <c r="CA81">
        <v>47615</v>
      </c>
      <c r="CB81">
        <v>50152</v>
      </c>
      <c r="CC81">
        <v>59300</v>
      </c>
      <c r="CD81">
        <v>4201</v>
      </c>
      <c r="CE81">
        <v>-382935</v>
      </c>
      <c r="CF81">
        <v>-293152</v>
      </c>
      <c r="CG81">
        <v>38281</v>
      </c>
      <c r="CH81">
        <v>-25883</v>
      </c>
    </row>
    <row r="82" spans="1:86">
      <c r="A82" t="s">
        <v>147</v>
      </c>
      <c r="B82" t="s">
        <v>88</v>
      </c>
      <c r="C82">
        <v>1000000</v>
      </c>
      <c r="D82" t="s">
        <v>89</v>
      </c>
      <c r="E82" t="s">
        <v>838</v>
      </c>
      <c r="F82" s="10" t="s">
        <v>839</v>
      </c>
      <c r="G82" t="s">
        <v>97</v>
      </c>
      <c r="H82">
        <v>1187</v>
      </c>
      <c r="I82">
        <v>1073</v>
      </c>
      <c r="J82">
        <v>356</v>
      </c>
      <c r="K82">
        <v>-874</v>
      </c>
      <c r="L82">
        <v>597</v>
      </c>
      <c r="M82">
        <v>1002</v>
      </c>
      <c r="N82">
        <v>123</v>
      </c>
      <c r="O82">
        <v>-320</v>
      </c>
      <c r="P82">
        <v>-539</v>
      </c>
      <c r="Q82">
        <v>424</v>
      </c>
      <c r="R82">
        <v>938</v>
      </c>
      <c r="S82">
        <v>111</v>
      </c>
      <c r="T82">
        <v>-160</v>
      </c>
      <c r="U82">
        <v>7</v>
      </c>
      <c r="V82">
        <v>-321</v>
      </c>
      <c r="W82">
        <v>13</v>
      </c>
      <c r="X82">
        <v>72</v>
      </c>
      <c r="Y82">
        <v>44</v>
      </c>
      <c r="Z82">
        <v>352</v>
      </c>
      <c r="AA82">
        <v>111</v>
      </c>
      <c r="AB82">
        <v>466</v>
      </c>
      <c r="AC82">
        <v>480</v>
      </c>
      <c r="AD82">
        <v>1252</v>
      </c>
      <c r="AE82">
        <v>1480</v>
      </c>
      <c r="AF82">
        <v>1598</v>
      </c>
      <c r="AG82">
        <v>2256</v>
      </c>
      <c r="AH82">
        <v>2204</v>
      </c>
      <c r="AI82">
        <v>3082</v>
      </c>
      <c r="AJ82">
        <v>8306</v>
      </c>
      <c r="AK82">
        <v>3145</v>
      </c>
      <c r="AL82">
        <v>3846</v>
      </c>
      <c r="AM82">
        <v>5968</v>
      </c>
      <c r="AN82">
        <v>7575</v>
      </c>
      <c r="AO82">
        <v>12504</v>
      </c>
      <c r="AP82">
        <v>13673</v>
      </c>
      <c r="AQ82">
        <v>11725</v>
      </c>
      <c r="AR82">
        <v>7873</v>
      </c>
      <c r="AS82">
        <v>2325</v>
      </c>
      <c r="AT82">
        <v>4691</v>
      </c>
      <c r="AU82">
        <v>4835</v>
      </c>
      <c r="AV82">
        <v>9414</v>
      </c>
      <c r="AW82">
        <v>8768</v>
      </c>
      <c r="AX82">
        <v>12179</v>
      </c>
      <c r="AY82">
        <v>11256</v>
      </c>
      <c r="AZ82">
        <v>10074</v>
      </c>
      <c r="BA82">
        <v>-621</v>
      </c>
      <c r="BB82">
        <v>4946</v>
      </c>
      <c r="BC82">
        <v>10327</v>
      </c>
      <c r="BD82">
        <v>16037</v>
      </c>
      <c r="BE82">
        <v>7213</v>
      </c>
      <c r="BF82">
        <v>1230</v>
      </c>
      <c r="BG82">
        <v>5283</v>
      </c>
      <c r="BH82">
        <v>6931</v>
      </c>
      <c r="BI82">
        <v>10735</v>
      </c>
      <c r="BJ82">
        <v>12362</v>
      </c>
      <c r="BK82">
        <v>2648</v>
      </c>
      <c r="BL82">
        <v>4213</v>
      </c>
      <c r="BM82">
        <v>4123</v>
      </c>
      <c r="BN82">
        <v>53453</v>
      </c>
      <c r="BO82">
        <v>56697</v>
      </c>
      <c r="BP82">
        <v>55425</v>
      </c>
      <c r="BQ82">
        <v>17607</v>
      </c>
      <c r="BR82">
        <v>46418</v>
      </c>
      <c r="BS82">
        <v>-55069</v>
      </c>
      <c r="BT82">
        <v>-3584</v>
      </c>
      <c r="BU82">
        <v>33401</v>
      </c>
      <c r="BV82">
        <v>5358</v>
      </c>
      <c r="BW82">
        <v>24326</v>
      </c>
      <c r="BX82">
        <v>20301</v>
      </c>
      <c r="BY82">
        <v>11050</v>
      </c>
      <c r="BZ82">
        <v>10173</v>
      </c>
      <c r="CA82">
        <v>22824</v>
      </c>
      <c r="CB82">
        <v>50654</v>
      </c>
      <c r="CC82">
        <v>32742</v>
      </c>
      <c r="CD82">
        <v>20192</v>
      </c>
      <c r="CE82">
        <v>220942</v>
      </c>
      <c r="CF82">
        <v>265304</v>
      </c>
      <c r="CG82">
        <v>9883</v>
      </c>
      <c r="CH82">
        <v>42241</v>
      </c>
    </row>
    <row r="83" spans="1:86">
      <c r="A83" t="s">
        <v>840</v>
      </c>
      <c r="B83" t="s">
        <v>88</v>
      </c>
      <c r="C83">
        <v>1000000</v>
      </c>
      <c r="D83" t="s">
        <v>89</v>
      </c>
      <c r="E83" t="s">
        <v>841</v>
      </c>
      <c r="F83" s="10" t="s">
        <v>842</v>
      </c>
      <c r="G83" t="s">
        <v>97</v>
      </c>
      <c r="H83">
        <v>1141</v>
      </c>
      <c r="I83">
        <v>965</v>
      </c>
      <c r="J83">
        <v>270</v>
      </c>
      <c r="K83">
        <v>-842</v>
      </c>
      <c r="L83">
        <v>543</v>
      </c>
      <c r="M83">
        <v>945</v>
      </c>
      <c r="N83">
        <v>136</v>
      </c>
      <c r="O83">
        <v>-298</v>
      </c>
      <c r="P83">
        <v>-455</v>
      </c>
      <c r="Q83">
        <v>399</v>
      </c>
      <c r="R83">
        <v>789</v>
      </c>
      <c r="S83">
        <v>53</v>
      </c>
      <c r="T83">
        <v>-177</v>
      </c>
      <c r="U83">
        <v>-47</v>
      </c>
      <c r="V83">
        <v>-225</v>
      </c>
      <c r="W83">
        <v>121</v>
      </c>
      <c r="X83">
        <v>173</v>
      </c>
      <c r="Y83">
        <v>146</v>
      </c>
      <c r="Z83">
        <v>494</v>
      </c>
      <c r="AA83">
        <v>421</v>
      </c>
      <c r="AB83">
        <v>689</v>
      </c>
      <c r="AC83">
        <v>612</v>
      </c>
      <c r="AD83">
        <v>1391</v>
      </c>
      <c r="AE83">
        <v>1494</v>
      </c>
      <c r="AF83">
        <v>1694</v>
      </c>
      <c r="AG83">
        <v>2813</v>
      </c>
      <c r="AH83">
        <v>2398</v>
      </c>
      <c r="AI83">
        <v>3172</v>
      </c>
      <c r="AJ83">
        <v>6192</v>
      </c>
      <c r="AK83">
        <v>1734</v>
      </c>
      <c r="AL83">
        <v>2906</v>
      </c>
      <c r="AM83">
        <v>5228</v>
      </c>
      <c r="AN83">
        <v>6630</v>
      </c>
      <c r="AO83">
        <v>9911</v>
      </c>
      <c r="AP83">
        <v>10327</v>
      </c>
      <c r="AQ83">
        <v>8130</v>
      </c>
      <c r="AR83">
        <v>5987</v>
      </c>
      <c r="AS83">
        <v>4489</v>
      </c>
      <c r="AT83">
        <v>6429</v>
      </c>
      <c r="AU83">
        <v>5552</v>
      </c>
      <c r="AV83">
        <v>8200</v>
      </c>
      <c r="AW83">
        <v>8253</v>
      </c>
      <c r="AX83">
        <v>8880</v>
      </c>
      <c r="AY83">
        <v>9855</v>
      </c>
      <c r="AZ83">
        <v>7154</v>
      </c>
      <c r="BA83">
        <v>576</v>
      </c>
      <c r="BB83">
        <v>7675</v>
      </c>
      <c r="BC83">
        <v>12800</v>
      </c>
      <c r="BD83">
        <v>17055</v>
      </c>
      <c r="BE83">
        <v>9323</v>
      </c>
      <c r="BF83">
        <v>10615</v>
      </c>
      <c r="BG83">
        <v>19444</v>
      </c>
      <c r="BH83">
        <v>21863</v>
      </c>
      <c r="BI83">
        <v>20253</v>
      </c>
      <c r="BJ83">
        <v>18321</v>
      </c>
      <c r="BK83">
        <v>17585</v>
      </c>
      <c r="BL83">
        <v>16413</v>
      </c>
      <c r="BM83">
        <v>14732</v>
      </c>
      <c r="BN83">
        <v>55007</v>
      </c>
      <c r="BO83">
        <v>64819</v>
      </c>
      <c r="BP83">
        <v>57603</v>
      </c>
      <c r="BQ83">
        <v>29936</v>
      </c>
      <c r="BR83">
        <v>49376</v>
      </c>
      <c r="BS83">
        <v>-43374</v>
      </c>
      <c r="BT83">
        <v>224</v>
      </c>
      <c r="BU83">
        <v>30866</v>
      </c>
      <c r="BV83">
        <v>11773</v>
      </c>
      <c r="BW83">
        <v>26153</v>
      </c>
      <c r="BX83">
        <v>21217</v>
      </c>
      <c r="BY83">
        <v>16748</v>
      </c>
      <c r="BZ83">
        <v>14381</v>
      </c>
      <c r="CA83">
        <v>24353</v>
      </c>
      <c r="CB83">
        <v>49149</v>
      </c>
      <c r="CC83">
        <v>36779</v>
      </c>
      <c r="CD83">
        <v>16533</v>
      </c>
      <c r="CE83">
        <v>178784</v>
      </c>
      <c r="CF83">
        <v>224478</v>
      </c>
      <c r="CG83">
        <v>1123</v>
      </c>
      <c r="CH83">
        <v>26822</v>
      </c>
    </row>
    <row r="84" spans="1:86">
      <c r="A84" t="s">
        <v>843</v>
      </c>
      <c r="B84" t="s">
        <v>88</v>
      </c>
      <c r="C84">
        <v>1000000</v>
      </c>
      <c r="D84" t="s">
        <v>89</v>
      </c>
      <c r="E84" t="s">
        <v>844</v>
      </c>
      <c r="F84" s="10" t="s">
        <v>845</v>
      </c>
      <c r="G84" t="s">
        <v>97</v>
      </c>
      <c r="H84">
        <v>45</v>
      </c>
      <c r="I84">
        <v>108</v>
      </c>
      <c r="J84">
        <v>86</v>
      </c>
      <c r="K84">
        <v>-32</v>
      </c>
      <c r="L84">
        <v>55</v>
      </c>
      <c r="M84">
        <v>56</v>
      </c>
      <c r="N84">
        <v>-14</v>
      </c>
      <c r="O84">
        <v>-24</v>
      </c>
      <c r="P84">
        <v>-86</v>
      </c>
      <c r="Q84">
        <v>24</v>
      </c>
      <c r="R84">
        <v>148</v>
      </c>
      <c r="S84">
        <v>58</v>
      </c>
      <c r="T84">
        <v>14</v>
      </c>
      <c r="U84">
        <v>52</v>
      </c>
      <c r="V84">
        <v>-96</v>
      </c>
      <c r="W84">
        <v>-103</v>
      </c>
      <c r="X84">
        <v>-102</v>
      </c>
      <c r="Y84">
        <v>-106</v>
      </c>
      <c r="Z84">
        <v>-143</v>
      </c>
      <c r="AA84">
        <v>-300</v>
      </c>
      <c r="AB84">
        <v>-209</v>
      </c>
      <c r="AC84">
        <v>-125</v>
      </c>
      <c r="AD84">
        <v>-135</v>
      </c>
      <c r="AE84">
        <v>-22</v>
      </c>
      <c r="AF84">
        <v>-89</v>
      </c>
      <c r="AG84">
        <v>-510</v>
      </c>
      <c r="AH84">
        <v>-186</v>
      </c>
      <c r="AI84">
        <v>-118</v>
      </c>
      <c r="AJ84">
        <v>1976</v>
      </c>
      <c r="AK84">
        <v>1389</v>
      </c>
      <c r="AL84">
        <v>919</v>
      </c>
      <c r="AM84">
        <v>780</v>
      </c>
      <c r="AN84">
        <v>918</v>
      </c>
      <c r="AO84">
        <v>2363</v>
      </c>
      <c r="AP84">
        <v>3133</v>
      </c>
      <c r="AQ84">
        <v>3256</v>
      </c>
      <c r="AR84">
        <v>1759</v>
      </c>
      <c r="AS84">
        <v>-2058</v>
      </c>
      <c r="AT84">
        <v>-1698</v>
      </c>
      <c r="AU84">
        <v>-464</v>
      </c>
      <c r="AV84">
        <v>1445</v>
      </c>
      <c r="AW84">
        <v>436</v>
      </c>
      <c r="AX84">
        <v>3539</v>
      </c>
      <c r="AY84">
        <v>2100</v>
      </c>
      <c r="AZ84">
        <v>2853</v>
      </c>
      <c r="BA84">
        <v>-75</v>
      </c>
      <c r="BB84">
        <v>-1425</v>
      </c>
      <c r="BC84">
        <v>-2167</v>
      </c>
      <c r="BD84">
        <v>-543</v>
      </c>
      <c r="BE84">
        <v>-2181</v>
      </c>
      <c r="BF84">
        <v>-8424</v>
      </c>
      <c r="BG84">
        <v>-13359</v>
      </c>
      <c r="BH84">
        <v>-14441</v>
      </c>
      <c r="BI84">
        <v>-9804</v>
      </c>
      <c r="BJ84">
        <v>-6339</v>
      </c>
      <c r="BK84">
        <v>-12360</v>
      </c>
      <c r="BL84">
        <v>-9231</v>
      </c>
      <c r="BM84">
        <v>-7570</v>
      </c>
      <c r="BN84">
        <v>2525</v>
      </c>
      <c r="BO84">
        <v>-5520</v>
      </c>
      <c r="BP84">
        <v>-725</v>
      </c>
      <c r="BQ84">
        <v>-9427</v>
      </c>
      <c r="BR84">
        <v>-739</v>
      </c>
      <c r="BS84">
        <v>-5845</v>
      </c>
      <c r="BT84">
        <v>-333</v>
      </c>
      <c r="BU84">
        <v>4469</v>
      </c>
      <c r="BV84">
        <v>-937</v>
      </c>
      <c r="BW84">
        <v>-1616</v>
      </c>
      <c r="BX84">
        <v>290</v>
      </c>
      <c r="BY84">
        <v>-3940</v>
      </c>
      <c r="BZ84">
        <v>-2751</v>
      </c>
      <c r="CA84">
        <v>-665</v>
      </c>
      <c r="CB84">
        <v>4495</v>
      </c>
      <c r="CC84">
        <v>-685</v>
      </c>
      <c r="CD84">
        <v>5000</v>
      </c>
      <c r="CE84">
        <v>47025</v>
      </c>
      <c r="CF84">
        <v>40151</v>
      </c>
      <c r="CG84">
        <v>10375</v>
      </c>
      <c r="CH84">
        <v>6900</v>
      </c>
    </row>
    <row r="85" spans="1:86">
      <c r="A85" t="s">
        <v>846</v>
      </c>
      <c r="B85" t="s">
        <v>88</v>
      </c>
      <c r="C85">
        <v>1000000</v>
      </c>
      <c r="D85" t="s">
        <v>89</v>
      </c>
      <c r="E85" t="s">
        <v>847</v>
      </c>
      <c r="F85" s="10" t="s">
        <v>848</v>
      </c>
      <c r="G85" t="s">
        <v>97</v>
      </c>
      <c r="H85">
        <v>1</v>
      </c>
      <c r="I85">
        <v>0</v>
      </c>
      <c r="J85">
        <v>0</v>
      </c>
      <c r="K85">
        <v>0</v>
      </c>
      <c r="L85">
        <v>-1</v>
      </c>
      <c r="M85">
        <v>1</v>
      </c>
      <c r="N85">
        <v>1</v>
      </c>
      <c r="O85">
        <v>2</v>
      </c>
      <c r="P85">
        <v>2</v>
      </c>
      <c r="Q85">
        <v>1</v>
      </c>
      <c r="R85">
        <v>1</v>
      </c>
      <c r="S85">
        <v>0</v>
      </c>
      <c r="T85">
        <v>3</v>
      </c>
      <c r="U85">
        <v>2</v>
      </c>
      <c r="V85">
        <v>0</v>
      </c>
      <c r="W85">
        <v>-5</v>
      </c>
      <c r="X85">
        <v>1</v>
      </c>
      <c r="Y85">
        <v>4</v>
      </c>
      <c r="Z85">
        <v>1</v>
      </c>
      <c r="AA85">
        <v>-10</v>
      </c>
      <c r="AB85">
        <v>-14</v>
      </c>
      <c r="AC85">
        <v>-7</v>
      </c>
      <c r="AD85">
        <v>-4</v>
      </c>
      <c r="AE85">
        <v>8</v>
      </c>
      <c r="AF85">
        <v>-7</v>
      </c>
      <c r="AG85">
        <v>-47</v>
      </c>
      <c r="AH85">
        <v>-8</v>
      </c>
      <c r="AI85">
        <v>28</v>
      </c>
      <c r="AJ85">
        <v>138</v>
      </c>
      <c r="AK85">
        <v>22</v>
      </c>
      <c r="AL85">
        <v>21</v>
      </c>
      <c r="AM85">
        <v>-40</v>
      </c>
      <c r="AN85">
        <v>27</v>
      </c>
      <c r="AO85">
        <v>230</v>
      </c>
      <c r="AP85">
        <v>213</v>
      </c>
      <c r="AQ85">
        <v>339</v>
      </c>
      <c r="AR85">
        <v>127</v>
      </c>
      <c r="AS85">
        <v>-106</v>
      </c>
      <c r="AT85">
        <v>-40</v>
      </c>
      <c r="AU85">
        <v>-253</v>
      </c>
      <c r="AV85">
        <v>-231</v>
      </c>
      <c r="AW85">
        <v>79</v>
      </c>
      <c r="AX85">
        <v>-240</v>
      </c>
      <c r="AY85">
        <v>-699</v>
      </c>
      <c r="AZ85">
        <v>67</v>
      </c>
      <c r="BA85">
        <v>-1122</v>
      </c>
      <c r="BB85">
        <v>-1304</v>
      </c>
      <c r="BC85">
        <v>-306</v>
      </c>
      <c r="BD85">
        <v>-475</v>
      </c>
      <c r="BE85">
        <v>71</v>
      </c>
      <c r="BF85">
        <v>-961</v>
      </c>
      <c r="BG85">
        <v>-802</v>
      </c>
      <c r="BH85">
        <v>-491</v>
      </c>
      <c r="BI85">
        <v>286</v>
      </c>
      <c r="BJ85">
        <v>380</v>
      </c>
      <c r="BK85">
        <v>-2577</v>
      </c>
      <c r="BL85">
        <v>-2969</v>
      </c>
      <c r="BM85">
        <v>-3039</v>
      </c>
      <c r="BN85">
        <v>-4079</v>
      </c>
      <c r="BO85">
        <v>-2602</v>
      </c>
      <c r="BP85">
        <v>-1453</v>
      </c>
      <c r="BQ85">
        <v>-2902</v>
      </c>
      <c r="BR85">
        <v>-2219</v>
      </c>
      <c r="BS85">
        <v>-5850</v>
      </c>
      <c r="BT85">
        <v>-3475</v>
      </c>
      <c r="BU85">
        <v>-1934</v>
      </c>
      <c r="BV85">
        <v>-5478</v>
      </c>
      <c r="BW85">
        <v>-211</v>
      </c>
      <c r="BX85">
        <v>-1206</v>
      </c>
      <c r="BY85">
        <v>-1758</v>
      </c>
      <c r="BZ85">
        <v>-1457</v>
      </c>
      <c r="CA85">
        <v>-864</v>
      </c>
      <c r="CB85">
        <v>-2990</v>
      </c>
      <c r="CC85">
        <v>-3353</v>
      </c>
      <c r="CD85">
        <v>-1341</v>
      </c>
      <c r="CE85">
        <v>-4866</v>
      </c>
      <c r="CF85">
        <v>675</v>
      </c>
      <c r="CG85">
        <v>-1616</v>
      </c>
      <c r="CH85">
        <v>8519</v>
      </c>
    </row>
    <row r="86" spans="1:86">
      <c r="A86" t="s">
        <v>698</v>
      </c>
      <c r="B86" t="s">
        <v>88</v>
      </c>
      <c r="C86">
        <v>1000000</v>
      </c>
      <c r="D86" t="s">
        <v>89</v>
      </c>
      <c r="E86" t="s">
        <v>849</v>
      </c>
      <c r="F86" s="10" t="s">
        <v>850</v>
      </c>
      <c r="G86" t="s">
        <v>97</v>
      </c>
      <c r="H86">
        <v>-149</v>
      </c>
      <c r="I86">
        <v>-73</v>
      </c>
      <c r="J86">
        <v>331</v>
      </c>
      <c r="K86">
        <v>1625</v>
      </c>
      <c r="L86">
        <v>349</v>
      </c>
      <c r="M86">
        <v>112</v>
      </c>
      <c r="N86">
        <v>-24</v>
      </c>
      <c r="O86">
        <v>-696</v>
      </c>
      <c r="P86">
        <v>3898</v>
      </c>
      <c r="Q86">
        <v>3217</v>
      </c>
      <c r="R86">
        <v>292</v>
      </c>
      <c r="S86">
        <v>-3581</v>
      </c>
      <c r="T86">
        <v>6015</v>
      </c>
      <c r="U86">
        <v>938</v>
      </c>
      <c r="V86">
        <v>-1861</v>
      </c>
      <c r="W86">
        <v>5978</v>
      </c>
      <c r="X86">
        <v>-7021</v>
      </c>
      <c r="Y86">
        <v>2470</v>
      </c>
      <c r="Z86">
        <v>2245</v>
      </c>
      <c r="AA86">
        <v>2584</v>
      </c>
      <c r="AB86">
        <v>-12416</v>
      </c>
      <c r="AC86">
        <v>9602</v>
      </c>
      <c r="AD86">
        <v>2606</v>
      </c>
      <c r="AE86">
        <v>-22219</v>
      </c>
      <c r="AF86">
        <v>-307</v>
      </c>
      <c r="AG86">
        <v>16691</v>
      </c>
      <c r="AH86">
        <v>15840</v>
      </c>
      <c r="AI86">
        <v>-30436</v>
      </c>
      <c r="AJ86">
        <v>-36281</v>
      </c>
      <c r="AK86">
        <v>29249</v>
      </c>
      <c r="AL86">
        <v>19313</v>
      </c>
      <c r="AM86">
        <v>-11673</v>
      </c>
      <c r="AN86">
        <v>7390</v>
      </c>
      <c r="AO86">
        <v>23389</v>
      </c>
      <c r="AP86">
        <v>31994</v>
      </c>
      <c r="AQ86">
        <v>-22218</v>
      </c>
      <c r="AR86">
        <v>25330</v>
      </c>
      <c r="AS86">
        <v>44341</v>
      </c>
      <c r="AT86">
        <v>20492</v>
      </c>
      <c r="AU86">
        <v>118654</v>
      </c>
      <c r="AV86">
        <v>62380</v>
      </c>
      <c r="AW86">
        <v>25321</v>
      </c>
      <c r="AX86">
        <v>56290</v>
      </c>
      <c r="AY86">
        <v>169220</v>
      </c>
      <c r="AZ86">
        <v>-61625</v>
      </c>
      <c r="BA86">
        <v>246944</v>
      </c>
      <c r="BB86">
        <v>84202</v>
      </c>
      <c r="BC86">
        <v>233489</v>
      </c>
      <c r="BD86">
        <v>-94374</v>
      </c>
      <c r="BE86">
        <v>671910</v>
      </c>
      <c r="BF86">
        <v>563988</v>
      </c>
      <c r="BG86">
        <v>934257</v>
      </c>
      <c r="BH86">
        <v>922461</v>
      </c>
      <c r="BI86">
        <v>1275551</v>
      </c>
      <c r="BJ86">
        <v>-619138</v>
      </c>
      <c r="BK86">
        <v>-1117486</v>
      </c>
      <c r="BL86">
        <v>-1111913</v>
      </c>
      <c r="BM86">
        <v>1706049</v>
      </c>
      <c r="BN86">
        <v>909008</v>
      </c>
      <c r="BO86">
        <v>652177</v>
      </c>
      <c r="BP86">
        <v>1440029</v>
      </c>
      <c r="BQ86">
        <v>852235</v>
      </c>
      <c r="BR86">
        <v>-5659534</v>
      </c>
      <c r="BS86">
        <v>2821468</v>
      </c>
      <c r="BT86">
        <v>1581059</v>
      </c>
      <c r="BU86">
        <v>-261029</v>
      </c>
      <c r="BV86">
        <v>1881530</v>
      </c>
      <c r="BW86">
        <v>2286732</v>
      </c>
      <c r="BX86">
        <v>1408102</v>
      </c>
      <c r="BY86">
        <v>-1013626</v>
      </c>
      <c r="BZ86">
        <v>1287301</v>
      </c>
      <c r="CA86">
        <v>3734236</v>
      </c>
      <c r="CB86">
        <v>-2584591</v>
      </c>
      <c r="CC86">
        <v>6092336</v>
      </c>
      <c r="CD86">
        <v>4513484</v>
      </c>
      <c r="CE86">
        <v>4408872</v>
      </c>
      <c r="CF86">
        <v>-10900677</v>
      </c>
      <c r="CG86">
        <v>5832784</v>
      </c>
      <c r="CH86">
        <v>4892475</v>
      </c>
    </row>
    <row r="87" spans="1:86">
      <c r="A87" t="s">
        <v>701</v>
      </c>
      <c r="B87" t="s">
        <v>88</v>
      </c>
      <c r="C87">
        <v>1000000</v>
      </c>
      <c r="D87" t="s">
        <v>89</v>
      </c>
      <c r="E87" t="s">
        <v>851</v>
      </c>
      <c r="F87" s="10" t="s">
        <v>852</v>
      </c>
      <c r="G87" t="s">
        <v>97</v>
      </c>
      <c r="H87">
        <v>0</v>
      </c>
      <c r="I87">
        <v>0</v>
      </c>
      <c r="J87">
        <v>0</v>
      </c>
      <c r="K87">
        <v>0</v>
      </c>
      <c r="L87">
        <v>0</v>
      </c>
      <c r="M87">
        <v>0</v>
      </c>
      <c r="N87">
        <v>0</v>
      </c>
      <c r="O87">
        <v>0</v>
      </c>
      <c r="P87">
        <v>0</v>
      </c>
      <c r="Q87">
        <v>0</v>
      </c>
      <c r="R87">
        <v>0</v>
      </c>
      <c r="S87">
        <v>0</v>
      </c>
      <c r="T87">
        <v>0</v>
      </c>
      <c r="U87">
        <v>0</v>
      </c>
      <c r="V87">
        <v>0</v>
      </c>
      <c r="W87">
        <v>-58</v>
      </c>
      <c r="X87">
        <v>90</v>
      </c>
      <c r="Y87">
        <v>16</v>
      </c>
      <c r="Z87">
        <v>32</v>
      </c>
      <c r="AA87">
        <v>160</v>
      </c>
      <c r="AB87">
        <v>-24</v>
      </c>
      <c r="AC87">
        <v>217</v>
      </c>
      <c r="AD87">
        <v>-135</v>
      </c>
      <c r="AE87">
        <v>280</v>
      </c>
      <c r="AF87">
        <v>-634</v>
      </c>
      <c r="AG87">
        <v>-66</v>
      </c>
      <c r="AH87">
        <v>195</v>
      </c>
      <c r="AI87">
        <v>-72</v>
      </c>
      <c r="AJ87">
        <v>-1</v>
      </c>
      <c r="AK87">
        <v>41</v>
      </c>
      <c r="AL87">
        <v>-31</v>
      </c>
      <c r="AM87">
        <v>-2</v>
      </c>
      <c r="AN87">
        <v>-589</v>
      </c>
      <c r="AO87">
        <v>1161</v>
      </c>
      <c r="AP87">
        <v>-543</v>
      </c>
      <c r="AQ87">
        <v>205</v>
      </c>
      <c r="AR87">
        <v>416</v>
      </c>
      <c r="AS87">
        <v>-114</v>
      </c>
      <c r="AT87">
        <v>-276</v>
      </c>
      <c r="AU87">
        <v>321</v>
      </c>
      <c r="AV87">
        <v>225</v>
      </c>
      <c r="AW87">
        <v>-1682</v>
      </c>
      <c r="AX87">
        <v>1318</v>
      </c>
      <c r="AY87">
        <v>8609</v>
      </c>
      <c r="AZ87">
        <v>-2519</v>
      </c>
      <c r="BA87">
        <v>-1877</v>
      </c>
      <c r="BB87">
        <v>-3150</v>
      </c>
      <c r="BC87">
        <v>63</v>
      </c>
      <c r="BD87">
        <v>-152</v>
      </c>
      <c r="BE87">
        <v>-4873</v>
      </c>
      <c r="BF87">
        <v>3566</v>
      </c>
      <c r="BG87">
        <v>1525</v>
      </c>
      <c r="BH87">
        <v>126</v>
      </c>
      <c r="BI87">
        <v>-1718</v>
      </c>
      <c r="BJ87">
        <v>2</v>
      </c>
      <c r="BK87">
        <v>18</v>
      </c>
      <c r="BL87">
        <v>18</v>
      </c>
      <c r="BM87">
        <v>1763</v>
      </c>
      <c r="BN87">
        <v>-928</v>
      </c>
      <c r="BO87">
        <v>-3418</v>
      </c>
      <c r="BP87">
        <v>662</v>
      </c>
      <c r="BQ87">
        <v>943</v>
      </c>
      <c r="BR87">
        <v>-194</v>
      </c>
      <c r="BS87">
        <v>620</v>
      </c>
      <c r="BT87">
        <v>171</v>
      </c>
      <c r="BU87">
        <v>2349</v>
      </c>
      <c r="BV87">
        <v>-964</v>
      </c>
      <c r="BW87">
        <v>-2039</v>
      </c>
      <c r="BX87">
        <v>-873</v>
      </c>
      <c r="BY87">
        <v>-811</v>
      </c>
      <c r="BZ87">
        <v>212</v>
      </c>
      <c r="CA87">
        <v>3882</v>
      </c>
      <c r="CB87">
        <v>833</v>
      </c>
      <c r="CC87">
        <v>970</v>
      </c>
      <c r="CD87">
        <v>430</v>
      </c>
      <c r="CE87">
        <v>-790</v>
      </c>
      <c r="CF87">
        <v>64</v>
      </c>
      <c r="CG87">
        <v>-470</v>
      </c>
      <c r="CH87">
        <v>-1197</v>
      </c>
    </row>
    <row r="88" spans="1:86">
      <c r="A88" t="s">
        <v>704</v>
      </c>
      <c r="B88" t="s">
        <v>88</v>
      </c>
      <c r="C88">
        <v>1000000</v>
      </c>
      <c r="D88" t="s">
        <v>89</v>
      </c>
      <c r="E88" t="s">
        <v>853</v>
      </c>
      <c r="F88" s="10" t="s">
        <v>854</v>
      </c>
      <c r="G88" t="s">
        <v>97</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60</v>
      </c>
      <c r="AL88">
        <v>450</v>
      </c>
      <c r="AM88">
        <v>-364</v>
      </c>
      <c r="AN88">
        <v>-285</v>
      </c>
      <c r="AO88">
        <v>-551</v>
      </c>
      <c r="AP88">
        <v>-1072</v>
      </c>
      <c r="AQ88">
        <v>-1939</v>
      </c>
      <c r="AR88">
        <v>6824</v>
      </c>
      <c r="AS88">
        <v>-2127</v>
      </c>
      <c r="AT88">
        <v>2226</v>
      </c>
      <c r="AU88">
        <v>10273</v>
      </c>
      <c r="AV88">
        <v>7445</v>
      </c>
      <c r="AW88">
        <v>-22796</v>
      </c>
      <c r="AX88">
        <v>-2906</v>
      </c>
      <c r="AY88">
        <v>14870</v>
      </c>
      <c r="AZ88">
        <v>-3362</v>
      </c>
      <c r="BA88">
        <v>29691</v>
      </c>
      <c r="BB88">
        <v>-2487</v>
      </c>
      <c r="BC88">
        <v>13476</v>
      </c>
      <c r="BD88">
        <v>-87601</v>
      </c>
      <c r="BE88">
        <v>78235</v>
      </c>
      <c r="BF88">
        <v>-10417</v>
      </c>
      <c r="BG88">
        <v>56832</v>
      </c>
      <c r="BH88">
        <v>31068</v>
      </c>
      <c r="BI88">
        <v>-189548</v>
      </c>
      <c r="BJ88">
        <v>20824</v>
      </c>
      <c r="BK88">
        <v>68891</v>
      </c>
      <c r="BL88">
        <v>177969</v>
      </c>
      <c r="BM88">
        <v>24674</v>
      </c>
      <c r="BN88">
        <v>34869</v>
      </c>
      <c r="BO88">
        <v>-132484</v>
      </c>
      <c r="BP88">
        <v>-133825</v>
      </c>
      <c r="BQ88">
        <v>-4845</v>
      </c>
      <c r="BR88">
        <v>-525039</v>
      </c>
      <c r="BS88">
        <v>516994</v>
      </c>
      <c r="BT88">
        <v>236221</v>
      </c>
      <c r="BU88">
        <v>390788</v>
      </c>
      <c r="BV88">
        <v>256822</v>
      </c>
      <c r="BW88">
        <v>-1007710</v>
      </c>
      <c r="BX88">
        <v>615424</v>
      </c>
      <c r="BY88">
        <v>-511994</v>
      </c>
      <c r="BZ88">
        <v>-37344</v>
      </c>
      <c r="CA88">
        <v>211681</v>
      </c>
      <c r="CB88">
        <v>-643055</v>
      </c>
      <c r="CC88">
        <v>1307459</v>
      </c>
      <c r="CD88">
        <v>719881</v>
      </c>
      <c r="CE88">
        <v>-1003153</v>
      </c>
      <c r="CF88">
        <v>-4640940</v>
      </c>
      <c r="CG88">
        <v>757240</v>
      </c>
      <c r="CH88">
        <v>-263310</v>
      </c>
    </row>
    <row r="89" spans="1:86">
      <c r="A89" t="s">
        <v>722</v>
      </c>
      <c r="B89" t="s">
        <v>88</v>
      </c>
      <c r="C89">
        <v>1000000</v>
      </c>
      <c r="D89" t="s">
        <v>89</v>
      </c>
      <c r="E89" t="s">
        <v>855</v>
      </c>
      <c r="F89" s="10" t="s">
        <v>856</v>
      </c>
      <c r="G89" t="s">
        <v>97</v>
      </c>
      <c r="H89">
        <v>8</v>
      </c>
      <c r="I89">
        <v>-12</v>
      </c>
      <c r="J89">
        <v>-17</v>
      </c>
      <c r="K89">
        <v>-12</v>
      </c>
      <c r="L89">
        <v>-15</v>
      </c>
      <c r="M89">
        <v>-21</v>
      </c>
      <c r="N89">
        <v>0</v>
      </c>
      <c r="O89">
        <v>0</v>
      </c>
      <c r="P89">
        <v>0</v>
      </c>
      <c r="Q89">
        <v>0</v>
      </c>
      <c r="R89">
        <v>0</v>
      </c>
      <c r="S89">
        <v>0</v>
      </c>
      <c r="T89">
        <v>0</v>
      </c>
      <c r="U89">
        <v>0</v>
      </c>
      <c r="V89">
        <v>0</v>
      </c>
      <c r="W89">
        <v>0</v>
      </c>
      <c r="X89">
        <v>0</v>
      </c>
      <c r="Y89">
        <v>0</v>
      </c>
      <c r="Z89">
        <v>0</v>
      </c>
      <c r="AA89">
        <v>10</v>
      </c>
      <c r="AB89">
        <v>-2</v>
      </c>
      <c r="AC89">
        <v>2</v>
      </c>
      <c r="AD89">
        <v>9</v>
      </c>
      <c r="AE89">
        <v>42</v>
      </c>
      <c r="AF89">
        <v>7</v>
      </c>
      <c r="AG89">
        <v>25</v>
      </c>
      <c r="AH89">
        <v>15</v>
      </c>
      <c r="AI89">
        <v>-8</v>
      </c>
      <c r="AJ89">
        <v>-18</v>
      </c>
      <c r="AK89">
        <v>-121</v>
      </c>
      <c r="AL89">
        <v>134</v>
      </c>
      <c r="AM89">
        <v>-48</v>
      </c>
      <c r="AN89">
        <v>-116</v>
      </c>
      <c r="AO89">
        <v>-101</v>
      </c>
      <c r="AP89">
        <v>-3</v>
      </c>
      <c r="AQ89">
        <v>-589</v>
      </c>
      <c r="AR89">
        <v>-533</v>
      </c>
      <c r="AS89">
        <v>-258</v>
      </c>
      <c r="AT89">
        <v>-393</v>
      </c>
      <c r="AU89">
        <v>1165</v>
      </c>
      <c r="AV89">
        <v>1785</v>
      </c>
      <c r="AW89">
        <v>1677</v>
      </c>
      <c r="AX89">
        <v>-395</v>
      </c>
      <c r="AY89">
        <v>986</v>
      </c>
      <c r="AZ89">
        <v>2306</v>
      </c>
      <c r="BA89">
        <v>-4</v>
      </c>
      <c r="BB89">
        <v>-752</v>
      </c>
      <c r="BC89">
        <v>354</v>
      </c>
      <c r="BD89">
        <v>325</v>
      </c>
      <c r="BE89">
        <v>-77</v>
      </c>
      <c r="BF89">
        <v>-1611</v>
      </c>
      <c r="BG89">
        <v>-2286</v>
      </c>
      <c r="BH89">
        <v>1836</v>
      </c>
      <c r="BI89">
        <v>-376</v>
      </c>
      <c r="BJ89">
        <v>-1408</v>
      </c>
      <c r="BK89">
        <v>-1940</v>
      </c>
      <c r="BL89">
        <v>2046</v>
      </c>
      <c r="BM89">
        <v>1034</v>
      </c>
      <c r="BN89">
        <v>-1196</v>
      </c>
      <c r="BO89">
        <v>1596</v>
      </c>
      <c r="BP89">
        <v>1587</v>
      </c>
      <c r="BQ89">
        <v>4488</v>
      </c>
      <c r="BR89">
        <v>5219</v>
      </c>
      <c r="BS89">
        <v>-1244</v>
      </c>
      <c r="BT89">
        <v>1049</v>
      </c>
      <c r="BU89">
        <v>-4861</v>
      </c>
      <c r="BV89">
        <v>5538</v>
      </c>
      <c r="BW89">
        <v>1670</v>
      </c>
      <c r="BX89">
        <v>-1318</v>
      </c>
      <c r="BY89">
        <v>653</v>
      </c>
      <c r="BZ89">
        <v>-2474</v>
      </c>
      <c r="CA89">
        <v>1543</v>
      </c>
      <c r="CB89">
        <v>-128</v>
      </c>
      <c r="CC89">
        <v>-1357</v>
      </c>
      <c r="CD89">
        <v>-58</v>
      </c>
      <c r="CE89">
        <v>-81</v>
      </c>
      <c r="CF89">
        <v>281</v>
      </c>
      <c r="CG89">
        <v>-1499</v>
      </c>
      <c r="CH89">
        <v>250</v>
      </c>
    </row>
    <row r="90" spans="1:86">
      <c r="A90" t="s">
        <v>734</v>
      </c>
      <c r="B90" t="s">
        <v>88</v>
      </c>
      <c r="C90">
        <v>1000000</v>
      </c>
      <c r="D90" t="s">
        <v>89</v>
      </c>
      <c r="E90" t="s">
        <v>857</v>
      </c>
      <c r="F90" s="10" t="s">
        <v>858</v>
      </c>
      <c r="G90" t="s">
        <v>97</v>
      </c>
      <c r="H90">
        <v>-149</v>
      </c>
      <c r="I90">
        <v>-66</v>
      </c>
      <c r="J90">
        <v>-73</v>
      </c>
      <c r="K90">
        <v>1628</v>
      </c>
      <c r="L90">
        <v>358</v>
      </c>
      <c r="M90">
        <v>120</v>
      </c>
      <c r="N90">
        <v>288</v>
      </c>
      <c r="O90">
        <v>-628</v>
      </c>
      <c r="P90">
        <v>3870</v>
      </c>
      <c r="Q90">
        <v>4746</v>
      </c>
      <c r="R90">
        <v>-460</v>
      </c>
      <c r="S90">
        <v>-4094</v>
      </c>
      <c r="T90">
        <v>8210</v>
      </c>
      <c r="U90">
        <v>1464</v>
      </c>
      <c r="V90">
        <v>-1838</v>
      </c>
      <c r="W90">
        <v>9187</v>
      </c>
      <c r="X90">
        <v>-10780</v>
      </c>
      <c r="Y90">
        <v>5938</v>
      </c>
      <c r="Z90">
        <v>4507</v>
      </c>
      <c r="AA90">
        <v>4350</v>
      </c>
      <c r="AB90">
        <v>-16271</v>
      </c>
      <c r="AC90">
        <v>13179</v>
      </c>
      <c r="AD90">
        <v>4927</v>
      </c>
      <c r="AE90">
        <v>-25847</v>
      </c>
      <c r="AF90">
        <v>-1896</v>
      </c>
      <c r="AG90">
        <v>26510</v>
      </c>
      <c r="AH90">
        <v>21246</v>
      </c>
      <c r="AI90">
        <v>-45706</v>
      </c>
      <c r="AJ90">
        <v>-53835</v>
      </c>
      <c r="AK90">
        <v>48263</v>
      </c>
      <c r="AL90">
        <v>26538</v>
      </c>
      <c r="AM90">
        <v>-19522</v>
      </c>
      <c r="AN90">
        <v>22450</v>
      </c>
      <c r="AO90">
        <v>24625</v>
      </c>
      <c r="AP90">
        <v>56842</v>
      </c>
      <c r="AQ90">
        <v>-34323</v>
      </c>
      <c r="AR90">
        <v>62829</v>
      </c>
      <c r="AS90">
        <v>97963</v>
      </c>
      <c r="AT90">
        <v>11446</v>
      </c>
      <c r="AU90">
        <v>175370</v>
      </c>
      <c r="AV90">
        <v>58518</v>
      </c>
      <c r="AW90">
        <v>-7418</v>
      </c>
      <c r="AX90">
        <v>30623</v>
      </c>
      <c r="AY90">
        <v>256798</v>
      </c>
      <c r="AZ90">
        <v>-81122</v>
      </c>
      <c r="BA90">
        <v>377770</v>
      </c>
      <c r="BB90">
        <v>135744</v>
      </c>
      <c r="BC90">
        <v>253738</v>
      </c>
      <c r="BD90">
        <v>-12250</v>
      </c>
      <c r="BE90">
        <v>833654</v>
      </c>
      <c r="BF90">
        <v>686073</v>
      </c>
      <c r="BG90">
        <v>1064166</v>
      </c>
      <c r="BH90">
        <v>990250</v>
      </c>
      <c r="BI90">
        <v>1442101</v>
      </c>
      <c r="BJ90">
        <v>-606616</v>
      </c>
      <c r="BK90">
        <v>-1018697</v>
      </c>
      <c r="BL90">
        <v>-1379963</v>
      </c>
      <c r="BM90">
        <v>1874963</v>
      </c>
      <c r="BN90">
        <v>987939</v>
      </c>
      <c r="BO90">
        <v>685010</v>
      </c>
      <c r="BP90">
        <v>1464979</v>
      </c>
      <c r="BQ90">
        <v>701084</v>
      </c>
      <c r="BR90">
        <v>-5104432</v>
      </c>
      <c r="BS90">
        <v>2189701</v>
      </c>
      <c r="BT90">
        <v>1308716</v>
      </c>
      <c r="BU90">
        <v>-529169</v>
      </c>
      <c r="BV90">
        <v>1508046</v>
      </c>
      <c r="BW90">
        <v>3236469</v>
      </c>
      <c r="BX90">
        <v>972211</v>
      </c>
      <c r="BY90">
        <v>-459328</v>
      </c>
      <c r="BZ90">
        <v>1170348</v>
      </c>
      <c r="CA90">
        <v>3380396</v>
      </c>
      <c r="CB90">
        <v>-1815354</v>
      </c>
      <c r="CC90">
        <v>4611204</v>
      </c>
      <c r="CD90">
        <v>3597369</v>
      </c>
      <c r="CE90">
        <v>5074516</v>
      </c>
      <c r="CF90">
        <v>-5952179</v>
      </c>
      <c r="CG90">
        <v>4764868</v>
      </c>
      <c r="CH90">
        <v>5048489</v>
      </c>
    </row>
    <row r="91" spans="1:86">
      <c r="A91" t="s">
        <v>737</v>
      </c>
      <c r="B91" t="s">
        <v>88</v>
      </c>
      <c r="C91">
        <v>1000000</v>
      </c>
      <c r="D91" t="s">
        <v>89</v>
      </c>
      <c r="E91" t="s">
        <v>859</v>
      </c>
      <c r="F91" s="10" t="s">
        <v>860</v>
      </c>
      <c r="G91" t="s">
        <v>97</v>
      </c>
      <c r="H91">
        <v>0</v>
      </c>
      <c r="I91">
        <v>0</v>
      </c>
      <c r="J91">
        <v>0</v>
      </c>
      <c r="K91">
        <v>0</v>
      </c>
      <c r="L91">
        <v>0</v>
      </c>
      <c r="M91">
        <v>0</v>
      </c>
      <c r="N91">
        <v>0</v>
      </c>
      <c r="O91">
        <v>0</v>
      </c>
      <c r="P91">
        <v>0</v>
      </c>
      <c r="Q91">
        <v>0</v>
      </c>
      <c r="R91">
        <v>0</v>
      </c>
      <c r="S91">
        <v>0</v>
      </c>
      <c r="T91">
        <v>0</v>
      </c>
      <c r="U91">
        <v>0</v>
      </c>
      <c r="V91">
        <v>0</v>
      </c>
      <c r="W91">
        <v>0</v>
      </c>
      <c r="X91">
        <v>-10</v>
      </c>
      <c r="Y91">
        <v>19</v>
      </c>
      <c r="Z91">
        <v>14</v>
      </c>
      <c r="AA91">
        <v>38</v>
      </c>
      <c r="AB91">
        <v>-61</v>
      </c>
      <c r="AC91">
        <v>104</v>
      </c>
      <c r="AD91">
        <v>29</v>
      </c>
      <c r="AE91">
        <v>-203</v>
      </c>
      <c r="AF91">
        <v>-136</v>
      </c>
      <c r="AG91">
        <v>247</v>
      </c>
      <c r="AH91">
        <v>111</v>
      </c>
      <c r="AI91">
        <v>-504</v>
      </c>
      <c r="AJ91">
        <v>-784</v>
      </c>
      <c r="AK91">
        <v>485</v>
      </c>
      <c r="AL91">
        <v>301</v>
      </c>
      <c r="AM91">
        <v>-139</v>
      </c>
      <c r="AN91">
        <v>467</v>
      </c>
      <c r="AO91">
        <v>539</v>
      </c>
      <c r="AP91">
        <v>2168</v>
      </c>
      <c r="AQ91">
        <v>-967</v>
      </c>
      <c r="AR91">
        <v>715</v>
      </c>
      <c r="AS91">
        <v>3159</v>
      </c>
      <c r="AT91">
        <v>-171</v>
      </c>
      <c r="AU91">
        <v>-19</v>
      </c>
      <c r="AV91">
        <v>4435</v>
      </c>
      <c r="AW91">
        <v>5707</v>
      </c>
      <c r="AX91">
        <v>8406</v>
      </c>
      <c r="AY91">
        <v>14584</v>
      </c>
      <c r="AZ91">
        <v>-2474</v>
      </c>
      <c r="BA91">
        <v>32343</v>
      </c>
      <c r="BB91">
        <v>13050</v>
      </c>
      <c r="BC91">
        <v>27948</v>
      </c>
      <c r="BD91">
        <v>5776</v>
      </c>
      <c r="BE91">
        <v>148987</v>
      </c>
      <c r="BF91">
        <v>116270</v>
      </c>
      <c r="BG91">
        <v>225795</v>
      </c>
      <c r="BH91">
        <v>185355</v>
      </c>
      <c r="BI91">
        <v>409454</v>
      </c>
      <c r="BJ91">
        <v>-114837</v>
      </c>
      <c r="BK91">
        <v>-350608</v>
      </c>
      <c r="BL91">
        <v>-269601</v>
      </c>
      <c r="BM91">
        <v>422514</v>
      </c>
      <c r="BN91">
        <v>202658</v>
      </c>
      <c r="BO91">
        <v>335778</v>
      </c>
      <c r="BP91">
        <v>385525</v>
      </c>
      <c r="BQ91">
        <v>218119</v>
      </c>
      <c r="BR91">
        <v>-1364888</v>
      </c>
      <c r="BS91">
        <v>662770</v>
      </c>
      <c r="BT91">
        <v>369435</v>
      </c>
      <c r="BU91">
        <v>-119980</v>
      </c>
      <c r="BV91">
        <v>425851</v>
      </c>
      <c r="BW91">
        <v>683426</v>
      </c>
      <c r="BX91">
        <v>223282</v>
      </c>
      <c r="BY91">
        <v>-120858</v>
      </c>
      <c r="BZ91">
        <v>341669</v>
      </c>
      <c r="CA91">
        <v>766892</v>
      </c>
      <c r="CB91">
        <v>-401347</v>
      </c>
      <c r="CC91">
        <v>1054299</v>
      </c>
      <c r="CD91">
        <v>810455</v>
      </c>
      <c r="CE91">
        <v>948254</v>
      </c>
      <c r="CF91">
        <v>-1398907</v>
      </c>
      <c r="CG91">
        <v>940743</v>
      </c>
      <c r="CH91">
        <v>827796</v>
      </c>
    </row>
    <row r="92" spans="1:86">
      <c r="A92" t="s">
        <v>746</v>
      </c>
      <c r="B92" t="s">
        <v>88</v>
      </c>
      <c r="C92">
        <v>1000000</v>
      </c>
      <c r="D92" t="s">
        <v>89</v>
      </c>
      <c r="E92" t="s">
        <v>861</v>
      </c>
      <c r="F92" s="10" t="s">
        <v>862</v>
      </c>
      <c r="G92" t="s">
        <v>97</v>
      </c>
      <c r="H92">
        <v>-8</v>
      </c>
      <c r="I92">
        <v>12</v>
      </c>
      <c r="J92">
        <v>17</v>
      </c>
      <c r="K92">
        <v>12</v>
      </c>
      <c r="L92">
        <v>15</v>
      </c>
      <c r="M92">
        <v>21</v>
      </c>
      <c r="N92">
        <v>6</v>
      </c>
      <c r="O92">
        <v>1</v>
      </c>
      <c r="P92">
        <v>9</v>
      </c>
      <c r="Q92">
        <v>0</v>
      </c>
      <c r="R92">
        <v>-1</v>
      </c>
      <c r="S92">
        <v>0</v>
      </c>
      <c r="T92">
        <v>0</v>
      </c>
      <c r="U92">
        <v>0</v>
      </c>
      <c r="V92">
        <v>0</v>
      </c>
      <c r="W92">
        <v>0</v>
      </c>
      <c r="X92">
        <v>0</v>
      </c>
      <c r="Y92">
        <v>0</v>
      </c>
      <c r="Z92">
        <v>0</v>
      </c>
      <c r="AA92">
        <v>-10</v>
      </c>
      <c r="AB92">
        <v>2</v>
      </c>
      <c r="AC92">
        <v>-2</v>
      </c>
      <c r="AD92">
        <v>-5</v>
      </c>
      <c r="AE92">
        <v>-5</v>
      </c>
      <c r="AF92">
        <v>-5</v>
      </c>
      <c r="AG92">
        <v>-9</v>
      </c>
      <c r="AH92">
        <v>-35</v>
      </c>
      <c r="AI92">
        <v>-18</v>
      </c>
      <c r="AJ92">
        <v>0</v>
      </c>
      <c r="AK92">
        <v>0</v>
      </c>
      <c r="AL92">
        <v>-119</v>
      </c>
      <c r="AM92">
        <v>-24</v>
      </c>
      <c r="AN92">
        <v>-49</v>
      </c>
      <c r="AO92">
        <v>-54</v>
      </c>
      <c r="AP92">
        <v>-69</v>
      </c>
      <c r="AQ92">
        <v>-22</v>
      </c>
      <c r="AR92">
        <v>635</v>
      </c>
      <c r="AS92">
        <v>2579</v>
      </c>
      <c r="AT92">
        <v>-975</v>
      </c>
      <c r="AU92">
        <v>7549</v>
      </c>
      <c r="AV92">
        <v>13392</v>
      </c>
      <c r="AW92">
        <v>6945</v>
      </c>
      <c r="AX92">
        <v>10247</v>
      </c>
      <c r="AY92">
        <v>27292</v>
      </c>
      <c r="AZ92">
        <v>-18211</v>
      </c>
      <c r="BA92">
        <v>11003</v>
      </c>
      <c r="BB92">
        <v>1905</v>
      </c>
      <c r="BC92">
        <v>39113</v>
      </c>
      <c r="BD92">
        <v>-27127</v>
      </c>
      <c r="BE92">
        <v>13841</v>
      </c>
      <c r="BF92">
        <v>20757</v>
      </c>
      <c r="BG92">
        <v>16497</v>
      </c>
      <c r="BH92">
        <v>44475</v>
      </c>
      <c r="BI92">
        <v>6502</v>
      </c>
      <c r="BJ92">
        <v>-34557</v>
      </c>
      <c r="BK92">
        <v>-58266</v>
      </c>
      <c r="BL92">
        <v>-28165</v>
      </c>
      <c r="BM92">
        <v>105204</v>
      </c>
      <c r="BN92">
        <v>76999</v>
      </c>
      <c r="BO92">
        <v>43155</v>
      </c>
      <c r="BP92">
        <v>98485</v>
      </c>
      <c r="BQ92">
        <v>84974</v>
      </c>
      <c r="BR92">
        <v>-454900</v>
      </c>
      <c r="BS92">
        <v>171180</v>
      </c>
      <c r="BT92">
        <v>36827</v>
      </c>
      <c r="BU92">
        <v>-133467</v>
      </c>
      <c r="BV92">
        <v>60017</v>
      </c>
      <c r="BW92">
        <v>106936</v>
      </c>
      <c r="BX92">
        <v>-41824</v>
      </c>
      <c r="BY92">
        <v>-88036</v>
      </c>
      <c r="BZ92">
        <v>7671</v>
      </c>
      <c r="CA92">
        <v>160784</v>
      </c>
      <c r="CB92">
        <v>-199463</v>
      </c>
      <c r="CC92">
        <v>194567</v>
      </c>
      <c r="CD92">
        <v>78977</v>
      </c>
      <c r="CE92">
        <v>195389</v>
      </c>
      <c r="CF92">
        <v>-380505</v>
      </c>
      <c r="CG92">
        <v>174478</v>
      </c>
      <c r="CH92">
        <v>53003</v>
      </c>
    </row>
    <row r="93" spans="1:86">
      <c r="A93" t="s">
        <v>755</v>
      </c>
      <c r="B93" t="s">
        <v>88</v>
      </c>
      <c r="C93">
        <v>1000000</v>
      </c>
      <c r="D93" t="s">
        <v>89</v>
      </c>
      <c r="E93" t="s">
        <v>863</v>
      </c>
      <c r="F93" s="10" t="s">
        <v>864</v>
      </c>
      <c r="G93" t="s">
        <v>97</v>
      </c>
      <c r="H93">
        <v>0</v>
      </c>
      <c r="I93">
        <v>-7</v>
      </c>
      <c r="J93">
        <v>-7</v>
      </c>
      <c r="K93">
        <v>-3</v>
      </c>
      <c r="L93">
        <v>-9</v>
      </c>
      <c r="M93">
        <v>-8</v>
      </c>
      <c r="N93">
        <v>-34</v>
      </c>
      <c r="O93">
        <v>-18</v>
      </c>
      <c r="P93">
        <v>-60</v>
      </c>
      <c r="Q93">
        <v>-1860</v>
      </c>
      <c r="R93">
        <v>-15</v>
      </c>
      <c r="S93">
        <v>508</v>
      </c>
      <c r="T93">
        <v>-2221</v>
      </c>
      <c r="U93">
        <v>-1061</v>
      </c>
      <c r="V93">
        <v>-109</v>
      </c>
      <c r="W93">
        <v>-3450</v>
      </c>
      <c r="X93">
        <v>2631</v>
      </c>
      <c r="Y93">
        <v>-3261</v>
      </c>
      <c r="Z93">
        <v>-3372</v>
      </c>
      <c r="AA93">
        <v>-3455</v>
      </c>
      <c r="AB93">
        <v>4036</v>
      </c>
      <c r="AC93">
        <v>-6251</v>
      </c>
      <c r="AD93">
        <v>-5210</v>
      </c>
      <c r="AE93">
        <v>4736</v>
      </c>
      <c r="AF93">
        <v>1562</v>
      </c>
      <c r="AG93">
        <v>-12057</v>
      </c>
      <c r="AH93">
        <v>-8951</v>
      </c>
      <c r="AI93">
        <v>19028</v>
      </c>
      <c r="AJ93">
        <v>21665</v>
      </c>
      <c r="AK93">
        <v>-23061</v>
      </c>
      <c r="AL93">
        <v>-11290</v>
      </c>
      <c r="AM93">
        <v>10537</v>
      </c>
      <c r="AN93">
        <v>-14128</v>
      </c>
      <c r="AO93">
        <v>-7475</v>
      </c>
      <c r="AP93">
        <v>-32983</v>
      </c>
      <c r="AQ93">
        <v>15904</v>
      </c>
      <c r="AR93">
        <v>-39653</v>
      </c>
      <c r="AS93">
        <v>-58853</v>
      </c>
      <c r="AT93">
        <v>7867</v>
      </c>
      <c r="AU93">
        <v>-74548</v>
      </c>
      <c r="AV93">
        <v>-32546</v>
      </c>
      <c r="AW93">
        <v>32308</v>
      </c>
      <c r="AX93">
        <v>10925</v>
      </c>
      <c r="AY93">
        <v>-138261</v>
      </c>
      <c r="AZ93">
        <v>37467</v>
      </c>
      <c r="BA93">
        <v>-182408</v>
      </c>
      <c r="BB93">
        <v>-63710</v>
      </c>
      <c r="BC93">
        <v>-100154</v>
      </c>
      <c r="BD93">
        <v>-12960</v>
      </c>
      <c r="BE93">
        <v>-362329</v>
      </c>
      <c r="BF93">
        <v>-279232</v>
      </c>
      <c r="BG93">
        <v>-400558</v>
      </c>
      <c r="BH93">
        <v>-349361</v>
      </c>
      <c r="BI93">
        <v>-450697</v>
      </c>
      <c r="BJ93">
        <v>161674</v>
      </c>
      <c r="BK93">
        <v>246959</v>
      </c>
      <c r="BL93">
        <v>366094</v>
      </c>
      <c r="BM93">
        <v>-689438</v>
      </c>
      <c r="BN93">
        <v>-313578</v>
      </c>
      <c r="BO93">
        <v>-256194</v>
      </c>
      <c r="BP93">
        <v>-393600</v>
      </c>
      <c r="BQ93">
        <v>-181183</v>
      </c>
      <c r="BR93">
        <v>1440457</v>
      </c>
      <c r="BS93">
        <v>-634106</v>
      </c>
      <c r="BT93">
        <v>-411216</v>
      </c>
      <c r="BU93">
        <v>42422</v>
      </c>
      <c r="BV93">
        <v>-427510</v>
      </c>
      <c r="BW93">
        <v>-772464</v>
      </c>
      <c r="BX93">
        <v>-287945</v>
      </c>
      <c r="BY93">
        <v>132745</v>
      </c>
      <c r="BZ93">
        <v>-313410</v>
      </c>
      <c r="CA93">
        <v>-730330</v>
      </c>
      <c r="CB93">
        <v>341674</v>
      </c>
      <c r="CC93">
        <v>-981566</v>
      </c>
      <c r="CD93">
        <v>-824351</v>
      </c>
      <c r="CE93">
        <v>-937341</v>
      </c>
      <c r="CF93">
        <v>1082388</v>
      </c>
      <c r="CG93">
        <v>-785602</v>
      </c>
      <c r="CH93">
        <v>-741686</v>
      </c>
    </row>
    <row r="94" spans="1:86">
      <c r="A94" t="s">
        <v>758</v>
      </c>
      <c r="B94" t="s">
        <v>88</v>
      </c>
      <c r="C94">
        <v>1000000</v>
      </c>
      <c r="D94" t="s">
        <v>89</v>
      </c>
      <c r="E94" t="s">
        <v>865</v>
      </c>
      <c r="F94" s="10" t="s">
        <v>866</v>
      </c>
      <c r="G94" t="s">
        <v>97</v>
      </c>
      <c r="H94">
        <v>0</v>
      </c>
      <c r="I94">
        <v>0</v>
      </c>
      <c r="J94">
        <v>411</v>
      </c>
      <c r="K94">
        <v>0</v>
      </c>
      <c r="L94">
        <v>0</v>
      </c>
      <c r="M94">
        <v>0</v>
      </c>
      <c r="N94">
        <v>-284</v>
      </c>
      <c r="O94">
        <v>-51</v>
      </c>
      <c r="P94">
        <v>79</v>
      </c>
      <c r="Q94">
        <v>331</v>
      </c>
      <c r="R94">
        <v>768</v>
      </c>
      <c r="S94">
        <v>5</v>
      </c>
      <c r="T94">
        <v>26</v>
      </c>
      <c r="U94">
        <v>535</v>
      </c>
      <c r="V94">
        <v>86</v>
      </c>
      <c r="W94">
        <v>299</v>
      </c>
      <c r="X94">
        <v>1049</v>
      </c>
      <c r="Y94">
        <v>-242</v>
      </c>
      <c r="Z94">
        <v>1064</v>
      </c>
      <c r="AA94">
        <v>1492</v>
      </c>
      <c r="AB94">
        <v>-96</v>
      </c>
      <c r="AC94">
        <v>2353</v>
      </c>
      <c r="AD94">
        <v>2991</v>
      </c>
      <c r="AE94">
        <v>-1221</v>
      </c>
      <c r="AF94">
        <v>796</v>
      </c>
      <c r="AG94">
        <v>2041</v>
      </c>
      <c r="AH94">
        <v>3260</v>
      </c>
      <c r="AI94">
        <v>-3157</v>
      </c>
      <c r="AJ94">
        <v>-3309</v>
      </c>
      <c r="AK94">
        <v>3582</v>
      </c>
      <c r="AL94">
        <v>3330</v>
      </c>
      <c r="AM94">
        <v>-2112</v>
      </c>
      <c r="AN94">
        <v>-361</v>
      </c>
      <c r="AO94">
        <v>5246</v>
      </c>
      <c r="AP94">
        <v>7654</v>
      </c>
      <c r="AQ94">
        <v>-488</v>
      </c>
      <c r="AR94">
        <v>-5903</v>
      </c>
      <c r="AS94">
        <v>1992</v>
      </c>
      <c r="AT94">
        <v>767</v>
      </c>
      <c r="AU94">
        <v>-1457</v>
      </c>
      <c r="AV94">
        <v>9126</v>
      </c>
      <c r="AW94">
        <v>10581</v>
      </c>
      <c r="AX94">
        <v>-1928</v>
      </c>
      <c r="AY94">
        <v>-15658</v>
      </c>
      <c r="AZ94">
        <v>6291</v>
      </c>
      <c r="BA94">
        <v>-19575</v>
      </c>
      <c r="BB94">
        <v>3601</v>
      </c>
      <c r="BC94">
        <v>-1048</v>
      </c>
      <c r="BD94">
        <v>39615</v>
      </c>
      <c r="BE94">
        <v>-35529</v>
      </c>
      <c r="BF94">
        <v>28582</v>
      </c>
      <c r="BG94">
        <v>-27714</v>
      </c>
      <c r="BH94">
        <v>18713</v>
      </c>
      <c r="BI94">
        <v>59833</v>
      </c>
      <c r="BJ94">
        <v>-44220</v>
      </c>
      <c r="BK94">
        <v>-3843</v>
      </c>
      <c r="BL94">
        <v>19689</v>
      </c>
      <c r="BM94">
        <v>-34664</v>
      </c>
      <c r="BN94">
        <v>-77756</v>
      </c>
      <c r="BO94">
        <v>-21267</v>
      </c>
      <c r="BP94">
        <v>16216</v>
      </c>
      <c r="BQ94">
        <v>28656</v>
      </c>
      <c r="BR94">
        <v>344244</v>
      </c>
      <c r="BS94">
        <v>-84447</v>
      </c>
      <c r="BT94">
        <v>39857</v>
      </c>
      <c r="BU94">
        <v>90889</v>
      </c>
      <c r="BV94">
        <v>53731</v>
      </c>
      <c r="BW94">
        <v>40445</v>
      </c>
      <c r="BX94">
        <v>-70855</v>
      </c>
      <c r="BY94">
        <v>34004</v>
      </c>
      <c r="BZ94">
        <v>120629</v>
      </c>
      <c r="CA94">
        <v>-60612</v>
      </c>
      <c r="CB94">
        <v>132250</v>
      </c>
      <c r="CC94">
        <v>-93241</v>
      </c>
      <c r="CD94">
        <v>130782</v>
      </c>
      <c r="CE94">
        <v>132078</v>
      </c>
      <c r="CF94">
        <v>389121</v>
      </c>
      <c r="CG94">
        <v>-16976</v>
      </c>
      <c r="CH94">
        <v>-30870</v>
      </c>
    </row>
    <row r="95" spans="1:86">
      <c r="A95" t="s">
        <v>761</v>
      </c>
      <c r="B95" t="s">
        <v>88</v>
      </c>
      <c r="C95">
        <v>1000000</v>
      </c>
      <c r="D95" t="s">
        <v>89</v>
      </c>
      <c r="E95" t="s">
        <v>867</v>
      </c>
      <c r="F95" s="10" t="s">
        <v>868</v>
      </c>
      <c r="G95" t="s">
        <v>97</v>
      </c>
      <c r="H95">
        <v>-24</v>
      </c>
      <c r="I95">
        <v>63</v>
      </c>
      <c r="J95">
        <v>482</v>
      </c>
      <c r="K95">
        <v>1333</v>
      </c>
      <c r="L95">
        <v>250</v>
      </c>
      <c r="M95">
        <v>95</v>
      </c>
      <c r="N95">
        <v>329</v>
      </c>
      <c r="O95">
        <v>-472</v>
      </c>
      <c r="P95">
        <v>2885</v>
      </c>
      <c r="Q95">
        <v>1836</v>
      </c>
      <c r="R95">
        <v>-170</v>
      </c>
      <c r="S95">
        <v>-2617</v>
      </c>
      <c r="T95">
        <v>4321</v>
      </c>
      <c r="U95">
        <v>144</v>
      </c>
      <c r="V95">
        <v>-1778</v>
      </c>
      <c r="W95">
        <v>26463</v>
      </c>
      <c r="X95">
        <v>-10341</v>
      </c>
      <c r="Y95">
        <v>11974</v>
      </c>
      <c r="Z95">
        <v>7551</v>
      </c>
      <c r="AA95">
        <v>10214</v>
      </c>
      <c r="AB95">
        <v>-8013</v>
      </c>
      <c r="AC95">
        <v>14540</v>
      </c>
      <c r="AD95">
        <v>25991</v>
      </c>
      <c r="AE95">
        <v>-40499</v>
      </c>
      <c r="AF95">
        <v>-8718</v>
      </c>
      <c r="AG95">
        <v>30487</v>
      </c>
      <c r="AH95">
        <v>17572</v>
      </c>
      <c r="AI95">
        <v>-73500</v>
      </c>
      <c r="AJ95">
        <v>-79640</v>
      </c>
      <c r="AK95">
        <v>22640</v>
      </c>
      <c r="AL95">
        <v>26543</v>
      </c>
      <c r="AM95">
        <v>-17125</v>
      </c>
      <c r="AN95">
        <v>11086</v>
      </c>
      <c r="AO95">
        <v>28585</v>
      </c>
      <c r="AP95">
        <v>32042</v>
      </c>
      <c r="AQ95">
        <v>-10777</v>
      </c>
      <c r="AR95">
        <v>24139</v>
      </c>
      <c r="AS95">
        <v>67602</v>
      </c>
      <c r="AT95">
        <v>14946</v>
      </c>
      <c r="AU95">
        <v>182444</v>
      </c>
      <c r="AV95">
        <v>80836</v>
      </c>
      <c r="AW95">
        <v>-39702</v>
      </c>
      <c r="AX95">
        <v>74259</v>
      </c>
      <c r="AY95">
        <v>218465</v>
      </c>
      <c r="AZ95">
        <v>-163897</v>
      </c>
      <c r="BA95">
        <v>398935</v>
      </c>
      <c r="BB95">
        <v>196889</v>
      </c>
      <c r="BC95">
        <v>320320</v>
      </c>
      <c r="BD95">
        <v>-116935</v>
      </c>
      <c r="BE95">
        <v>1048147</v>
      </c>
      <c r="BF95">
        <v>951625</v>
      </c>
      <c r="BG95">
        <v>1650028</v>
      </c>
      <c r="BH95">
        <v>1065459</v>
      </c>
      <c r="BI95">
        <v>1464439</v>
      </c>
      <c r="BJ95">
        <v>-297031</v>
      </c>
      <c r="BK95">
        <v>-1307218</v>
      </c>
      <c r="BL95">
        <v>-1573808</v>
      </c>
      <c r="BM95">
        <v>2307412</v>
      </c>
      <c r="BN95">
        <v>1147742</v>
      </c>
      <c r="BO95">
        <v>862711</v>
      </c>
      <c r="BP95">
        <v>1980342</v>
      </c>
      <c r="BQ95">
        <v>36732</v>
      </c>
      <c r="BR95">
        <v>-6959378</v>
      </c>
      <c r="BS95">
        <v>2387689</v>
      </c>
      <c r="BT95">
        <v>1799154</v>
      </c>
      <c r="BU95">
        <v>-958628</v>
      </c>
      <c r="BV95">
        <v>1958949</v>
      </c>
      <c r="BW95">
        <v>3966655</v>
      </c>
      <c r="BX95">
        <v>1401827</v>
      </c>
      <c r="BY95">
        <v>-715592</v>
      </c>
      <c r="BZ95">
        <v>1978611</v>
      </c>
      <c r="CA95">
        <v>4385733</v>
      </c>
      <c r="CB95">
        <v>-2797308</v>
      </c>
      <c r="CC95">
        <v>6393345</v>
      </c>
      <c r="CD95">
        <v>4005146</v>
      </c>
      <c r="CE95">
        <v>7167898</v>
      </c>
      <c r="CF95">
        <v>-9139360</v>
      </c>
      <c r="CG95">
        <v>6000127</v>
      </c>
      <c r="CH95">
        <v>6953715</v>
      </c>
    </row>
    <row r="96" spans="1:86">
      <c r="A96" t="s">
        <v>785</v>
      </c>
      <c r="B96" t="s">
        <v>88</v>
      </c>
      <c r="C96">
        <v>1000000</v>
      </c>
      <c r="D96" t="s">
        <v>89</v>
      </c>
      <c r="E96" t="s">
        <v>869</v>
      </c>
      <c r="F96" s="10" t="s">
        <v>870</v>
      </c>
      <c r="G96" t="s">
        <v>97</v>
      </c>
      <c r="H96">
        <v>0</v>
      </c>
      <c r="I96">
        <v>-28</v>
      </c>
      <c r="J96">
        <v>-42</v>
      </c>
      <c r="K96">
        <v>-27</v>
      </c>
      <c r="L96">
        <v>-86</v>
      </c>
      <c r="M96">
        <v>-39</v>
      </c>
      <c r="N96">
        <v>8</v>
      </c>
      <c r="O96">
        <v>8</v>
      </c>
      <c r="P96">
        <v>13</v>
      </c>
      <c r="Q96">
        <v>12</v>
      </c>
      <c r="R96">
        <v>8</v>
      </c>
      <c r="S96">
        <v>5</v>
      </c>
      <c r="T96">
        <v>15</v>
      </c>
      <c r="U96">
        <v>11</v>
      </c>
      <c r="V96">
        <v>0</v>
      </c>
      <c r="W96">
        <v>0</v>
      </c>
      <c r="X96">
        <v>-2</v>
      </c>
      <c r="Y96">
        <v>2</v>
      </c>
      <c r="Z96">
        <v>0</v>
      </c>
      <c r="AA96">
        <v>0</v>
      </c>
      <c r="AB96">
        <v>0</v>
      </c>
      <c r="AC96">
        <v>2</v>
      </c>
      <c r="AD96">
        <v>-2</v>
      </c>
      <c r="AE96">
        <v>-1</v>
      </c>
      <c r="AF96">
        <v>2</v>
      </c>
      <c r="AG96">
        <v>0</v>
      </c>
      <c r="AH96">
        <v>6</v>
      </c>
      <c r="AI96">
        <v>9</v>
      </c>
      <c r="AJ96">
        <v>0</v>
      </c>
      <c r="AK96">
        <v>0</v>
      </c>
      <c r="AL96">
        <v>91</v>
      </c>
      <c r="AM96">
        <v>75</v>
      </c>
      <c r="AN96">
        <v>95</v>
      </c>
      <c r="AO96">
        <v>140</v>
      </c>
      <c r="AP96">
        <v>439</v>
      </c>
      <c r="AQ96">
        <v>245</v>
      </c>
      <c r="AR96">
        <v>-811</v>
      </c>
      <c r="AS96">
        <v>2</v>
      </c>
      <c r="AT96">
        <v>-2</v>
      </c>
      <c r="AU96">
        <v>0</v>
      </c>
      <c r="AV96">
        <v>2</v>
      </c>
      <c r="AW96">
        <v>-875</v>
      </c>
      <c r="AX96">
        <v>-1</v>
      </c>
      <c r="AY96">
        <v>0</v>
      </c>
      <c r="AZ96">
        <v>0</v>
      </c>
      <c r="BA96">
        <v>2</v>
      </c>
      <c r="BB96">
        <v>203</v>
      </c>
      <c r="BC96">
        <v>1</v>
      </c>
      <c r="BD96">
        <v>-2307</v>
      </c>
      <c r="BE96">
        <v>0</v>
      </c>
      <c r="BF96">
        <v>1</v>
      </c>
      <c r="BG96">
        <v>-222</v>
      </c>
      <c r="BH96">
        <v>2</v>
      </c>
      <c r="BI96">
        <v>1</v>
      </c>
      <c r="BJ96">
        <v>0</v>
      </c>
      <c r="BK96">
        <v>0</v>
      </c>
      <c r="BL96">
        <v>-1281</v>
      </c>
      <c r="BM96">
        <v>-154</v>
      </c>
      <c r="BN96">
        <v>-543</v>
      </c>
      <c r="BO96">
        <v>2699</v>
      </c>
      <c r="BP96">
        <v>656</v>
      </c>
      <c r="BQ96">
        <v>4219</v>
      </c>
      <c r="BR96">
        <v>2510</v>
      </c>
      <c r="BS96">
        <v>-815</v>
      </c>
      <c r="BT96">
        <v>1615</v>
      </c>
      <c r="BU96">
        <v>-2730</v>
      </c>
      <c r="BV96">
        <v>-5714</v>
      </c>
      <c r="BW96">
        <v>-44</v>
      </c>
      <c r="BX96">
        <v>-1675</v>
      </c>
      <c r="BY96">
        <v>360</v>
      </c>
      <c r="BZ96">
        <v>-8903</v>
      </c>
      <c r="CA96">
        <v>6004</v>
      </c>
      <c r="CB96">
        <v>4187</v>
      </c>
      <c r="CC96">
        <v>-4062</v>
      </c>
      <c r="CD96">
        <v>-2747</v>
      </c>
      <c r="CE96">
        <v>-3583</v>
      </c>
      <c r="CF96">
        <v>-10839</v>
      </c>
      <c r="CG96">
        <v>-2128</v>
      </c>
      <c r="CH96">
        <v>5712</v>
      </c>
    </row>
    <row r="97" spans="1:86">
      <c r="A97" t="s">
        <v>794</v>
      </c>
      <c r="B97" t="s">
        <v>88</v>
      </c>
      <c r="C97">
        <v>1000000</v>
      </c>
      <c r="D97" t="s">
        <v>89</v>
      </c>
      <c r="E97" t="s">
        <v>871</v>
      </c>
      <c r="F97" s="10" t="s">
        <v>872</v>
      </c>
      <c r="G97" t="s">
        <v>97</v>
      </c>
      <c r="H97">
        <v>108</v>
      </c>
      <c r="I97">
        <v>88</v>
      </c>
      <c r="J97">
        <v>82</v>
      </c>
      <c r="K97">
        <v>31</v>
      </c>
      <c r="L97">
        <v>118</v>
      </c>
      <c r="M97">
        <v>191</v>
      </c>
      <c r="N97">
        <v>433</v>
      </c>
      <c r="O97">
        <v>-32</v>
      </c>
      <c r="P97">
        <v>1244</v>
      </c>
      <c r="Q97">
        <v>606</v>
      </c>
      <c r="R97">
        <v>292</v>
      </c>
      <c r="S97">
        <v>-180</v>
      </c>
      <c r="T97">
        <v>1537</v>
      </c>
      <c r="U97">
        <v>448</v>
      </c>
      <c r="V97">
        <v>60</v>
      </c>
      <c r="W97">
        <v>23967</v>
      </c>
      <c r="X97">
        <v>-3856</v>
      </c>
      <c r="Y97">
        <v>11767</v>
      </c>
      <c r="Z97">
        <v>8506</v>
      </c>
      <c r="AA97">
        <v>10686</v>
      </c>
      <c r="AB97">
        <v>1759</v>
      </c>
      <c r="AC97">
        <v>10169</v>
      </c>
      <c r="AD97">
        <v>27847</v>
      </c>
      <c r="AE97">
        <v>-23037</v>
      </c>
      <c r="AF97">
        <v>-10316</v>
      </c>
      <c r="AG97">
        <v>17811</v>
      </c>
      <c r="AH97">
        <v>8866</v>
      </c>
      <c r="AI97">
        <v>-55940</v>
      </c>
      <c r="AJ97">
        <v>-60142</v>
      </c>
      <c r="AK97">
        <v>1318</v>
      </c>
      <c r="AL97">
        <v>15715</v>
      </c>
      <c r="AM97">
        <v>-9877</v>
      </c>
      <c r="AN97">
        <v>5734</v>
      </c>
      <c r="AO97">
        <v>12706</v>
      </c>
      <c r="AP97">
        <v>8817</v>
      </c>
      <c r="AQ97">
        <v>3356</v>
      </c>
      <c r="AR97">
        <v>5278</v>
      </c>
      <c r="AS97">
        <v>27827</v>
      </c>
      <c r="AT97">
        <v>-1031</v>
      </c>
      <c r="AU97">
        <v>86819</v>
      </c>
      <c r="AV97">
        <v>44345</v>
      </c>
      <c r="AW97">
        <v>-45773</v>
      </c>
      <c r="AX97">
        <v>38023</v>
      </c>
      <c r="AY97">
        <v>76407</v>
      </c>
      <c r="AZ97">
        <v>-103327</v>
      </c>
      <c r="BA97">
        <v>162893</v>
      </c>
      <c r="BB97">
        <v>129023</v>
      </c>
      <c r="BC97">
        <v>112642</v>
      </c>
      <c r="BD97">
        <v>-23646</v>
      </c>
      <c r="BE97">
        <v>383346</v>
      </c>
      <c r="BF97">
        <v>426779</v>
      </c>
      <c r="BG97">
        <v>757071</v>
      </c>
      <c r="BH97">
        <v>214853</v>
      </c>
      <c r="BI97">
        <v>35154</v>
      </c>
      <c r="BJ97">
        <v>417687</v>
      </c>
      <c r="BK97">
        <v>-190663</v>
      </c>
      <c r="BL97">
        <v>-335410</v>
      </c>
      <c r="BM97">
        <v>700457</v>
      </c>
      <c r="BN97">
        <v>309923</v>
      </c>
      <c r="BO97">
        <v>169309</v>
      </c>
      <c r="BP97">
        <v>601380</v>
      </c>
      <c r="BQ97">
        <v>-622349</v>
      </c>
      <c r="BR97">
        <v>-2074212</v>
      </c>
      <c r="BS97">
        <v>37461</v>
      </c>
      <c r="BT97">
        <v>439847</v>
      </c>
      <c r="BU97">
        <v>-501636</v>
      </c>
      <c r="BV97">
        <v>405097</v>
      </c>
      <c r="BW97">
        <v>1248773</v>
      </c>
      <c r="BX97">
        <v>499939</v>
      </c>
      <c r="BY97">
        <v>-115553</v>
      </c>
      <c r="BZ97">
        <v>837326</v>
      </c>
      <c r="CA97">
        <v>1264064</v>
      </c>
      <c r="CB97">
        <v>-979651</v>
      </c>
      <c r="CC97">
        <v>1811777</v>
      </c>
      <c r="CD97">
        <v>479430</v>
      </c>
      <c r="CE97">
        <v>2998976</v>
      </c>
      <c r="CF97">
        <v>-2307099</v>
      </c>
      <c r="CG97">
        <v>1631769</v>
      </c>
      <c r="CH97">
        <v>2886308</v>
      </c>
    </row>
    <row r="98" spans="1:86">
      <c r="A98" t="s">
        <v>797</v>
      </c>
      <c r="B98" t="s">
        <v>88</v>
      </c>
      <c r="C98">
        <v>1000000</v>
      </c>
      <c r="D98" t="s">
        <v>89</v>
      </c>
      <c r="E98" t="s">
        <v>873</v>
      </c>
      <c r="F98" s="10" t="s">
        <v>874</v>
      </c>
      <c r="G98" t="s">
        <v>97</v>
      </c>
      <c r="H98">
        <v>-132</v>
      </c>
      <c r="I98">
        <v>-48</v>
      </c>
      <c r="J98">
        <v>-45</v>
      </c>
      <c r="K98">
        <v>1280</v>
      </c>
      <c r="L98">
        <v>62</v>
      </c>
      <c r="M98">
        <v>-128</v>
      </c>
      <c r="N98">
        <v>-55</v>
      </c>
      <c r="O98">
        <v>-169</v>
      </c>
      <c r="P98">
        <v>1543</v>
      </c>
      <c r="Q98">
        <v>1157</v>
      </c>
      <c r="R98">
        <v>421</v>
      </c>
      <c r="S98">
        <v>-1167</v>
      </c>
      <c r="T98">
        <v>3120</v>
      </c>
      <c r="U98">
        <v>1157</v>
      </c>
      <c r="V98">
        <v>159</v>
      </c>
      <c r="W98">
        <v>4178</v>
      </c>
      <c r="X98">
        <v>-2854</v>
      </c>
      <c r="Y98">
        <v>2977</v>
      </c>
      <c r="Z98">
        <v>2711</v>
      </c>
      <c r="AA98">
        <v>3954</v>
      </c>
      <c r="AB98">
        <v>-2873</v>
      </c>
      <c r="AC98">
        <v>8384</v>
      </c>
      <c r="AD98">
        <v>4412</v>
      </c>
      <c r="AE98">
        <v>-6975</v>
      </c>
      <c r="AF98">
        <v>-2351</v>
      </c>
      <c r="AG98">
        <v>8517</v>
      </c>
      <c r="AH98">
        <v>4941</v>
      </c>
      <c r="AI98">
        <v>-11163</v>
      </c>
      <c r="AJ98">
        <v>-11534</v>
      </c>
      <c r="AK98">
        <v>8240</v>
      </c>
      <c r="AL98">
        <v>5998</v>
      </c>
      <c r="AM98">
        <v>-1681</v>
      </c>
      <c r="AN98">
        <v>1434</v>
      </c>
      <c r="AO98">
        <v>6572</v>
      </c>
      <c r="AP98">
        <v>10194</v>
      </c>
      <c r="AQ98">
        <v>-5018</v>
      </c>
      <c r="AR98">
        <v>10031</v>
      </c>
      <c r="AS98">
        <v>13591</v>
      </c>
      <c r="AT98">
        <v>1237</v>
      </c>
      <c r="AU98">
        <v>37694</v>
      </c>
      <c r="AV98">
        <v>31762</v>
      </c>
      <c r="AW98">
        <v>-18598</v>
      </c>
      <c r="AX98">
        <v>27546</v>
      </c>
      <c r="AY98">
        <v>58946</v>
      </c>
      <c r="AZ98">
        <v>-31146</v>
      </c>
      <c r="BA98">
        <v>117176</v>
      </c>
      <c r="BB98">
        <v>43510</v>
      </c>
      <c r="BC98">
        <v>128139</v>
      </c>
      <c r="BD98">
        <v>-74621</v>
      </c>
      <c r="BE98">
        <v>345112</v>
      </c>
      <c r="BF98">
        <v>280632</v>
      </c>
      <c r="BG98">
        <v>454869</v>
      </c>
      <c r="BH98">
        <v>462379</v>
      </c>
      <c r="BI98">
        <v>819911</v>
      </c>
      <c r="BJ98">
        <v>-408959</v>
      </c>
      <c r="BK98">
        <v>-621278</v>
      </c>
      <c r="BL98">
        <v>-754516</v>
      </c>
      <c r="BM98">
        <v>961263</v>
      </c>
      <c r="BN98">
        <v>543861</v>
      </c>
      <c r="BO98">
        <v>384412</v>
      </c>
      <c r="BP98">
        <v>848998</v>
      </c>
      <c r="BQ98">
        <v>478606</v>
      </c>
      <c r="BR98">
        <v>-3068083</v>
      </c>
      <c r="BS98">
        <v>1474875</v>
      </c>
      <c r="BT98">
        <v>837359</v>
      </c>
      <c r="BU98">
        <v>-289068</v>
      </c>
      <c r="BV98">
        <v>1035582</v>
      </c>
      <c r="BW98">
        <v>1622611</v>
      </c>
      <c r="BX98">
        <v>506588</v>
      </c>
      <c r="BY98">
        <v>-352073</v>
      </c>
      <c r="BZ98">
        <v>690036</v>
      </c>
      <c r="CA98">
        <v>1966135</v>
      </c>
      <c r="CB98">
        <v>-1164450</v>
      </c>
      <c r="CC98">
        <v>2782464</v>
      </c>
      <c r="CD98">
        <v>2133567</v>
      </c>
      <c r="CE98">
        <v>2428520</v>
      </c>
      <c r="CF98">
        <v>-4077345</v>
      </c>
      <c r="CG98">
        <v>2577137</v>
      </c>
      <c r="CH98">
        <v>2253847</v>
      </c>
    </row>
    <row r="99" spans="1:86">
      <c r="A99" t="s">
        <v>803</v>
      </c>
      <c r="B99" t="s">
        <v>88</v>
      </c>
      <c r="C99">
        <v>1000000</v>
      </c>
      <c r="D99" t="s">
        <v>89</v>
      </c>
      <c r="E99" t="s">
        <v>875</v>
      </c>
      <c r="F99" s="10" t="s">
        <v>876</v>
      </c>
      <c r="G99" t="s">
        <v>97</v>
      </c>
      <c r="H99">
        <v>0</v>
      </c>
      <c r="I99">
        <v>28</v>
      </c>
      <c r="J99">
        <v>42</v>
      </c>
      <c r="K99">
        <v>27</v>
      </c>
      <c r="L99">
        <v>86</v>
      </c>
      <c r="M99">
        <v>39</v>
      </c>
      <c r="N99">
        <v>19</v>
      </c>
      <c r="O99">
        <v>-15</v>
      </c>
      <c r="P99">
        <v>82</v>
      </c>
      <c r="Q99">
        <v>53</v>
      </c>
      <c r="R99">
        <v>-26</v>
      </c>
      <c r="S99">
        <v>-38</v>
      </c>
      <c r="T99">
        <v>102</v>
      </c>
      <c r="U99">
        <v>20</v>
      </c>
      <c r="V99">
        <v>-2</v>
      </c>
      <c r="W99">
        <v>162</v>
      </c>
      <c r="X99">
        <v>-126</v>
      </c>
      <c r="Y99">
        <v>93</v>
      </c>
      <c r="Z99">
        <v>100</v>
      </c>
      <c r="AA99">
        <v>31</v>
      </c>
      <c r="AB99">
        <v>-161</v>
      </c>
      <c r="AC99">
        <v>84</v>
      </c>
      <c r="AD99">
        <v>55</v>
      </c>
      <c r="AE99">
        <v>-206</v>
      </c>
      <c r="AF99">
        <v>-18</v>
      </c>
      <c r="AG99">
        <v>200</v>
      </c>
      <c r="AH99">
        <v>265</v>
      </c>
      <c r="AI99">
        <v>235</v>
      </c>
      <c r="AJ99">
        <v>-133</v>
      </c>
      <c r="AK99">
        <v>3</v>
      </c>
      <c r="AL99">
        <v>-68</v>
      </c>
      <c r="AM99">
        <v>-129</v>
      </c>
      <c r="AN99">
        <v>-86</v>
      </c>
      <c r="AO99">
        <v>-83</v>
      </c>
      <c r="AP99">
        <v>1249</v>
      </c>
      <c r="AQ99">
        <v>-562</v>
      </c>
      <c r="AR99">
        <v>1152</v>
      </c>
      <c r="AS99">
        <v>1573</v>
      </c>
      <c r="AT99">
        <v>-1402</v>
      </c>
      <c r="AU99">
        <v>4485</v>
      </c>
      <c r="AV99">
        <v>1363</v>
      </c>
      <c r="AW99">
        <v>-1584</v>
      </c>
      <c r="AX99">
        <v>182</v>
      </c>
      <c r="AY99">
        <v>8252</v>
      </c>
      <c r="AZ99">
        <v>-9443</v>
      </c>
      <c r="BA99">
        <v>19375</v>
      </c>
      <c r="BB99">
        <v>-8499</v>
      </c>
      <c r="BC99">
        <v>14689</v>
      </c>
      <c r="BD99">
        <v>-27266</v>
      </c>
      <c r="BE99">
        <v>42277</v>
      </c>
      <c r="BF99">
        <v>19601</v>
      </c>
      <c r="BG99">
        <v>69238</v>
      </c>
      <c r="BH99">
        <v>74708</v>
      </c>
      <c r="BI99">
        <v>54600</v>
      </c>
      <c r="BJ99">
        <v>-100081</v>
      </c>
      <c r="BK99">
        <v>-72552</v>
      </c>
      <c r="BL99">
        <v>-99126</v>
      </c>
      <c r="BM99">
        <v>70892</v>
      </c>
      <c r="BN99">
        <v>31773</v>
      </c>
      <c r="BO99">
        <v>-9971</v>
      </c>
      <c r="BP99">
        <v>52802</v>
      </c>
      <c r="BQ99">
        <v>-36650</v>
      </c>
      <c r="BR99">
        <v>-205022</v>
      </c>
      <c r="BS99">
        <v>55648</v>
      </c>
      <c r="BT99">
        <v>42382</v>
      </c>
      <c r="BU99">
        <v>-19563</v>
      </c>
      <c r="BV99">
        <v>40580</v>
      </c>
      <c r="BW99">
        <v>122317</v>
      </c>
      <c r="BX99">
        <v>49700</v>
      </c>
      <c r="BY99">
        <v>-38717</v>
      </c>
      <c r="BZ99">
        <v>38275</v>
      </c>
      <c r="CA99">
        <v>123533</v>
      </c>
      <c r="CB99">
        <v>-119624</v>
      </c>
      <c r="CC99">
        <v>265760</v>
      </c>
      <c r="CD99">
        <v>220921</v>
      </c>
      <c r="CE99">
        <v>296739</v>
      </c>
      <c r="CF99">
        <v>-500203</v>
      </c>
      <c r="CG99">
        <v>258540</v>
      </c>
      <c r="CH99">
        <v>291658</v>
      </c>
    </row>
    <row r="100" spans="1:86">
      <c r="A100" t="s">
        <v>806</v>
      </c>
      <c r="B100" t="s">
        <v>88</v>
      </c>
      <c r="C100">
        <v>1000000</v>
      </c>
      <c r="D100" t="s">
        <v>89</v>
      </c>
      <c r="E100" t="s">
        <v>877</v>
      </c>
      <c r="F100" s="10" t="s">
        <v>878</v>
      </c>
      <c r="G100" t="s">
        <v>97</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row>
    <row r="101" spans="1:86">
      <c r="A101" t="s">
        <v>809</v>
      </c>
      <c r="B101" t="s">
        <v>88</v>
      </c>
      <c r="C101">
        <v>1000000</v>
      </c>
      <c r="D101" t="s">
        <v>89</v>
      </c>
      <c r="E101" t="s">
        <v>879</v>
      </c>
      <c r="F101" s="10" t="s">
        <v>880</v>
      </c>
      <c r="G101" t="s">
        <v>97</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360</v>
      </c>
      <c r="BT101">
        <v>1872</v>
      </c>
      <c r="BU101">
        <v>2060</v>
      </c>
      <c r="BV101">
        <v>-2372</v>
      </c>
      <c r="BW101">
        <v>-2888</v>
      </c>
      <c r="BX101">
        <v>0</v>
      </c>
      <c r="BY101">
        <v>0</v>
      </c>
      <c r="BZ101">
        <v>0</v>
      </c>
      <c r="CA101">
        <v>0</v>
      </c>
      <c r="CB101">
        <v>0</v>
      </c>
      <c r="CC101">
        <v>0</v>
      </c>
      <c r="CD101">
        <v>0</v>
      </c>
      <c r="CE101">
        <v>0</v>
      </c>
      <c r="CF101">
        <v>0</v>
      </c>
      <c r="CG101">
        <v>0</v>
      </c>
      <c r="CH101">
        <v>0</v>
      </c>
    </row>
    <row r="102" spans="1:86">
      <c r="A102" t="s">
        <v>818</v>
      </c>
      <c r="B102" t="s">
        <v>88</v>
      </c>
      <c r="C102">
        <v>1000000</v>
      </c>
      <c r="D102" t="s">
        <v>89</v>
      </c>
      <c r="E102" t="s">
        <v>881</v>
      </c>
      <c r="F102" s="10" t="s">
        <v>882</v>
      </c>
      <c r="G102" t="s">
        <v>97</v>
      </c>
      <c r="H102">
        <v>0</v>
      </c>
      <c r="I102">
        <v>0</v>
      </c>
      <c r="J102">
        <v>0</v>
      </c>
      <c r="K102">
        <v>0</v>
      </c>
      <c r="L102">
        <v>0</v>
      </c>
      <c r="M102">
        <v>0</v>
      </c>
      <c r="N102">
        <v>-165</v>
      </c>
      <c r="O102">
        <v>-234</v>
      </c>
      <c r="P102">
        <v>-296</v>
      </c>
      <c r="Q102">
        <v>-199</v>
      </c>
      <c r="R102">
        <v>-898</v>
      </c>
      <c r="S102">
        <v>-1119</v>
      </c>
      <c r="T102">
        <v>-736</v>
      </c>
      <c r="U102">
        <v>-1541</v>
      </c>
      <c r="V102">
        <v>-2012</v>
      </c>
      <c r="W102">
        <v>-2024</v>
      </c>
      <c r="X102">
        <v>-3468</v>
      </c>
      <c r="Y102">
        <v>-2939</v>
      </c>
      <c r="Z102">
        <v>-3880</v>
      </c>
      <c r="AA102">
        <v>-4545</v>
      </c>
      <c r="AB102">
        <v>-6530</v>
      </c>
      <c r="AC102">
        <v>-4413</v>
      </c>
      <c r="AD102">
        <v>-6458</v>
      </c>
      <c r="AE102">
        <v>-9977</v>
      </c>
      <c r="AF102">
        <v>3862</v>
      </c>
      <c r="AG102">
        <v>3711</v>
      </c>
      <c r="AH102">
        <v>3314</v>
      </c>
      <c r="AI102">
        <v>-6301</v>
      </c>
      <c r="AJ102">
        <v>-6845</v>
      </c>
      <c r="AK102">
        <v>12752</v>
      </c>
      <c r="AL102">
        <v>4580</v>
      </c>
      <c r="AM102">
        <v>-5131</v>
      </c>
      <c r="AN102">
        <v>4023</v>
      </c>
      <c r="AO102">
        <v>9071</v>
      </c>
      <c r="AP102">
        <v>11506</v>
      </c>
      <c r="AQ102">
        <v>-8561</v>
      </c>
      <c r="AR102">
        <v>16643</v>
      </c>
      <c r="AS102">
        <v>24860</v>
      </c>
      <c r="AT102">
        <v>16971</v>
      </c>
      <c r="AU102">
        <v>57032</v>
      </c>
      <c r="AV102">
        <v>5973</v>
      </c>
      <c r="AW102">
        <v>30909</v>
      </c>
      <c r="AX102">
        <v>8845</v>
      </c>
      <c r="AY102">
        <v>81833</v>
      </c>
      <c r="AZ102">
        <v>-19355</v>
      </c>
      <c r="BA102">
        <v>109959</v>
      </c>
      <c r="BB102">
        <v>34111</v>
      </c>
      <c r="BC102">
        <v>71664</v>
      </c>
      <c r="BD102">
        <v>-2571</v>
      </c>
      <c r="BE102">
        <v>297944</v>
      </c>
      <c r="BF102">
        <v>210960</v>
      </c>
      <c r="BG102">
        <v>393448</v>
      </c>
      <c r="BH102">
        <v>318237</v>
      </c>
      <c r="BI102">
        <v>479399</v>
      </c>
      <c r="BJ102">
        <v>-169079</v>
      </c>
      <c r="BK102">
        <v>-428564</v>
      </c>
      <c r="BL102">
        <v>-388017</v>
      </c>
      <c r="BM102">
        <v>589758</v>
      </c>
      <c r="BN102">
        <v>269969</v>
      </c>
      <c r="BO102">
        <v>316495</v>
      </c>
      <c r="BP102">
        <v>480650</v>
      </c>
      <c r="BQ102">
        <v>244780</v>
      </c>
      <c r="BR102">
        <v>-1679653</v>
      </c>
      <c r="BS102">
        <v>792636</v>
      </c>
      <c r="BT102">
        <v>487784</v>
      </c>
      <c r="BU102">
        <v>-97938</v>
      </c>
      <c r="BV102">
        <v>560879</v>
      </c>
      <c r="BW102">
        <v>983857</v>
      </c>
      <c r="BX102">
        <v>398789</v>
      </c>
      <c r="BY102">
        <v>-162147</v>
      </c>
      <c r="BZ102">
        <v>474698</v>
      </c>
      <c r="CA102">
        <v>1073798</v>
      </c>
      <c r="CB102">
        <v>-533195</v>
      </c>
      <c r="CC102">
        <v>1604815</v>
      </c>
      <c r="CD102">
        <v>1274794</v>
      </c>
      <c r="CE102">
        <v>1521629</v>
      </c>
      <c r="CF102">
        <v>-2244855</v>
      </c>
      <c r="CG102">
        <v>1647243</v>
      </c>
      <c r="CH102">
        <v>1572481</v>
      </c>
    </row>
    <row r="103" spans="1:86">
      <c r="A103" t="s">
        <v>821</v>
      </c>
      <c r="B103" t="s">
        <v>88</v>
      </c>
      <c r="C103">
        <v>1000000</v>
      </c>
      <c r="D103" t="s">
        <v>89</v>
      </c>
      <c r="E103" t="s">
        <v>883</v>
      </c>
      <c r="F103" s="10" t="s">
        <v>884</v>
      </c>
      <c r="G103" t="s">
        <v>97</v>
      </c>
      <c r="H103">
        <v>0</v>
      </c>
      <c r="I103">
        <v>23</v>
      </c>
      <c r="J103">
        <v>445</v>
      </c>
      <c r="K103">
        <v>22</v>
      </c>
      <c r="L103">
        <v>70</v>
      </c>
      <c r="M103">
        <v>32</v>
      </c>
      <c r="N103">
        <v>89</v>
      </c>
      <c r="O103">
        <v>-30</v>
      </c>
      <c r="P103">
        <v>299</v>
      </c>
      <c r="Q103">
        <v>207</v>
      </c>
      <c r="R103">
        <v>33</v>
      </c>
      <c r="S103">
        <v>-118</v>
      </c>
      <c r="T103">
        <v>283</v>
      </c>
      <c r="U103">
        <v>49</v>
      </c>
      <c r="V103">
        <v>17</v>
      </c>
      <c r="W103">
        <v>180</v>
      </c>
      <c r="X103">
        <v>-35</v>
      </c>
      <c r="Y103">
        <v>74</v>
      </c>
      <c r="Z103">
        <v>114</v>
      </c>
      <c r="AA103">
        <v>88</v>
      </c>
      <c r="AB103">
        <v>-208</v>
      </c>
      <c r="AC103">
        <v>314</v>
      </c>
      <c r="AD103">
        <v>137</v>
      </c>
      <c r="AE103">
        <v>-303</v>
      </c>
      <c r="AF103">
        <v>103</v>
      </c>
      <c r="AG103">
        <v>248</v>
      </c>
      <c r="AH103">
        <v>180</v>
      </c>
      <c r="AI103">
        <v>-340</v>
      </c>
      <c r="AJ103">
        <v>-986</v>
      </c>
      <c r="AK103">
        <v>327</v>
      </c>
      <c r="AL103">
        <v>227</v>
      </c>
      <c r="AM103">
        <v>-382</v>
      </c>
      <c r="AN103">
        <v>-114</v>
      </c>
      <c r="AO103">
        <v>179</v>
      </c>
      <c r="AP103">
        <v>-163</v>
      </c>
      <c r="AQ103">
        <v>-237</v>
      </c>
      <c r="AR103">
        <v>-8155</v>
      </c>
      <c r="AS103">
        <v>-252</v>
      </c>
      <c r="AT103">
        <v>-827</v>
      </c>
      <c r="AU103">
        <v>-3589</v>
      </c>
      <c r="AV103">
        <v>-2606</v>
      </c>
      <c r="AW103">
        <v>-3782</v>
      </c>
      <c r="AX103">
        <v>-337</v>
      </c>
      <c r="AY103">
        <v>-6971</v>
      </c>
      <c r="AZ103">
        <v>-628</v>
      </c>
      <c r="BA103">
        <v>-10471</v>
      </c>
      <c r="BB103">
        <v>-1460</v>
      </c>
      <c r="BC103">
        <v>-6818</v>
      </c>
      <c r="BD103">
        <v>13475</v>
      </c>
      <c r="BE103">
        <v>-20533</v>
      </c>
      <c r="BF103">
        <v>13652</v>
      </c>
      <c r="BG103">
        <v>-24376</v>
      </c>
      <c r="BH103">
        <v>-4721</v>
      </c>
      <c r="BI103">
        <v>75372</v>
      </c>
      <c r="BJ103">
        <v>-36600</v>
      </c>
      <c r="BK103">
        <v>5841</v>
      </c>
      <c r="BL103">
        <v>4542</v>
      </c>
      <c r="BM103">
        <v>-14804</v>
      </c>
      <c r="BN103">
        <v>-7241</v>
      </c>
      <c r="BO103">
        <v>-233</v>
      </c>
      <c r="BP103">
        <v>-4144</v>
      </c>
      <c r="BQ103">
        <v>-31874</v>
      </c>
      <c r="BR103">
        <v>65082</v>
      </c>
      <c r="BS103">
        <v>27524</v>
      </c>
      <c r="BT103">
        <v>-11705</v>
      </c>
      <c r="BU103">
        <v>-49752</v>
      </c>
      <c r="BV103">
        <v>-75104</v>
      </c>
      <c r="BW103">
        <v>-7971</v>
      </c>
      <c r="BX103">
        <v>-51514</v>
      </c>
      <c r="BY103">
        <v>-47462</v>
      </c>
      <c r="BZ103">
        <v>-52821</v>
      </c>
      <c r="CA103">
        <v>-47801</v>
      </c>
      <c r="CB103">
        <v>-4575</v>
      </c>
      <c r="CC103">
        <v>-67409</v>
      </c>
      <c r="CD103">
        <v>-100819</v>
      </c>
      <c r="CE103">
        <v>-74383</v>
      </c>
      <c r="CF103">
        <v>981</v>
      </c>
      <c r="CG103">
        <v>-112435</v>
      </c>
      <c r="CH103">
        <v>-56291</v>
      </c>
    </row>
    <row r="104" spans="1:86">
      <c r="A104" t="s">
        <v>885</v>
      </c>
      <c r="B104" t="s">
        <v>88</v>
      </c>
      <c r="C104">
        <v>1000000</v>
      </c>
      <c r="D104" t="s">
        <v>89</v>
      </c>
      <c r="E104" t="s">
        <v>886</v>
      </c>
      <c r="F104" s="10" t="s">
        <v>887</v>
      </c>
      <c r="G104" t="s">
        <v>97</v>
      </c>
      <c r="H104">
        <v>1062</v>
      </c>
      <c r="I104">
        <v>937</v>
      </c>
      <c r="J104">
        <v>205</v>
      </c>
      <c r="K104">
        <v>-582</v>
      </c>
      <c r="L104">
        <v>696</v>
      </c>
      <c r="M104">
        <v>1019</v>
      </c>
      <c r="N104">
        <v>-230</v>
      </c>
      <c r="O104">
        <v>-544</v>
      </c>
      <c r="P104">
        <v>474</v>
      </c>
      <c r="Q104">
        <v>1805</v>
      </c>
      <c r="R104">
        <v>1400</v>
      </c>
      <c r="S104">
        <v>-853</v>
      </c>
      <c r="T104">
        <v>1534</v>
      </c>
      <c r="U104">
        <v>801</v>
      </c>
      <c r="V104">
        <v>-404</v>
      </c>
      <c r="W104">
        <v>-20472</v>
      </c>
      <c r="X104">
        <v>3392</v>
      </c>
      <c r="Y104">
        <v>-9460</v>
      </c>
      <c r="Z104">
        <v>-4954</v>
      </c>
      <c r="AA104">
        <v>-7519</v>
      </c>
      <c r="AB104">
        <v>-3937</v>
      </c>
      <c r="AC104">
        <v>-4458</v>
      </c>
      <c r="AD104">
        <v>-22133</v>
      </c>
      <c r="AE104">
        <v>19760</v>
      </c>
      <c r="AF104">
        <v>10009</v>
      </c>
      <c r="AG104">
        <v>-11540</v>
      </c>
      <c r="AH104">
        <v>472</v>
      </c>
      <c r="AI104">
        <v>46146</v>
      </c>
      <c r="AJ104">
        <v>51665</v>
      </c>
      <c r="AK104">
        <v>9754</v>
      </c>
      <c r="AL104">
        <v>-3384</v>
      </c>
      <c r="AM104">
        <v>11420</v>
      </c>
      <c r="AN104">
        <v>3879</v>
      </c>
      <c r="AO104">
        <v>7308</v>
      </c>
      <c r="AP104">
        <v>13625</v>
      </c>
      <c r="AQ104">
        <v>284</v>
      </c>
      <c r="AR104">
        <v>9064</v>
      </c>
      <c r="AS104">
        <v>-20936</v>
      </c>
      <c r="AT104">
        <v>10237</v>
      </c>
      <c r="AU104">
        <v>-58955</v>
      </c>
      <c r="AV104">
        <v>-9042</v>
      </c>
      <c r="AW104">
        <v>73791</v>
      </c>
      <c r="AX104">
        <v>-5790</v>
      </c>
      <c r="AY104">
        <v>-37989</v>
      </c>
      <c r="AZ104">
        <v>112346</v>
      </c>
      <c r="BA104">
        <v>-152612</v>
      </c>
      <c r="BB104">
        <v>-107741</v>
      </c>
      <c r="BC104">
        <v>-76504</v>
      </c>
      <c r="BD104">
        <v>38598</v>
      </c>
      <c r="BE104">
        <v>-369024</v>
      </c>
      <c r="BF104">
        <v>-386407</v>
      </c>
      <c r="BG104">
        <v>-710488</v>
      </c>
      <c r="BH104">
        <v>-136067</v>
      </c>
      <c r="BI104">
        <v>-178153</v>
      </c>
      <c r="BJ104">
        <v>-309745</v>
      </c>
      <c r="BK104">
        <v>192380</v>
      </c>
      <c r="BL104">
        <v>466108</v>
      </c>
      <c r="BM104">
        <v>-597240</v>
      </c>
      <c r="BN104">
        <v>-185281</v>
      </c>
      <c r="BO104">
        <v>-153837</v>
      </c>
      <c r="BP104">
        <v>-484888</v>
      </c>
      <c r="BQ104">
        <v>833110</v>
      </c>
      <c r="BR104">
        <v>1346262</v>
      </c>
      <c r="BS104">
        <v>378710</v>
      </c>
      <c r="BT104">
        <v>-221679</v>
      </c>
      <c r="BU104">
        <v>731000</v>
      </c>
      <c r="BV104">
        <v>-72061</v>
      </c>
      <c r="BW104">
        <v>-1655597</v>
      </c>
      <c r="BX104">
        <v>26576</v>
      </c>
      <c r="BY104">
        <v>-286984</v>
      </c>
      <c r="BZ104">
        <v>-681137</v>
      </c>
      <c r="CA104">
        <v>-628673</v>
      </c>
      <c r="CB104">
        <v>263372</v>
      </c>
      <c r="CC104">
        <v>-268268</v>
      </c>
      <c r="CD104">
        <v>528530</v>
      </c>
      <c r="CE104">
        <v>-2538084</v>
      </c>
      <c r="CF104">
        <v>-1496012</v>
      </c>
      <c r="CG104">
        <v>-157461</v>
      </c>
      <c r="CH104">
        <v>-2019000</v>
      </c>
    </row>
    <row r="105" spans="1:86">
      <c r="A105" t="s">
        <v>885</v>
      </c>
      <c r="B105" t="s">
        <v>88</v>
      </c>
      <c r="C105">
        <v>1000000</v>
      </c>
      <c r="D105" t="s">
        <v>89</v>
      </c>
      <c r="E105" t="s">
        <v>888</v>
      </c>
      <c r="F105" s="10" t="s">
        <v>889</v>
      </c>
      <c r="G105" t="s">
        <v>97</v>
      </c>
      <c r="H105">
        <v>2674</v>
      </c>
      <c r="I105">
        <v>2132</v>
      </c>
      <c r="J105">
        <v>1510</v>
      </c>
      <c r="K105">
        <v>712</v>
      </c>
      <c r="L105">
        <v>3033</v>
      </c>
      <c r="M105">
        <v>2149</v>
      </c>
      <c r="N105">
        <v>2194</v>
      </c>
      <c r="O105">
        <v>1814</v>
      </c>
      <c r="P105">
        <v>4377</v>
      </c>
      <c r="Q105">
        <v>3787</v>
      </c>
      <c r="R105">
        <v>3437</v>
      </c>
      <c r="S105">
        <v>1328</v>
      </c>
      <c r="T105">
        <v>4202</v>
      </c>
      <c r="U105">
        <v>2476</v>
      </c>
      <c r="V105">
        <v>4439</v>
      </c>
      <c r="W105">
        <v>-15170</v>
      </c>
      <c r="X105">
        <v>6777</v>
      </c>
      <c r="Y105">
        <v>-7412</v>
      </c>
      <c r="Z105">
        <v>-1911</v>
      </c>
      <c r="AA105">
        <v>-4471</v>
      </c>
      <c r="AB105">
        <v>1522</v>
      </c>
      <c r="AC105">
        <v>7625</v>
      </c>
      <c r="AD105">
        <v>-24941</v>
      </c>
      <c r="AE105">
        <v>21550</v>
      </c>
      <c r="AF105">
        <v>12779</v>
      </c>
      <c r="AG105">
        <v>-5028</v>
      </c>
      <c r="AH105">
        <v>2188</v>
      </c>
      <c r="AI105">
        <v>63017</v>
      </c>
      <c r="AJ105">
        <v>62046</v>
      </c>
      <c r="AK105">
        <v>11768</v>
      </c>
      <c r="AL105">
        <v>8118</v>
      </c>
      <c r="AM105">
        <v>30480</v>
      </c>
      <c r="AN105">
        <v>32809</v>
      </c>
      <c r="AO105">
        <v>32297</v>
      </c>
      <c r="AP105">
        <v>33465</v>
      </c>
      <c r="AQ105">
        <v>10128</v>
      </c>
      <c r="AR105">
        <v>30994</v>
      </c>
      <c r="AS105">
        <v>-29950</v>
      </c>
      <c r="AT105">
        <v>37554</v>
      </c>
      <c r="AU105">
        <v>-59386</v>
      </c>
      <c r="AV105">
        <v>-3956</v>
      </c>
      <c r="AW105">
        <v>114246</v>
      </c>
      <c r="AX105">
        <v>39777</v>
      </c>
      <c r="AY105">
        <v>32423</v>
      </c>
      <c r="AZ105">
        <v>122464</v>
      </c>
      <c r="BA105">
        <v>-140950</v>
      </c>
      <c r="BB105">
        <v>-114026</v>
      </c>
      <c r="BC105">
        <v>326</v>
      </c>
      <c r="BD105">
        <v>-33058</v>
      </c>
      <c r="BE105">
        <v>-328850</v>
      </c>
      <c r="BF105">
        <v>-386062</v>
      </c>
      <c r="BG105">
        <v>-621017</v>
      </c>
      <c r="BH105">
        <v>-2703</v>
      </c>
      <c r="BI105">
        <v>-183441</v>
      </c>
      <c r="BJ105">
        <v>-282857</v>
      </c>
      <c r="BK105">
        <v>362009</v>
      </c>
      <c r="BL105">
        <v>611895</v>
      </c>
      <c r="BM105">
        <v>-427139</v>
      </c>
      <c r="BN105">
        <v>15399</v>
      </c>
      <c r="BO105">
        <v>103888</v>
      </c>
      <c r="BP105">
        <v>-337697</v>
      </c>
      <c r="BQ105">
        <v>1058087</v>
      </c>
      <c r="BR105">
        <v>1380392</v>
      </c>
      <c r="BS105">
        <v>283023</v>
      </c>
      <c r="BT105">
        <v>-425777</v>
      </c>
      <c r="BU105">
        <v>629057</v>
      </c>
      <c r="BV105">
        <v>-170575</v>
      </c>
      <c r="BW105">
        <v>-1444919</v>
      </c>
      <c r="BX105">
        <v>199831</v>
      </c>
      <c r="BY105">
        <v>118051</v>
      </c>
      <c r="BZ105">
        <v>-380519</v>
      </c>
      <c r="CA105">
        <v>-552712</v>
      </c>
      <c r="CB105">
        <v>430364</v>
      </c>
      <c r="CC105">
        <v>-268740</v>
      </c>
      <c r="CD105">
        <v>572815</v>
      </c>
      <c r="CE105">
        <v>-2047917</v>
      </c>
      <c r="CF105">
        <v>-1086061</v>
      </c>
      <c r="CG105">
        <v>63598</v>
      </c>
      <c r="CH105">
        <v>-1741070</v>
      </c>
    </row>
    <row r="106" spans="1:86">
      <c r="A106" t="s">
        <v>890</v>
      </c>
      <c r="B106" t="s">
        <v>88</v>
      </c>
      <c r="C106">
        <v>1000000</v>
      </c>
      <c r="D106" t="s">
        <v>89</v>
      </c>
      <c r="E106" t="s">
        <v>891</v>
      </c>
      <c r="F106" s="10" t="s">
        <v>892</v>
      </c>
      <c r="G106">
        <v>341900</v>
      </c>
      <c r="H106">
        <v>347711</v>
      </c>
      <c r="I106">
        <v>370254</v>
      </c>
      <c r="J106">
        <v>391239</v>
      </c>
      <c r="K106">
        <v>408369</v>
      </c>
      <c r="L106">
        <v>439613</v>
      </c>
      <c r="M106">
        <v>476310</v>
      </c>
      <c r="N106">
        <v>518664</v>
      </c>
      <c r="O106">
        <v>554912</v>
      </c>
      <c r="P106">
        <v>598513</v>
      </c>
      <c r="Q106">
        <v>646783</v>
      </c>
      <c r="R106">
        <v>690442</v>
      </c>
      <c r="S106">
        <v>742132</v>
      </c>
      <c r="T106">
        <v>804325</v>
      </c>
      <c r="U106">
        <v>855765</v>
      </c>
      <c r="V106">
        <v>914467</v>
      </c>
      <c r="W106">
        <v>990687</v>
      </c>
      <c r="X106">
        <v>1055298</v>
      </c>
      <c r="Y106">
        <v>1142696</v>
      </c>
      <c r="Z106">
        <v>1240934</v>
      </c>
      <c r="AA106">
        <v>1348757</v>
      </c>
      <c r="AB106">
        <v>1441699</v>
      </c>
      <c r="AC106">
        <v>1587510</v>
      </c>
      <c r="AD106">
        <v>1741990</v>
      </c>
      <c r="AE106">
        <v>1879391</v>
      </c>
      <c r="AF106">
        <v>2060128</v>
      </c>
      <c r="AG106">
        <v>2312803</v>
      </c>
      <c r="AH106">
        <v>2620202</v>
      </c>
      <c r="AI106">
        <v>2889571</v>
      </c>
      <c r="AJ106">
        <v>3149579</v>
      </c>
      <c r="AK106">
        <v>3453917</v>
      </c>
      <c r="AL106">
        <v>3808172</v>
      </c>
      <c r="AM106">
        <v>4254538</v>
      </c>
      <c r="AN106">
        <v>4818928</v>
      </c>
      <c r="AO106">
        <v>5444097</v>
      </c>
      <c r="AP106">
        <v>6109595</v>
      </c>
      <c r="AQ106">
        <v>6846414</v>
      </c>
      <c r="AR106">
        <v>7654140</v>
      </c>
      <c r="AS106">
        <v>8490015</v>
      </c>
      <c r="AT106">
        <v>9627938</v>
      </c>
      <c r="AU106">
        <v>11037525</v>
      </c>
      <c r="AV106">
        <v>12614522</v>
      </c>
      <c r="AW106">
        <v>13818484</v>
      </c>
      <c r="AX106">
        <v>15112429</v>
      </c>
      <c r="AY106">
        <v>16511767</v>
      </c>
      <c r="AZ106">
        <v>17288742</v>
      </c>
      <c r="BA106">
        <v>18537081</v>
      </c>
      <c r="BB106">
        <v>19972211</v>
      </c>
      <c r="BC106">
        <v>21777634</v>
      </c>
      <c r="BD106">
        <v>23057759</v>
      </c>
      <c r="BE106">
        <v>25593955</v>
      </c>
      <c r="BF106">
        <v>28266969</v>
      </c>
      <c r="BG106">
        <v>31774883</v>
      </c>
      <c r="BH106">
        <v>35597278</v>
      </c>
      <c r="BI106">
        <v>40227021</v>
      </c>
      <c r="BJ106">
        <v>42845153</v>
      </c>
      <c r="BK106">
        <v>45487778</v>
      </c>
      <c r="BL106">
        <v>47011774</v>
      </c>
      <c r="BM106">
        <v>52301451</v>
      </c>
      <c r="BN106">
        <v>58034272</v>
      </c>
      <c r="BO106">
        <v>62826411</v>
      </c>
      <c r="BP106">
        <v>69278066</v>
      </c>
      <c r="BQ106">
        <v>76031356</v>
      </c>
      <c r="BR106">
        <v>73030948</v>
      </c>
      <c r="BS106">
        <v>74555914</v>
      </c>
      <c r="BT106">
        <v>76472107</v>
      </c>
      <c r="BU106">
        <v>78006579</v>
      </c>
      <c r="BV106">
        <v>82566891</v>
      </c>
      <c r="BW106">
        <v>88722098</v>
      </c>
      <c r="BX106">
        <v>92726687</v>
      </c>
      <c r="BY106">
        <v>92337332</v>
      </c>
      <c r="BZ106">
        <v>95771771</v>
      </c>
      <c r="CA106">
        <v>102573910</v>
      </c>
      <c r="CB106">
        <v>101724567</v>
      </c>
      <c r="CC106">
        <v>111709116</v>
      </c>
      <c r="CD106">
        <v>126052564</v>
      </c>
      <c r="CE106">
        <v>138989684</v>
      </c>
      <c r="CF106">
        <v>128970001</v>
      </c>
      <c r="CG106">
        <v>138416161</v>
      </c>
      <c r="CH106">
        <v>146692546</v>
      </c>
    </row>
    <row r="107" spans="1:86">
      <c r="A107" t="s">
        <v>147</v>
      </c>
      <c r="B107" t="s">
        <v>88</v>
      </c>
      <c r="C107">
        <v>1000000</v>
      </c>
      <c r="D107" t="s">
        <v>89</v>
      </c>
      <c r="E107" t="s">
        <v>893</v>
      </c>
      <c r="F107" s="10" t="s">
        <v>894</v>
      </c>
      <c r="G107">
        <v>5205</v>
      </c>
      <c r="H107">
        <v>6641</v>
      </c>
      <c r="I107">
        <v>7970</v>
      </c>
      <c r="J107">
        <v>8603</v>
      </c>
      <c r="K107">
        <v>8008</v>
      </c>
      <c r="L107">
        <v>8935</v>
      </c>
      <c r="M107">
        <v>10342</v>
      </c>
      <c r="N107">
        <v>10746</v>
      </c>
      <c r="O107">
        <v>10935</v>
      </c>
      <c r="P107">
        <v>10875</v>
      </c>
      <c r="Q107">
        <v>12073</v>
      </c>
      <c r="R107">
        <v>13814</v>
      </c>
      <c r="S107">
        <v>14681</v>
      </c>
      <c r="T107">
        <v>15095</v>
      </c>
      <c r="U107">
        <v>15761</v>
      </c>
      <c r="V107">
        <v>16371</v>
      </c>
      <c r="W107">
        <v>17273</v>
      </c>
      <c r="X107">
        <v>18427</v>
      </c>
      <c r="Y107">
        <v>19459</v>
      </c>
      <c r="Z107">
        <v>21404</v>
      </c>
      <c r="AA107">
        <v>23477</v>
      </c>
      <c r="AB107">
        <v>25888</v>
      </c>
      <c r="AC107">
        <v>28481</v>
      </c>
      <c r="AD107">
        <v>32723</v>
      </c>
      <c r="AE107">
        <v>37259</v>
      </c>
      <c r="AF107">
        <v>41806</v>
      </c>
      <c r="AG107">
        <v>47679</v>
      </c>
      <c r="AH107">
        <v>53508</v>
      </c>
      <c r="AI107">
        <v>61981</v>
      </c>
      <c r="AJ107">
        <v>77140</v>
      </c>
      <c r="AK107">
        <v>86925</v>
      </c>
      <c r="AL107">
        <v>97592</v>
      </c>
      <c r="AM107">
        <v>110826</v>
      </c>
      <c r="AN107">
        <v>129100</v>
      </c>
      <c r="AO107">
        <v>155934</v>
      </c>
      <c r="AP107">
        <v>187104</v>
      </c>
      <c r="AQ107">
        <v>219440</v>
      </c>
      <c r="AR107">
        <v>248677</v>
      </c>
      <c r="AS107">
        <v>274071</v>
      </c>
      <c r="AT107">
        <v>308847</v>
      </c>
      <c r="AU107">
        <v>348253</v>
      </c>
      <c r="AV107">
        <v>393843</v>
      </c>
      <c r="AW107">
        <v>436939</v>
      </c>
      <c r="AX107">
        <v>485612</v>
      </c>
      <c r="AY107">
        <v>536959</v>
      </c>
      <c r="AZ107">
        <v>581721</v>
      </c>
      <c r="BA107">
        <v>603264</v>
      </c>
      <c r="BB107">
        <v>628236</v>
      </c>
      <c r="BC107">
        <v>663261</v>
      </c>
      <c r="BD107">
        <v>707646</v>
      </c>
      <c r="BE107">
        <v>740958</v>
      </c>
      <c r="BF107">
        <v>777003</v>
      </c>
      <c r="BG107">
        <v>820370</v>
      </c>
      <c r="BH107">
        <v>883585</v>
      </c>
      <c r="BI107">
        <v>954468</v>
      </c>
      <c r="BJ107">
        <v>1019061</v>
      </c>
      <c r="BK107">
        <v>1058635</v>
      </c>
      <c r="BL107">
        <v>1091918</v>
      </c>
      <c r="BM107">
        <v>1119061</v>
      </c>
      <c r="BN107">
        <v>1208042</v>
      </c>
      <c r="BO107">
        <v>1297166</v>
      </c>
      <c r="BP107">
        <v>1386483</v>
      </c>
      <c r="BQ107">
        <v>1452616</v>
      </c>
      <c r="BR107">
        <v>1522931</v>
      </c>
      <c r="BS107">
        <v>1457558</v>
      </c>
      <c r="BT107">
        <v>1448900</v>
      </c>
      <c r="BU107">
        <v>1489432</v>
      </c>
      <c r="BV107">
        <v>1518382</v>
      </c>
      <c r="BW107">
        <v>1560628</v>
      </c>
      <c r="BX107">
        <v>1604327</v>
      </c>
      <c r="BY107">
        <v>1651594</v>
      </c>
      <c r="BZ107">
        <v>1702631</v>
      </c>
      <c r="CA107">
        <v>1756682</v>
      </c>
      <c r="CB107">
        <v>1845520</v>
      </c>
      <c r="CC107">
        <v>1936763</v>
      </c>
      <c r="CD107">
        <v>1984392</v>
      </c>
      <c r="CE107">
        <v>2232998</v>
      </c>
      <c r="CF107">
        <v>2512840</v>
      </c>
      <c r="CG107">
        <v>2557957</v>
      </c>
      <c r="CH107">
        <v>2648592</v>
      </c>
    </row>
    <row r="108" spans="1:86">
      <c r="A108" t="s">
        <v>840</v>
      </c>
      <c r="B108" t="s">
        <v>88</v>
      </c>
      <c r="C108">
        <v>1000000</v>
      </c>
      <c r="D108" t="s">
        <v>89</v>
      </c>
      <c r="E108" t="s">
        <v>895</v>
      </c>
      <c r="F108" s="10" t="s">
        <v>896</v>
      </c>
      <c r="G108">
        <v>4367</v>
      </c>
      <c r="H108">
        <v>5628</v>
      </c>
      <c r="I108">
        <v>6680</v>
      </c>
      <c r="J108">
        <v>7063</v>
      </c>
      <c r="K108">
        <v>6317</v>
      </c>
      <c r="L108">
        <v>6954</v>
      </c>
      <c r="M108">
        <v>8106</v>
      </c>
      <c r="N108">
        <v>8403</v>
      </c>
      <c r="O108">
        <v>8392</v>
      </c>
      <c r="P108">
        <v>8274</v>
      </c>
      <c r="Q108">
        <v>9180</v>
      </c>
      <c r="R108">
        <v>10564</v>
      </c>
      <c r="S108">
        <v>11163</v>
      </c>
      <c r="T108">
        <v>11495</v>
      </c>
      <c r="U108">
        <v>11951</v>
      </c>
      <c r="V108">
        <v>12383</v>
      </c>
      <c r="W108">
        <v>13209</v>
      </c>
      <c r="X108">
        <v>14125</v>
      </c>
      <c r="Y108">
        <v>15024</v>
      </c>
      <c r="Z108">
        <v>16418</v>
      </c>
      <c r="AA108">
        <v>17765</v>
      </c>
      <c r="AB108">
        <v>19312</v>
      </c>
      <c r="AC108">
        <v>20782</v>
      </c>
      <c r="AD108">
        <v>23504</v>
      </c>
      <c r="AE108">
        <v>26242</v>
      </c>
      <c r="AF108">
        <v>29168</v>
      </c>
      <c r="AG108">
        <v>33427</v>
      </c>
      <c r="AH108">
        <v>37220</v>
      </c>
      <c r="AI108">
        <v>42377</v>
      </c>
      <c r="AJ108">
        <v>51349</v>
      </c>
      <c r="AK108">
        <v>55743</v>
      </c>
      <c r="AL108">
        <v>60997</v>
      </c>
      <c r="AM108">
        <v>68851</v>
      </c>
      <c r="AN108">
        <v>78989</v>
      </c>
      <c r="AO108">
        <v>94349</v>
      </c>
      <c r="AP108">
        <v>112129</v>
      </c>
      <c r="AQ108">
        <v>130758</v>
      </c>
      <c r="AR108">
        <v>148247</v>
      </c>
      <c r="AS108">
        <v>162561</v>
      </c>
      <c r="AT108">
        <v>182162</v>
      </c>
      <c r="AU108">
        <v>205334</v>
      </c>
      <c r="AV108">
        <v>230244</v>
      </c>
      <c r="AW108">
        <v>253701</v>
      </c>
      <c r="AX108">
        <v>277357</v>
      </c>
      <c r="AY108">
        <v>303905</v>
      </c>
      <c r="AZ108">
        <v>327267</v>
      </c>
      <c r="BA108">
        <v>338512</v>
      </c>
      <c r="BB108">
        <v>355144</v>
      </c>
      <c r="BC108">
        <v>374634</v>
      </c>
      <c r="BD108">
        <v>399668</v>
      </c>
      <c r="BE108">
        <v>416456</v>
      </c>
      <c r="BF108">
        <v>437925</v>
      </c>
      <c r="BG108">
        <v>471566</v>
      </c>
      <c r="BH108">
        <v>505625</v>
      </c>
      <c r="BI108">
        <v>537117</v>
      </c>
      <c r="BJ108">
        <v>566307</v>
      </c>
      <c r="BK108">
        <v>593573</v>
      </c>
      <c r="BL108">
        <v>612107</v>
      </c>
      <c r="BM108">
        <v>627289</v>
      </c>
      <c r="BN108">
        <v>684181</v>
      </c>
      <c r="BO108">
        <v>751345</v>
      </c>
      <c r="BP108">
        <v>813309</v>
      </c>
      <c r="BQ108">
        <v>852940</v>
      </c>
      <c r="BR108">
        <v>910879</v>
      </c>
      <c r="BS108">
        <v>867018</v>
      </c>
      <c r="BT108">
        <v>857643</v>
      </c>
      <c r="BU108">
        <v>876609</v>
      </c>
      <c r="BV108">
        <v>877747</v>
      </c>
      <c r="BW108">
        <v>891284</v>
      </c>
      <c r="BX108">
        <v>902830</v>
      </c>
      <c r="BY108">
        <v>913386</v>
      </c>
      <c r="BZ108">
        <v>925092</v>
      </c>
      <c r="CA108">
        <v>945368</v>
      </c>
      <c r="CB108">
        <v>992164</v>
      </c>
      <c r="CC108">
        <v>1033227</v>
      </c>
      <c r="CD108">
        <v>1051591</v>
      </c>
      <c r="CE108">
        <v>1225198</v>
      </c>
      <c r="CF108">
        <v>1446113</v>
      </c>
      <c r="CG108">
        <v>1445308</v>
      </c>
      <c r="CH108">
        <v>1468886</v>
      </c>
    </row>
    <row r="109" spans="1:86">
      <c r="A109" t="s">
        <v>843</v>
      </c>
      <c r="B109" t="s">
        <v>88</v>
      </c>
      <c r="C109">
        <v>1000000</v>
      </c>
      <c r="D109" t="s">
        <v>89</v>
      </c>
      <c r="E109" t="s">
        <v>897</v>
      </c>
      <c r="F109" s="10" t="s">
        <v>898</v>
      </c>
      <c r="G109">
        <v>833</v>
      </c>
      <c r="H109">
        <v>1007</v>
      </c>
      <c r="I109">
        <v>1283</v>
      </c>
      <c r="J109">
        <v>1532</v>
      </c>
      <c r="K109">
        <v>1683</v>
      </c>
      <c r="L109">
        <v>1973</v>
      </c>
      <c r="M109">
        <v>2227</v>
      </c>
      <c r="N109">
        <v>2333</v>
      </c>
      <c r="O109">
        <v>2531</v>
      </c>
      <c r="P109">
        <v>2587</v>
      </c>
      <c r="Q109">
        <v>2878</v>
      </c>
      <c r="R109">
        <v>3234</v>
      </c>
      <c r="S109">
        <v>3502</v>
      </c>
      <c r="T109">
        <v>3585</v>
      </c>
      <c r="U109">
        <v>3792</v>
      </c>
      <c r="V109">
        <v>3943</v>
      </c>
      <c r="W109">
        <v>3994</v>
      </c>
      <c r="X109">
        <v>4200</v>
      </c>
      <c r="Y109">
        <v>4292</v>
      </c>
      <c r="Z109">
        <v>4757</v>
      </c>
      <c r="AA109">
        <v>5388</v>
      </c>
      <c r="AB109">
        <v>6159</v>
      </c>
      <c r="AC109">
        <v>7157</v>
      </c>
      <c r="AD109">
        <v>8523</v>
      </c>
      <c r="AE109">
        <v>10121</v>
      </c>
      <c r="AF109">
        <v>11476</v>
      </c>
      <c r="AG109">
        <v>12855</v>
      </c>
      <c r="AH109">
        <v>14702</v>
      </c>
      <c r="AI109">
        <v>17616</v>
      </c>
      <c r="AJ109">
        <v>23105</v>
      </c>
      <c r="AK109">
        <v>27754</v>
      </c>
      <c r="AL109">
        <v>32440</v>
      </c>
      <c r="AM109">
        <v>37459</v>
      </c>
      <c r="AN109">
        <v>45132</v>
      </c>
      <c r="AO109">
        <v>55666</v>
      </c>
      <c r="AP109">
        <v>68120</v>
      </c>
      <c r="AQ109">
        <v>80824</v>
      </c>
      <c r="AR109">
        <v>91212</v>
      </c>
      <c r="AS109">
        <v>100883</v>
      </c>
      <c r="AT109">
        <v>114372</v>
      </c>
      <c r="AU109">
        <v>128935</v>
      </c>
      <c r="AV109">
        <v>147826</v>
      </c>
      <c r="AW109">
        <v>164952</v>
      </c>
      <c r="AX109">
        <v>186724</v>
      </c>
      <c r="AY109">
        <v>207563</v>
      </c>
      <c r="AZ109">
        <v>224199</v>
      </c>
      <c r="BA109">
        <v>230155</v>
      </c>
      <c r="BB109">
        <v>234365</v>
      </c>
      <c r="BC109">
        <v>246241</v>
      </c>
      <c r="BD109">
        <v>263243</v>
      </c>
      <c r="BE109">
        <v>279024</v>
      </c>
      <c r="BF109">
        <v>293019</v>
      </c>
      <c r="BG109">
        <v>301631</v>
      </c>
      <c r="BH109">
        <v>324372</v>
      </c>
      <c r="BI109">
        <v>353039</v>
      </c>
      <c r="BJ109">
        <v>376778</v>
      </c>
      <c r="BK109">
        <v>382764</v>
      </c>
      <c r="BL109">
        <v>393019</v>
      </c>
      <c r="BM109">
        <v>401483</v>
      </c>
      <c r="BN109">
        <v>428558</v>
      </c>
      <c r="BO109">
        <v>446974</v>
      </c>
      <c r="BP109">
        <v>471001</v>
      </c>
      <c r="BQ109">
        <v>489538</v>
      </c>
      <c r="BR109">
        <v>493476</v>
      </c>
      <c r="BS109">
        <v>464233</v>
      </c>
      <c r="BT109">
        <v>462528</v>
      </c>
      <c r="BU109">
        <v>474836</v>
      </c>
      <c r="BV109">
        <v>491546</v>
      </c>
      <c r="BW109">
        <v>512024</v>
      </c>
      <c r="BX109">
        <v>539114</v>
      </c>
      <c r="BY109">
        <v>567324</v>
      </c>
      <c r="BZ109">
        <v>591938</v>
      </c>
      <c r="CA109">
        <v>609436</v>
      </c>
      <c r="CB109">
        <v>635445</v>
      </c>
      <c r="CC109">
        <v>658737</v>
      </c>
      <c r="CD109">
        <v>661910</v>
      </c>
      <c r="CE109">
        <v>709307</v>
      </c>
      <c r="CF109">
        <v>731335</v>
      </c>
      <c r="CG109">
        <v>738901</v>
      </c>
      <c r="CH109">
        <v>759102</v>
      </c>
    </row>
    <row r="110" spans="1:86">
      <c r="A110" t="s">
        <v>846</v>
      </c>
      <c r="B110" t="s">
        <v>88</v>
      </c>
      <c r="C110">
        <v>1000000</v>
      </c>
      <c r="D110" t="s">
        <v>89</v>
      </c>
      <c r="E110" t="s">
        <v>899</v>
      </c>
      <c r="F110" s="10" t="s">
        <v>900</v>
      </c>
      <c r="G110">
        <v>5</v>
      </c>
      <c r="H110">
        <v>6</v>
      </c>
      <c r="I110">
        <v>7</v>
      </c>
      <c r="J110">
        <v>8</v>
      </c>
      <c r="K110">
        <v>8</v>
      </c>
      <c r="L110">
        <v>8</v>
      </c>
      <c r="M110">
        <v>9</v>
      </c>
      <c r="N110">
        <v>10</v>
      </c>
      <c r="O110">
        <v>12</v>
      </c>
      <c r="P110">
        <v>14</v>
      </c>
      <c r="Q110">
        <v>15</v>
      </c>
      <c r="R110">
        <v>16</v>
      </c>
      <c r="S110">
        <v>16</v>
      </c>
      <c r="T110">
        <v>15</v>
      </c>
      <c r="U110">
        <v>18</v>
      </c>
      <c r="V110">
        <v>45</v>
      </c>
      <c r="W110">
        <v>70</v>
      </c>
      <c r="X110">
        <v>102</v>
      </c>
      <c r="Y110">
        <v>143</v>
      </c>
      <c r="Z110">
        <v>229</v>
      </c>
      <c r="AA110">
        <v>324</v>
      </c>
      <c r="AB110">
        <v>417</v>
      </c>
      <c r="AC110">
        <v>542</v>
      </c>
      <c r="AD110">
        <v>696</v>
      </c>
      <c r="AE110">
        <v>896</v>
      </c>
      <c r="AF110">
        <v>1162</v>
      </c>
      <c r="AG110">
        <v>1397</v>
      </c>
      <c r="AH110">
        <v>1586</v>
      </c>
      <c r="AI110">
        <v>1988</v>
      </c>
      <c r="AJ110">
        <v>2686</v>
      </c>
      <c r="AK110">
        <v>3428</v>
      </c>
      <c r="AL110">
        <v>4155</v>
      </c>
      <c r="AM110">
        <v>4516</v>
      </c>
      <c r="AN110">
        <v>4979</v>
      </c>
      <c r="AO110">
        <v>5919</v>
      </c>
      <c r="AP110">
        <v>6855</v>
      </c>
      <c r="AQ110">
        <v>7858</v>
      </c>
      <c r="AR110">
        <v>9218</v>
      </c>
      <c r="AS110">
        <v>10627</v>
      </c>
      <c r="AT110">
        <v>12313</v>
      </c>
      <c r="AU110">
        <v>13984</v>
      </c>
      <c r="AV110">
        <v>15773</v>
      </c>
      <c r="AW110">
        <v>18286</v>
      </c>
      <c r="AX110">
        <v>21531</v>
      </c>
      <c r="AY110">
        <v>25491</v>
      </c>
      <c r="AZ110">
        <v>30255</v>
      </c>
      <c r="BA110">
        <v>34597</v>
      </c>
      <c r="BB110">
        <v>38727</v>
      </c>
      <c r="BC110">
        <v>42386</v>
      </c>
      <c r="BD110">
        <v>44735</v>
      </c>
      <c r="BE110">
        <v>45478</v>
      </c>
      <c r="BF110">
        <v>46059</v>
      </c>
      <c r="BG110">
        <v>47173</v>
      </c>
      <c r="BH110">
        <v>53588</v>
      </c>
      <c r="BI110">
        <v>64312</v>
      </c>
      <c r="BJ110">
        <v>75976</v>
      </c>
      <c r="BK110">
        <v>82298</v>
      </c>
      <c r="BL110">
        <v>86792</v>
      </c>
      <c r="BM110">
        <v>90289</v>
      </c>
      <c r="BN110">
        <v>95303</v>
      </c>
      <c r="BO110">
        <v>98847</v>
      </c>
      <c r="BP110">
        <v>102173</v>
      </c>
      <c r="BQ110">
        <v>110138</v>
      </c>
      <c r="BR110">
        <v>118576</v>
      </c>
      <c r="BS110">
        <v>126307</v>
      </c>
      <c r="BT110">
        <v>128729</v>
      </c>
      <c r="BU110">
        <v>137987</v>
      </c>
      <c r="BV110">
        <v>149089</v>
      </c>
      <c r="BW110">
        <v>157320</v>
      </c>
      <c r="BX110">
        <v>162383</v>
      </c>
      <c r="BY110">
        <v>170884</v>
      </c>
      <c r="BZ110">
        <v>185601</v>
      </c>
      <c r="CA110">
        <v>201878</v>
      </c>
      <c r="CB110">
        <v>217911</v>
      </c>
      <c r="CC110">
        <v>244799</v>
      </c>
      <c r="CD110">
        <v>270891</v>
      </c>
      <c r="CE110">
        <v>298493</v>
      </c>
      <c r="CF110">
        <v>335392</v>
      </c>
      <c r="CG110">
        <v>373748</v>
      </c>
      <c r="CH110">
        <v>420604</v>
      </c>
    </row>
    <row r="111" spans="1:86">
      <c r="A111" t="s">
        <v>698</v>
      </c>
      <c r="B111" t="s">
        <v>88</v>
      </c>
      <c r="C111">
        <v>1000000</v>
      </c>
      <c r="D111" t="s">
        <v>89</v>
      </c>
      <c r="E111" t="s">
        <v>901</v>
      </c>
      <c r="F111" s="10" t="s">
        <v>902</v>
      </c>
      <c r="G111">
        <v>336695</v>
      </c>
      <c r="H111">
        <v>341070</v>
      </c>
      <c r="I111">
        <v>362284</v>
      </c>
      <c r="J111">
        <v>382636</v>
      </c>
      <c r="K111">
        <v>400361</v>
      </c>
      <c r="L111">
        <v>430678</v>
      </c>
      <c r="M111">
        <v>465968</v>
      </c>
      <c r="N111">
        <v>507918</v>
      </c>
      <c r="O111">
        <v>543977</v>
      </c>
      <c r="P111">
        <v>587638</v>
      </c>
      <c r="Q111">
        <v>634710</v>
      </c>
      <c r="R111">
        <v>676628</v>
      </c>
      <c r="S111">
        <v>727451</v>
      </c>
      <c r="T111">
        <v>789230</v>
      </c>
      <c r="U111">
        <v>840004</v>
      </c>
      <c r="V111">
        <v>898096</v>
      </c>
      <c r="W111">
        <v>973414</v>
      </c>
      <c r="X111">
        <v>1036871</v>
      </c>
      <c r="Y111">
        <v>1123237</v>
      </c>
      <c r="Z111">
        <v>1219530</v>
      </c>
      <c r="AA111">
        <v>1325280</v>
      </c>
      <c r="AB111">
        <v>1415811</v>
      </c>
      <c r="AC111">
        <v>1559029</v>
      </c>
      <c r="AD111">
        <v>1709267</v>
      </c>
      <c r="AE111">
        <v>1842132</v>
      </c>
      <c r="AF111">
        <v>2018322</v>
      </c>
      <c r="AG111">
        <v>2265124</v>
      </c>
      <c r="AH111">
        <v>2566694</v>
      </c>
      <c r="AI111">
        <v>2827590</v>
      </c>
      <c r="AJ111">
        <v>3072439</v>
      </c>
      <c r="AK111">
        <v>3366992</v>
      </c>
      <c r="AL111">
        <v>3710580</v>
      </c>
      <c r="AM111">
        <v>4143712</v>
      </c>
      <c r="AN111">
        <v>4689828</v>
      </c>
      <c r="AO111">
        <v>5288163</v>
      </c>
      <c r="AP111">
        <v>5922491</v>
      </c>
      <c r="AQ111">
        <v>6626974</v>
      </c>
      <c r="AR111">
        <v>7405463</v>
      </c>
      <c r="AS111">
        <v>8215944</v>
      </c>
      <c r="AT111">
        <v>9319091</v>
      </c>
      <c r="AU111">
        <v>10689272</v>
      </c>
      <c r="AV111">
        <v>12220679</v>
      </c>
      <c r="AW111">
        <v>13381545</v>
      </c>
      <c r="AX111">
        <v>14626817</v>
      </c>
      <c r="AY111">
        <v>15974808</v>
      </c>
      <c r="AZ111">
        <v>16707021</v>
      </c>
      <c r="BA111">
        <v>17933817</v>
      </c>
      <c r="BB111">
        <v>19343975</v>
      </c>
      <c r="BC111">
        <v>21114373</v>
      </c>
      <c r="BD111">
        <v>22350113</v>
      </c>
      <c r="BE111">
        <v>24852997</v>
      </c>
      <c r="BF111">
        <v>27489966</v>
      </c>
      <c r="BG111">
        <v>30954513</v>
      </c>
      <c r="BH111">
        <v>34713693</v>
      </c>
      <c r="BI111">
        <v>39272553</v>
      </c>
      <c r="BJ111">
        <v>41826092</v>
      </c>
      <c r="BK111">
        <v>44429143</v>
      </c>
      <c r="BL111">
        <v>45919856</v>
      </c>
      <c r="BM111">
        <v>51182390</v>
      </c>
      <c r="BN111">
        <v>56826230</v>
      </c>
      <c r="BO111">
        <v>61529245</v>
      </c>
      <c r="BP111">
        <v>67891583</v>
      </c>
      <c r="BQ111">
        <v>74578740</v>
      </c>
      <c r="BR111">
        <v>71508017</v>
      </c>
      <c r="BS111">
        <v>73098356</v>
      </c>
      <c r="BT111">
        <v>75023207</v>
      </c>
      <c r="BU111">
        <v>76517147</v>
      </c>
      <c r="BV111">
        <v>81048509</v>
      </c>
      <c r="BW111">
        <v>87161470</v>
      </c>
      <c r="BX111">
        <v>91122360</v>
      </c>
      <c r="BY111">
        <v>90685738</v>
      </c>
      <c r="BZ111">
        <v>94069140</v>
      </c>
      <c r="CA111">
        <v>100817228</v>
      </c>
      <c r="CB111">
        <v>99879047</v>
      </c>
      <c r="CC111">
        <v>109772353</v>
      </c>
      <c r="CD111">
        <v>124068172</v>
      </c>
      <c r="CE111">
        <v>136756686</v>
      </c>
      <c r="CF111">
        <v>126457161</v>
      </c>
      <c r="CG111">
        <v>135858204</v>
      </c>
      <c r="CH111">
        <v>144043954</v>
      </c>
    </row>
    <row r="112" spans="1:86">
      <c r="A112" t="s">
        <v>701</v>
      </c>
      <c r="B112" t="s">
        <v>88</v>
      </c>
      <c r="C112">
        <v>1000000</v>
      </c>
      <c r="D112" t="s">
        <v>89</v>
      </c>
      <c r="E112" t="s">
        <v>903</v>
      </c>
      <c r="F112" s="10" t="s">
        <v>904</v>
      </c>
      <c r="G112">
        <v>22023</v>
      </c>
      <c r="H112">
        <v>22970</v>
      </c>
      <c r="I112">
        <v>25011</v>
      </c>
      <c r="J112">
        <v>27528</v>
      </c>
      <c r="K112">
        <v>23810</v>
      </c>
      <c r="L112">
        <v>26963</v>
      </c>
      <c r="M112">
        <v>30141</v>
      </c>
      <c r="N112">
        <v>30737</v>
      </c>
      <c r="O112">
        <v>31071</v>
      </c>
      <c r="P112">
        <v>30328</v>
      </c>
      <c r="Q112">
        <v>32019</v>
      </c>
      <c r="R112">
        <v>33095</v>
      </c>
      <c r="S112">
        <v>33438</v>
      </c>
      <c r="T112">
        <v>33791</v>
      </c>
      <c r="U112">
        <v>34046</v>
      </c>
      <c r="V112">
        <v>34005</v>
      </c>
      <c r="W112">
        <v>37127</v>
      </c>
      <c r="X112">
        <v>39720</v>
      </c>
      <c r="Y112">
        <v>39302</v>
      </c>
      <c r="Z112">
        <v>41978</v>
      </c>
      <c r="AA112">
        <v>43280</v>
      </c>
      <c r="AB112">
        <v>46412</v>
      </c>
      <c r="AC112">
        <v>50444</v>
      </c>
      <c r="AD112">
        <v>55615</v>
      </c>
      <c r="AE112">
        <v>57886</v>
      </c>
      <c r="AF112">
        <v>64803</v>
      </c>
      <c r="AG112">
        <v>73628</v>
      </c>
      <c r="AH112">
        <v>83223</v>
      </c>
      <c r="AI112">
        <v>97339</v>
      </c>
      <c r="AJ112">
        <v>117774</v>
      </c>
      <c r="AK112">
        <v>137582</v>
      </c>
      <c r="AL112">
        <v>158558</v>
      </c>
      <c r="AM112">
        <v>191291</v>
      </c>
      <c r="AN112">
        <v>240687</v>
      </c>
      <c r="AO112">
        <v>292391</v>
      </c>
      <c r="AP112">
        <v>360882</v>
      </c>
      <c r="AQ112">
        <v>444702</v>
      </c>
      <c r="AR112">
        <v>561059</v>
      </c>
      <c r="AS112">
        <v>559619</v>
      </c>
      <c r="AT112">
        <v>623666</v>
      </c>
      <c r="AU112">
        <v>664131</v>
      </c>
      <c r="AV112">
        <v>806657</v>
      </c>
      <c r="AW112">
        <v>826398</v>
      </c>
      <c r="AX112">
        <v>890979</v>
      </c>
      <c r="AY112">
        <v>1004491</v>
      </c>
      <c r="AZ112">
        <v>968170</v>
      </c>
      <c r="BA112">
        <v>1004605</v>
      </c>
      <c r="BB112">
        <v>997831</v>
      </c>
      <c r="BC112">
        <v>934140</v>
      </c>
      <c r="BD112">
        <v>935710</v>
      </c>
      <c r="BE112">
        <v>951244</v>
      </c>
      <c r="BF112">
        <v>1032203</v>
      </c>
      <c r="BG112">
        <v>1182480</v>
      </c>
      <c r="BH112">
        <v>1243256</v>
      </c>
      <c r="BI112">
        <v>1370803</v>
      </c>
      <c r="BJ112">
        <v>1466428</v>
      </c>
      <c r="BK112">
        <v>1728798</v>
      </c>
      <c r="BL112">
        <v>1764357</v>
      </c>
      <c r="BM112">
        <v>1841338</v>
      </c>
      <c r="BN112">
        <v>2077686</v>
      </c>
      <c r="BO112">
        <v>2206341</v>
      </c>
      <c r="BP112">
        <v>2458008</v>
      </c>
      <c r="BQ112">
        <v>3011787</v>
      </c>
      <c r="BR112">
        <v>5033389</v>
      </c>
      <c r="BS112">
        <v>4436468</v>
      </c>
      <c r="BT112">
        <v>4433211</v>
      </c>
      <c r="BU112">
        <v>4875370</v>
      </c>
      <c r="BV112">
        <v>4691822</v>
      </c>
      <c r="BW112">
        <v>5440148</v>
      </c>
      <c r="BX112">
        <v>5512957</v>
      </c>
      <c r="BY112">
        <v>4776940</v>
      </c>
      <c r="BZ112">
        <v>4267476</v>
      </c>
      <c r="CA112">
        <v>4610158</v>
      </c>
      <c r="CB112">
        <v>4059082</v>
      </c>
      <c r="CC112">
        <v>4221733</v>
      </c>
      <c r="CD112">
        <v>6006177</v>
      </c>
      <c r="CE112">
        <v>6582937</v>
      </c>
      <c r="CF112">
        <v>5688301</v>
      </c>
      <c r="CG112">
        <v>6375052</v>
      </c>
      <c r="CH112">
        <v>5894105</v>
      </c>
    </row>
    <row r="113" spans="1:86">
      <c r="A113" t="s">
        <v>704</v>
      </c>
      <c r="B113" t="s">
        <v>88</v>
      </c>
      <c r="C113">
        <v>1000000</v>
      </c>
      <c r="D113" t="s">
        <v>89</v>
      </c>
      <c r="E113" t="s">
        <v>905</v>
      </c>
      <c r="F113" s="10" t="s">
        <v>906</v>
      </c>
      <c r="G113">
        <v>183503</v>
      </c>
      <c r="H113">
        <v>171078</v>
      </c>
      <c r="I113">
        <v>167885</v>
      </c>
      <c r="J113">
        <v>166442</v>
      </c>
      <c r="K113">
        <v>170646</v>
      </c>
      <c r="L113">
        <v>170528</v>
      </c>
      <c r="M113">
        <v>175762</v>
      </c>
      <c r="N113">
        <v>185697</v>
      </c>
      <c r="O113">
        <v>196154</v>
      </c>
      <c r="P113">
        <v>208933</v>
      </c>
      <c r="Q113">
        <v>204986</v>
      </c>
      <c r="R113">
        <v>206238</v>
      </c>
      <c r="S113">
        <v>214061</v>
      </c>
      <c r="T113">
        <v>236194</v>
      </c>
      <c r="U113">
        <v>235466</v>
      </c>
      <c r="V113">
        <v>247019</v>
      </c>
      <c r="W113">
        <v>265445</v>
      </c>
      <c r="X113">
        <v>283651</v>
      </c>
      <c r="Y113">
        <v>296263</v>
      </c>
      <c r="Z113">
        <v>313041</v>
      </c>
      <c r="AA113">
        <v>327243</v>
      </c>
      <c r="AB113">
        <v>344177</v>
      </c>
      <c r="AC113">
        <v>382973</v>
      </c>
      <c r="AD113">
        <v>413683</v>
      </c>
      <c r="AE113">
        <v>424417</v>
      </c>
      <c r="AF113">
        <v>470477</v>
      </c>
      <c r="AG113">
        <v>514875</v>
      </c>
      <c r="AH113">
        <v>556701</v>
      </c>
      <c r="AI113">
        <v>596698</v>
      </c>
      <c r="AJ113">
        <v>646836</v>
      </c>
      <c r="AK113">
        <v>754992</v>
      </c>
      <c r="AL113">
        <v>859174</v>
      </c>
      <c r="AM113">
        <v>955927</v>
      </c>
      <c r="AN113">
        <v>1059812</v>
      </c>
      <c r="AO113">
        <v>1181362</v>
      </c>
      <c r="AP113">
        <v>1339937</v>
      </c>
      <c r="AQ113">
        <v>1527471</v>
      </c>
      <c r="AR113">
        <v>1783724</v>
      </c>
      <c r="AS113">
        <v>2019683</v>
      </c>
      <c r="AT113">
        <v>2308860</v>
      </c>
      <c r="AU113">
        <v>2714604</v>
      </c>
      <c r="AV113">
        <v>3233802</v>
      </c>
      <c r="AW113">
        <v>3601468</v>
      </c>
      <c r="AX113">
        <v>3931818</v>
      </c>
      <c r="AY113">
        <v>4219247</v>
      </c>
      <c r="AZ113">
        <v>4585843</v>
      </c>
      <c r="BA113">
        <v>5052976</v>
      </c>
      <c r="BB113">
        <v>5555185</v>
      </c>
      <c r="BC113">
        <v>6235658</v>
      </c>
      <c r="BD113">
        <v>6396111</v>
      </c>
      <c r="BE113">
        <v>6991768</v>
      </c>
      <c r="BF113">
        <v>7355447</v>
      </c>
      <c r="BG113">
        <v>8085090</v>
      </c>
      <c r="BH113">
        <v>8956733</v>
      </c>
      <c r="BI113">
        <v>9780869</v>
      </c>
      <c r="BJ113">
        <v>10284122</v>
      </c>
      <c r="BK113">
        <v>11280092</v>
      </c>
      <c r="BL113">
        <v>12193266</v>
      </c>
      <c r="BM113">
        <v>13258807</v>
      </c>
      <c r="BN113">
        <v>13830826</v>
      </c>
      <c r="BO113">
        <v>14246910</v>
      </c>
      <c r="BP113">
        <v>15147011</v>
      </c>
      <c r="BQ113">
        <v>16133545</v>
      </c>
      <c r="BR113">
        <v>15963759</v>
      </c>
      <c r="BS113">
        <v>17351050</v>
      </c>
      <c r="BT113">
        <v>17727415</v>
      </c>
      <c r="BU113">
        <v>18828286</v>
      </c>
      <c r="BV113">
        <v>20536020</v>
      </c>
      <c r="BW113">
        <v>20774622</v>
      </c>
      <c r="BX113">
        <v>22247978</v>
      </c>
      <c r="BY113">
        <v>22192839</v>
      </c>
      <c r="BZ113">
        <v>23174098</v>
      </c>
      <c r="CA113">
        <v>24315976</v>
      </c>
      <c r="CB113">
        <v>24375828</v>
      </c>
      <c r="CC113">
        <v>26810258</v>
      </c>
      <c r="CD113">
        <v>33764254</v>
      </c>
      <c r="CE113">
        <v>35935792</v>
      </c>
      <c r="CF113">
        <v>31084637</v>
      </c>
      <c r="CG113">
        <v>32796542</v>
      </c>
      <c r="CH113">
        <v>34417123</v>
      </c>
    </row>
    <row r="114" spans="1:86">
      <c r="A114" t="s">
        <v>707</v>
      </c>
      <c r="B114" t="s">
        <v>88</v>
      </c>
      <c r="C114">
        <v>1000000</v>
      </c>
      <c r="D114" t="s">
        <v>89</v>
      </c>
      <c r="E114" t="s">
        <v>907</v>
      </c>
      <c r="F114" s="10" t="s">
        <v>908</v>
      </c>
      <c r="G114">
        <v>273</v>
      </c>
      <c r="H114">
        <v>483</v>
      </c>
      <c r="I114">
        <v>572</v>
      </c>
      <c r="J114">
        <v>643</v>
      </c>
      <c r="K114">
        <v>704</v>
      </c>
      <c r="L114">
        <v>974</v>
      </c>
      <c r="M114">
        <v>1445</v>
      </c>
      <c r="N114">
        <v>1742</v>
      </c>
      <c r="O114">
        <v>2019</v>
      </c>
      <c r="P114">
        <v>2029</v>
      </c>
      <c r="Q114">
        <v>2093</v>
      </c>
      <c r="R114">
        <v>2251</v>
      </c>
      <c r="S114">
        <v>2677</v>
      </c>
      <c r="T114">
        <v>3000</v>
      </c>
      <c r="U114">
        <v>2866</v>
      </c>
      <c r="V114">
        <v>4465</v>
      </c>
      <c r="W114">
        <v>4947</v>
      </c>
      <c r="X114">
        <v>5985</v>
      </c>
      <c r="Y114">
        <v>7303</v>
      </c>
      <c r="Z114">
        <v>8547</v>
      </c>
      <c r="AA114">
        <v>9374</v>
      </c>
      <c r="AB114">
        <v>12220</v>
      </c>
      <c r="AC114">
        <v>15246</v>
      </c>
      <c r="AD114">
        <v>17720</v>
      </c>
      <c r="AE114">
        <v>26658</v>
      </c>
      <c r="AF114">
        <v>26504</v>
      </c>
      <c r="AG114">
        <v>24671</v>
      </c>
      <c r="AH114">
        <v>23367</v>
      </c>
      <c r="AI114">
        <v>30791</v>
      </c>
      <c r="AJ114">
        <v>46493</v>
      </c>
      <c r="AK114">
        <v>52933</v>
      </c>
      <c r="AL114">
        <v>58678</v>
      </c>
      <c r="AM114">
        <v>74399</v>
      </c>
      <c r="AN114">
        <v>91479</v>
      </c>
      <c r="AO114">
        <v>126987</v>
      </c>
      <c r="AP114">
        <v>145354</v>
      </c>
      <c r="AQ114">
        <v>198830</v>
      </c>
      <c r="AR114">
        <v>212566</v>
      </c>
      <c r="AS114">
        <v>234474</v>
      </c>
      <c r="AT114">
        <v>287632</v>
      </c>
      <c r="AU114">
        <v>339882</v>
      </c>
      <c r="AV114">
        <v>366693</v>
      </c>
      <c r="AW114">
        <v>413716</v>
      </c>
      <c r="AX114">
        <v>487186</v>
      </c>
      <c r="AY114">
        <v>550685</v>
      </c>
      <c r="AZ114">
        <v>581366</v>
      </c>
      <c r="BA114">
        <v>530940</v>
      </c>
      <c r="BB114">
        <v>534977</v>
      </c>
      <c r="BC114">
        <v>523883</v>
      </c>
      <c r="BD114">
        <v>557347</v>
      </c>
      <c r="BE114">
        <v>596946</v>
      </c>
      <c r="BF114">
        <v>653100</v>
      </c>
      <c r="BG114">
        <v>790342</v>
      </c>
      <c r="BH114">
        <v>931204</v>
      </c>
      <c r="BI114">
        <v>1140949</v>
      </c>
      <c r="BJ114">
        <v>1317220</v>
      </c>
      <c r="BK114">
        <v>1162431</v>
      </c>
      <c r="BL114">
        <v>1023593</v>
      </c>
      <c r="BM114">
        <v>920757</v>
      </c>
      <c r="BN114">
        <v>988043</v>
      </c>
      <c r="BO114">
        <v>1165104</v>
      </c>
      <c r="BP114">
        <v>1368618</v>
      </c>
      <c r="BQ114">
        <v>1259262</v>
      </c>
      <c r="BR114">
        <v>1165991</v>
      </c>
      <c r="BS114">
        <v>813282</v>
      </c>
      <c r="BT114">
        <v>689832</v>
      </c>
      <c r="BU114">
        <v>608013</v>
      </c>
      <c r="BV114">
        <v>609381</v>
      </c>
      <c r="BW114">
        <v>641840</v>
      </c>
      <c r="BX114">
        <v>579324</v>
      </c>
      <c r="BY114">
        <v>549052</v>
      </c>
      <c r="BZ114">
        <v>437207</v>
      </c>
      <c r="CA114">
        <v>506490</v>
      </c>
      <c r="CB114">
        <v>490975</v>
      </c>
      <c r="CC114">
        <v>465459</v>
      </c>
      <c r="CD114">
        <v>387557</v>
      </c>
      <c r="CE114">
        <v>429043</v>
      </c>
      <c r="CF114">
        <v>534391</v>
      </c>
      <c r="CG114">
        <v>621398</v>
      </c>
      <c r="CH114">
        <v>609004</v>
      </c>
    </row>
    <row r="115" spans="1:86">
      <c r="A115" t="s">
        <v>710</v>
      </c>
      <c r="B115" t="s">
        <v>88</v>
      </c>
      <c r="C115">
        <v>1000000</v>
      </c>
      <c r="D115" t="s">
        <v>89</v>
      </c>
      <c r="E115" t="s">
        <v>909</v>
      </c>
      <c r="F115" s="10" t="s">
        <v>910</v>
      </c>
      <c r="G115">
        <v>158044</v>
      </c>
      <c r="H115">
        <v>142743</v>
      </c>
      <c r="I115">
        <v>134788</v>
      </c>
      <c r="J115">
        <v>126431</v>
      </c>
      <c r="K115">
        <v>125470</v>
      </c>
      <c r="L115">
        <v>120587</v>
      </c>
      <c r="M115">
        <v>120119</v>
      </c>
      <c r="N115">
        <v>122750</v>
      </c>
      <c r="O115">
        <v>124530</v>
      </c>
      <c r="P115">
        <v>129633</v>
      </c>
      <c r="Q115">
        <v>121555</v>
      </c>
      <c r="R115">
        <v>117752</v>
      </c>
      <c r="S115">
        <v>115433</v>
      </c>
      <c r="T115">
        <v>126572</v>
      </c>
      <c r="U115">
        <v>119813</v>
      </c>
      <c r="V115">
        <v>121706</v>
      </c>
      <c r="W115">
        <v>129624</v>
      </c>
      <c r="X115">
        <v>133212</v>
      </c>
      <c r="Y115">
        <v>133318</v>
      </c>
      <c r="Z115">
        <v>137146</v>
      </c>
      <c r="AA115">
        <v>137123</v>
      </c>
      <c r="AB115">
        <v>137933</v>
      </c>
      <c r="AC115">
        <v>147483</v>
      </c>
      <c r="AD115">
        <v>154100</v>
      </c>
      <c r="AE115">
        <v>144268</v>
      </c>
      <c r="AF115">
        <v>157227</v>
      </c>
      <c r="AG115">
        <v>162890</v>
      </c>
      <c r="AH115">
        <v>165425</v>
      </c>
      <c r="AI115">
        <v>164191</v>
      </c>
      <c r="AJ115">
        <v>165433</v>
      </c>
      <c r="AK115">
        <v>214929</v>
      </c>
      <c r="AL115">
        <v>261651</v>
      </c>
      <c r="AM115">
        <v>270338</v>
      </c>
      <c r="AN115">
        <v>274148</v>
      </c>
      <c r="AO115">
        <v>287558</v>
      </c>
      <c r="AP115">
        <v>326615</v>
      </c>
      <c r="AQ115">
        <v>386193</v>
      </c>
      <c r="AR115">
        <v>497708</v>
      </c>
      <c r="AS115">
        <v>595448</v>
      </c>
      <c r="AT115">
        <v>685196</v>
      </c>
      <c r="AU115">
        <v>814614</v>
      </c>
      <c r="AV115">
        <v>935087</v>
      </c>
      <c r="AW115">
        <v>986168</v>
      </c>
      <c r="AX115">
        <v>995012</v>
      </c>
      <c r="AY115">
        <v>1010977</v>
      </c>
      <c r="AZ115">
        <v>1112297</v>
      </c>
      <c r="BA115">
        <v>1329683</v>
      </c>
      <c r="BB115">
        <v>1490128</v>
      </c>
      <c r="BC115">
        <v>1628934</v>
      </c>
      <c r="BD115">
        <v>1582752</v>
      </c>
      <c r="BE115">
        <v>1638061</v>
      </c>
      <c r="BF115">
        <v>1550466</v>
      </c>
      <c r="BG115">
        <v>1580799</v>
      </c>
      <c r="BH115">
        <v>1494093</v>
      </c>
      <c r="BI115">
        <v>1462529</v>
      </c>
      <c r="BJ115">
        <v>1383984</v>
      </c>
      <c r="BK115">
        <v>1416847</v>
      </c>
      <c r="BL115">
        <v>1609080</v>
      </c>
      <c r="BM115">
        <v>1604823</v>
      </c>
      <c r="BN115">
        <v>1606633</v>
      </c>
      <c r="BO115">
        <v>1672907</v>
      </c>
      <c r="BP115">
        <v>1717954</v>
      </c>
      <c r="BQ115">
        <v>1798199</v>
      </c>
      <c r="BR115">
        <v>2085823</v>
      </c>
      <c r="BS115">
        <v>2453601</v>
      </c>
      <c r="BT115">
        <v>3042999</v>
      </c>
      <c r="BU115">
        <v>4022396</v>
      </c>
      <c r="BV115">
        <v>4613753</v>
      </c>
      <c r="BW115">
        <v>4817855</v>
      </c>
      <c r="BX115">
        <v>5614289</v>
      </c>
      <c r="BY115">
        <v>5764908</v>
      </c>
      <c r="BZ115">
        <v>6347232</v>
      </c>
      <c r="CA115">
        <v>6572904</v>
      </c>
      <c r="CB115">
        <v>6942081</v>
      </c>
      <c r="CC115">
        <v>7767619</v>
      </c>
      <c r="CD115">
        <v>12367982</v>
      </c>
      <c r="CE115">
        <v>13375492</v>
      </c>
      <c r="CF115">
        <v>11189844</v>
      </c>
      <c r="CG115">
        <v>12135701</v>
      </c>
      <c r="CH115">
        <v>13082326</v>
      </c>
    </row>
    <row r="116" spans="1:86">
      <c r="A116" t="s">
        <v>713</v>
      </c>
      <c r="B116" t="s">
        <v>88</v>
      </c>
      <c r="C116">
        <v>1000000</v>
      </c>
      <c r="D116" t="s">
        <v>89</v>
      </c>
      <c r="E116" t="s">
        <v>911</v>
      </c>
      <c r="F116" s="10" t="s">
        <v>912</v>
      </c>
      <c r="G116">
        <v>886</v>
      </c>
      <c r="H116">
        <v>1046</v>
      </c>
      <c r="I116">
        <v>1067</v>
      </c>
      <c r="J116">
        <v>2049</v>
      </c>
      <c r="K116">
        <v>2095</v>
      </c>
      <c r="L116">
        <v>1887</v>
      </c>
      <c r="M116">
        <v>1825</v>
      </c>
      <c r="N116">
        <v>2180</v>
      </c>
      <c r="O116">
        <v>3742</v>
      </c>
      <c r="P116">
        <v>3673</v>
      </c>
      <c r="Q116">
        <v>3131</v>
      </c>
      <c r="R116">
        <v>2827</v>
      </c>
      <c r="S116">
        <v>3685</v>
      </c>
      <c r="T116">
        <v>4680</v>
      </c>
      <c r="U116">
        <v>4257</v>
      </c>
      <c r="V116">
        <v>5513</v>
      </c>
      <c r="W116">
        <v>6364</v>
      </c>
      <c r="X116">
        <v>8225</v>
      </c>
      <c r="Y116">
        <v>8705</v>
      </c>
      <c r="Z116">
        <v>9586</v>
      </c>
      <c r="AA116">
        <v>10526</v>
      </c>
      <c r="AB116">
        <v>11970</v>
      </c>
      <c r="AC116">
        <v>15214</v>
      </c>
      <c r="AD116">
        <v>17981</v>
      </c>
      <c r="AE116">
        <v>19604</v>
      </c>
      <c r="AF116">
        <v>26365</v>
      </c>
      <c r="AG116">
        <v>34959</v>
      </c>
      <c r="AH116">
        <v>46410</v>
      </c>
      <c r="AI116">
        <v>59655</v>
      </c>
      <c r="AJ116">
        <v>70677</v>
      </c>
      <c r="AK116">
        <v>83421</v>
      </c>
      <c r="AL116">
        <v>93327</v>
      </c>
      <c r="AM116">
        <v>110112</v>
      </c>
      <c r="AN116">
        <v>130551</v>
      </c>
      <c r="AO116">
        <v>155713</v>
      </c>
      <c r="AP116">
        <v>194348</v>
      </c>
      <c r="AQ116">
        <v>231346</v>
      </c>
      <c r="AR116">
        <v>301541</v>
      </c>
      <c r="AS116">
        <v>366624</v>
      </c>
      <c r="AT116">
        <v>427574</v>
      </c>
      <c r="AU116">
        <v>498343</v>
      </c>
      <c r="AV116">
        <v>673966</v>
      </c>
      <c r="AW116">
        <v>818701</v>
      </c>
      <c r="AX116">
        <v>901375</v>
      </c>
      <c r="AY116">
        <v>1008989</v>
      </c>
      <c r="AZ116">
        <v>1147409</v>
      </c>
      <c r="BA116">
        <v>1269997</v>
      </c>
      <c r="BB116">
        <v>1390427</v>
      </c>
      <c r="BC116">
        <v>1594936</v>
      </c>
      <c r="BD116">
        <v>1717516</v>
      </c>
      <c r="BE116">
        <v>1943051</v>
      </c>
      <c r="BF116">
        <v>2073858</v>
      </c>
      <c r="BG116">
        <v>2252508</v>
      </c>
      <c r="BH116">
        <v>2589388</v>
      </c>
      <c r="BI116">
        <v>2992920</v>
      </c>
      <c r="BJ116">
        <v>3261353</v>
      </c>
      <c r="BK116">
        <v>3960184</v>
      </c>
      <c r="BL116">
        <v>4496277</v>
      </c>
      <c r="BM116">
        <v>4857746</v>
      </c>
      <c r="BN116">
        <v>4714564</v>
      </c>
      <c r="BO116">
        <v>4513263</v>
      </c>
      <c r="BP116">
        <v>4574263</v>
      </c>
      <c r="BQ116">
        <v>4846741</v>
      </c>
      <c r="BR116">
        <v>5602657</v>
      </c>
      <c r="BS116">
        <v>6271045</v>
      </c>
      <c r="BT116">
        <v>5923873</v>
      </c>
      <c r="BU116">
        <v>5984928</v>
      </c>
      <c r="BV116">
        <v>6330880</v>
      </c>
      <c r="BW116">
        <v>6447483</v>
      </c>
      <c r="BX116">
        <v>6694415</v>
      </c>
      <c r="BY116">
        <v>6638742</v>
      </c>
      <c r="BZ116">
        <v>6883652</v>
      </c>
      <c r="CA116">
        <v>7179258</v>
      </c>
      <c r="CB116">
        <v>7105112</v>
      </c>
      <c r="CC116">
        <v>7527196</v>
      </c>
      <c r="CD116">
        <v>8723684</v>
      </c>
      <c r="CE116">
        <v>9105244</v>
      </c>
      <c r="CF116">
        <v>8098942</v>
      </c>
      <c r="CG116">
        <v>8348662</v>
      </c>
      <c r="CH116">
        <v>8415477</v>
      </c>
    </row>
    <row r="117" spans="1:86">
      <c r="A117" t="s">
        <v>716</v>
      </c>
      <c r="B117" t="s">
        <v>88</v>
      </c>
      <c r="C117">
        <v>1000000</v>
      </c>
      <c r="D117" t="s">
        <v>89</v>
      </c>
      <c r="E117" t="s">
        <v>913</v>
      </c>
      <c r="F117" s="10" t="s">
        <v>914</v>
      </c>
      <c r="G117">
        <v>6250</v>
      </c>
      <c r="H117">
        <v>6615</v>
      </c>
      <c r="I117">
        <v>7587</v>
      </c>
      <c r="J117">
        <v>8628</v>
      </c>
      <c r="K117">
        <v>10173</v>
      </c>
      <c r="L117">
        <v>12506</v>
      </c>
      <c r="M117">
        <v>14125</v>
      </c>
      <c r="N117">
        <v>15776</v>
      </c>
      <c r="O117">
        <v>17841</v>
      </c>
      <c r="P117">
        <v>21260</v>
      </c>
      <c r="Q117">
        <v>22825</v>
      </c>
      <c r="R117">
        <v>24140</v>
      </c>
      <c r="S117">
        <v>26449</v>
      </c>
      <c r="T117">
        <v>30508</v>
      </c>
      <c r="U117">
        <v>32791</v>
      </c>
      <c r="V117">
        <v>34835</v>
      </c>
      <c r="W117">
        <v>38685</v>
      </c>
      <c r="X117">
        <v>44443</v>
      </c>
      <c r="Y117">
        <v>48825</v>
      </c>
      <c r="Z117">
        <v>52403</v>
      </c>
      <c r="AA117">
        <v>57099</v>
      </c>
      <c r="AB117">
        <v>59718</v>
      </c>
      <c r="AC117">
        <v>70160</v>
      </c>
      <c r="AD117">
        <v>79689</v>
      </c>
      <c r="AE117">
        <v>81238</v>
      </c>
      <c r="AF117">
        <v>93798</v>
      </c>
      <c r="AG117">
        <v>110375</v>
      </c>
      <c r="AH117">
        <v>122126</v>
      </c>
      <c r="AI117">
        <v>131457</v>
      </c>
      <c r="AJ117">
        <v>138595</v>
      </c>
      <c r="AK117">
        <v>146332</v>
      </c>
      <c r="AL117">
        <v>159448</v>
      </c>
      <c r="AM117">
        <v>182427</v>
      </c>
      <c r="AN117">
        <v>208659</v>
      </c>
      <c r="AO117">
        <v>229035</v>
      </c>
      <c r="AP117">
        <v>252551</v>
      </c>
      <c r="AQ117">
        <v>265039</v>
      </c>
      <c r="AR117">
        <v>286705</v>
      </c>
      <c r="AS117">
        <v>301369</v>
      </c>
      <c r="AT117">
        <v>294067</v>
      </c>
      <c r="AU117">
        <v>386888</v>
      </c>
      <c r="AV117">
        <v>431912</v>
      </c>
      <c r="AW117">
        <v>424108</v>
      </c>
      <c r="AX117">
        <v>429507</v>
      </c>
      <c r="AY117">
        <v>437529</v>
      </c>
      <c r="AZ117">
        <v>461569</v>
      </c>
      <c r="BA117">
        <v>506313</v>
      </c>
      <c r="BB117">
        <v>576777</v>
      </c>
      <c r="BC117">
        <v>682220</v>
      </c>
      <c r="BD117">
        <v>658214</v>
      </c>
      <c r="BE117">
        <v>717000</v>
      </c>
      <c r="BF117">
        <v>750822</v>
      </c>
      <c r="BG117">
        <v>821633</v>
      </c>
      <c r="BH117">
        <v>913029</v>
      </c>
      <c r="BI117">
        <v>908115</v>
      </c>
      <c r="BJ117">
        <v>937436</v>
      </c>
      <c r="BK117">
        <v>1006682</v>
      </c>
      <c r="BL117">
        <v>1096168</v>
      </c>
      <c r="BM117">
        <v>1204097</v>
      </c>
      <c r="BN117">
        <v>1277334</v>
      </c>
      <c r="BO117">
        <v>1379593</v>
      </c>
      <c r="BP117">
        <v>1499533</v>
      </c>
      <c r="BQ117">
        <v>1656376</v>
      </c>
      <c r="BR117">
        <v>1621172</v>
      </c>
      <c r="BS117">
        <v>1713167</v>
      </c>
      <c r="BT117">
        <v>1749436</v>
      </c>
      <c r="BU117">
        <v>1794894</v>
      </c>
      <c r="BV117">
        <v>1920939</v>
      </c>
      <c r="BW117">
        <v>1811762</v>
      </c>
      <c r="BX117">
        <v>1905642</v>
      </c>
      <c r="BY117">
        <v>1937713</v>
      </c>
      <c r="BZ117">
        <v>1918522</v>
      </c>
      <c r="CA117">
        <v>1980591</v>
      </c>
      <c r="CB117">
        <v>1900491</v>
      </c>
      <c r="CC117">
        <v>2039461</v>
      </c>
      <c r="CD117">
        <v>2200614</v>
      </c>
      <c r="CE117">
        <v>2359144</v>
      </c>
      <c r="CF117">
        <v>1971344</v>
      </c>
      <c r="CG117">
        <v>1943570</v>
      </c>
      <c r="CH117">
        <v>1930554</v>
      </c>
    </row>
    <row r="118" spans="1:86">
      <c r="A118" t="s">
        <v>719</v>
      </c>
      <c r="B118" t="s">
        <v>88</v>
      </c>
      <c r="C118">
        <v>1000000</v>
      </c>
      <c r="D118" t="s">
        <v>89</v>
      </c>
      <c r="E118" t="s">
        <v>915</v>
      </c>
      <c r="F118" s="10" t="s">
        <v>916</v>
      </c>
      <c r="G118">
        <v>18050</v>
      </c>
      <c r="H118">
        <v>20191</v>
      </c>
      <c r="I118">
        <v>23871</v>
      </c>
      <c r="J118">
        <v>28691</v>
      </c>
      <c r="K118">
        <v>32204</v>
      </c>
      <c r="L118">
        <v>34574</v>
      </c>
      <c r="M118">
        <v>38248</v>
      </c>
      <c r="N118">
        <v>43249</v>
      </c>
      <c r="O118">
        <v>48022</v>
      </c>
      <c r="P118">
        <v>52338</v>
      </c>
      <c r="Q118">
        <v>55382</v>
      </c>
      <c r="R118">
        <v>59268</v>
      </c>
      <c r="S118">
        <v>65817</v>
      </c>
      <c r="T118">
        <v>71434</v>
      </c>
      <c r="U118">
        <v>75739</v>
      </c>
      <c r="V118">
        <v>80500</v>
      </c>
      <c r="W118">
        <v>85825</v>
      </c>
      <c r="X118">
        <v>91786</v>
      </c>
      <c r="Y118">
        <v>98112</v>
      </c>
      <c r="Z118">
        <v>105359</v>
      </c>
      <c r="AA118">
        <v>113121</v>
      </c>
      <c r="AB118">
        <v>122336</v>
      </c>
      <c r="AC118">
        <v>134870</v>
      </c>
      <c r="AD118">
        <v>144193</v>
      </c>
      <c r="AE118">
        <v>152649</v>
      </c>
      <c r="AF118">
        <v>166583</v>
      </c>
      <c r="AG118">
        <v>181980</v>
      </c>
      <c r="AH118">
        <v>199373</v>
      </c>
      <c r="AI118">
        <v>210604</v>
      </c>
      <c r="AJ118">
        <v>225638</v>
      </c>
      <c r="AK118">
        <v>257377</v>
      </c>
      <c r="AL118">
        <v>286070</v>
      </c>
      <c r="AM118">
        <v>318651</v>
      </c>
      <c r="AN118">
        <v>354975</v>
      </c>
      <c r="AO118">
        <v>382069</v>
      </c>
      <c r="AP118">
        <v>421069</v>
      </c>
      <c r="AQ118">
        <v>446063</v>
      </c>
      <c r="AR118">
        <v>485204</v>
      </c>
      <c r="AS118">
        <v>521768</v>
      </c>
      <c r="AT118">
        <v>614391</v>
      </c>
      <c r="AU118">
        <v>674877</v>
      </c>
      <c r="AV118">
        <v>826144</v>
      </c>
      <c r="AW118">
        <v>958775</v>
      </c>
      <c r="AX118">
        <v>1118738</v>
      </c>
      <c r="AY118">
        <v>1211067</v>
      </c>
      <c r="AZ118">
        <v>1283202</v>
      </c>
      <c r="BA118">
        <v>1416043</v>
      </c>
      <c r="BB118">
        <v>1562876</v>
      </c>
      <c r="BC118">
        <v>1805685</v>
      </c>
      <c r="BD118">
        <v>1880282</v>
      </c>
      <c r="BE118">
        <v>2096710</v>
      </c>
      <c r="BF118">
        <v>2327201</v>
      </c>
      <c r="BG118">
        <v>2639808</v>
      </c>
      <c r="BH118">
        <v>3029019</v>
      </c>
      <c r="BI118">
        <v>3276356</v>
      </c>
      <c r="BJ118">
        <v>3384129</v>
      </c>
      <c r="BK118">
        <v>3733948</v>
      </c>
      <c r="BL118">
        <v>3968148</v>
      </c>
      <c r="BM118">
        <v>4671384</v>
      </c>
      <c r="BN118">
        <v>5244252</v>
      </c>
      <c r="BO118">
        <v>5516043</v>
      </c>
      <c r="BP118">
        <v>5986643</v>
      </c>
      <c r="BQ118">
        <v>6572967</v>
      </c>
      <c r="BR118">
        <v>5488116</v>
      </c>
      <c r="BS118">
        <v>6099955</v>
      </c>
      <c r="BT118">
        <v>6321275</v>
      </c>
      <c r="BU118">
        <v>6418055</v>
      </c>
      <c r="BV118">
        <v>7061067</v>
      </c>
      <c r="BW118">
        <v>7055682</v>
      </c>
      <c r="BX118">
        <v>7454308</v>
      </c>
      <c r="BY118">
        <v>7302424</v>
      </c>
      <c r="BZ118">
        <v>7587485</v>
      </c>
      <c r="CA118">
        <v>8076733</v>
      </c>
      <c r="CB118">
        <v>7937169</v>
      </c>
      <c r="CC118">
        <v>9010523</v>
      </c>
      <c r="CD118">
        <v>10084417</v>
      </c>
      <c r="CE118">
        <v>10666869</v>
      </c>
      <c r="CF118">
        <v>9290116</v>
      </c>
      <c r="CG118">
        <v>9747211</v>
      </c>
      <c r="CH118">
        <v>10379762</v>
      </c>
    </row>
    <row r="119" spans="1:86">
      <c r="A119" t="s">
        <v>722</v>
      </c>
      <c r="B119" t="s">
        <v>88</v>
      </c>
      <c r="C119">
        <v>1000000</v>
      </c>
      <c r="D119" t="s">
        <v>89</v>
      </c>
      <c r="E119" t="s">
        <v>917</v>
      </c>
      <c r="F119" s="10" t="s">
        <v>918</v>
      </c>
      <c r="G119">
        <v>49795</v>
      </c>
      <c r="H119">
        <v>60159</v>
      </c>
      <c r="I119">
        <v>73255</v>
      </c>
      <c r="J119">
        <v>84527</v>
      </c>
      <c r="K119">
        <v>92347</v>
      </c>
      <c r="L119">
        <v>112874</v>
      </c>
      <c r="M119">
        <v>128010</v>
      </c>
      <c r="N119">
        <v>144533</v>
      </c>
      <c r="O119">
        <v>156801</v>
      </c>
      <c r="P119">
        <v>170412</v>
      </c>
      <c r="Q119">
        <v>201678</v>
      </c>
      <c r="R119">
        <v>224207</v>
      </c>
      <c r="S119">
        <v>240980</v>
      </c>
      <c r="T119">
        <v>256392</v>
      </c>
      <c r="U119">
        <v>290605</v>
      </c>
      <c r="V119">
        <v>317278</v>
      </c>
      <c r="W119">
        <v>344347</v>
      </c>
      <c r="X119">
        <v>380512</v>
      </c>
      <c r="Y119">
        <v>427733</v>
      </c>
      <c r="Z119">
        <v>475506</v>
      </c>
      <c r="AA119">
        <v>533084</v>
      </c>
      <c r="AB119">
        <v>577955</v>
      </c>
      <c r="AC119">
        <v>625605</v>
      </c>
      <c r="AD119">
        <v>679992</v>
      </c>
      <c r="AE119">
        <v>748235</v>
      </c>
      <c r="AF119">
        <v>799355</v>
      </c>
      <c r="AG119">
        <v>883453</v>
      </c>
      <c r="AH119">
        <v>1017283</v>
      </c>
      <c r="AI119">
        <v>1179978</v>
      </c>
      <c r="AJ119">
        <v>1315925</v>
      </c>
      <c r="AK119">
        <v>1359659</v>
      </c>
      <c r="AL119">
        <v>1507154</v>
      </c>
      <c r="AM119">
        <v>1734779</v>
      </c>
      <c r="AN119">
        <v>2005968</v>
      </c>
      <c r="AO119">
        <v>2316379</v>
      </c>
      <c r="AP119">
        <v>2527607</v>
      </c>
      <c r="AQ119">
        <v>2811037</v>
      </c>
      <c r="AR119">
        <v>3003591</v>
      </c>
      <c r="AS119">
        <v>3312268</v>
      </c>
      <c r="AT119">
        <v>3865768</v>
      </c>
      <c r="AU119">
        <v>4396525</v>
      </c>
      <c r="AV119">
        <v>4953554</v>
      </c>
      <c r="AW119">
        <v>5417772</v>
      </c>
      <c r="AX119">
        <v>5932202</v>
      </c>
      <c r="AY119">
        <v>6444901</v>
      </c>
      <c r="AZ119">
        <v>6679059</v>
      </c>
      <c r="BA119">
        <v>6804555</v>
      </c>
      <c r="BB119">
        <v>7064951</v>
      </c>
      <c r="BC119">
        <v>7429823</v>
      </c>
      <c r="BD119">
        <v>7910503</v>
      </c>
      <c r="BE119">
        <v>8650493</v>
      </c>
      <c r="BF119">
        <v>9322676</v>
      </c>
      <c r="BG119">
        <v>10114489</v>
      </c>
      <c r="BH119">
        <v>11053308</v>
      </c>
      <c r="BI119">
        <v>12246850</v>
      </c>
      <c r="BJ119">
        <v>13350740</v>
      </c>
      <c r="BK119">
        <v>14362540</v>
      </c>
      <c r="BL119">
        <v>15420302</v>
      </c>
      <c r="BM119">
        <v>16618811</v>
      </c>
      <c r="BN119">
        <v>18573811</v>
      </c>
      <c r="BO119">
        <v>20692061</v>
      </c>
      <c r="BP119">
        <v>22784448</v>
      </c>
      <c r="BQ119">
        <v>25417162</v>
      </c>
      <c r="BR119">
        <v>25818707</v>
      </c>
      <c r="BS119">
        <v>23658166</v>
      </c>
      <c r="BT119">
        <v>23157388</v>
      </c>
      <c r="BU119">
        <v>23099260</v>
      </c>
      <c r="BV119">
        <v>23511793</v>
      </c>
      <c r="BW119">
        <v>23610802</v>
      </c>
      <c r="BX119">
        <v>24453042</v>
      </c>
      <c r="BY119">
        <v>25193810</v>
      </c>
      <c r="BZ119">
        <v>26157882</v>
      </c>
      <c r="CA119">
        <v>27461999</v>
      </c>
      <c r="CB119">
        <v>28940460</v>
      </c>
      <c r="CC119">
        <v>30389644</v>
      </c>
      <c r="CD119">
        <v>31468446</v>
      </c>
      <c r="CE119">
        <v>34975375</v>
      </c>
      <c r="CF119">
        <v>38292786</v>
      </c>
      <c r="CG119">
        <v>39312419</v>
      </c>
      <c r="CH119">
        <v>40702622</v>
      </c>
    </row>
    <row r="120" spans="1:86">
      <c r="A120" t="s">
        <v>725</v>
      </c>
      <c r="B120" t="s">
        <v>88</v>
      </c>
      <c r="C120">
        <v>1000000</v>
      </c>
      <c r="D120" t="s">
        <v>89</v>
      </c>
      <c r="E120" t="s">
        <v>919</v>
      </c>
      <c r="F120" s="10" t="s">
        <v>920</v>
      </c>
      <c r="G120">
        <v>27511</v>
      </c>
      <c r="H120">
        <v>32901</v>
      </c>
      <c r="I120">
        <v>40127</v>
      </c>
      <c r="J120">
        <v>45340</v>
      </c>
      <c r="K120">
        <v>47966</v>
      </c>
      <c r="L120">
        <v>59375</v>
      </c>
      <c r="M120">
        <v>66679</v>
      </c>
      <c r="N120">
        <v>75576</v>
      </c>
      <c r="O120">
        <v>79487</v>
      </c>
      <c r="P120">
        <v>82272</v>
      </c>
      <c r="Q120">
        <v>98864</v>
      </c>
      <c r="R120">
        <v>108477</v>
      </c>
      <c r="S120">
        <v>115509</v>
      </c>
      <c r="T120">
        <v>118725</v>
      </c>
      <c r="U120">
        <v>137252</v>
      </c>
      <c r="V120">
        <v>149803</v>
      </c>
      <c r="W120">
        <v>160292</v>
      </c>
      <c r="X120">
        <v>175497</v>
      </c>
      <c r="Y120">
        <v>197219</v>
      </c>
      <c r="Z120">
        <v>218979</v>
      </c>
      <c r="AA120">
        <v>249759</v>
      </c>
      <c r="AB120">
        <v>273839</v>
      </c>
      <c r="AC120">
        <v>300989</v>
      </c>
      <c r="AD120">
        <v>330618</v>
      </c>
      <c r="AE120">
        <v>372854</v>
      </c>
      <c r="AF120">
        <v>397717</v>
      </c>
      <c r="AG120">
        <v>433513</v>
      </c>
      <c r="AH120">
        <v>499954</v>
      </c>
      <c r="AI120">
        <v>588774</v>
      </c>
      <c r="AJ120">
        <v>673098</v>
      </c>
      <c r="AK120">
        <v>672491</v>
      </c>
      <c r="AL120">
        <v>739381</v>
      </c>
      <c r="AM120">
        <v>849481</v>
      </c>
      <c r="AN120">
        <v>987344</v>
      </c>
      <c r="AO120">
        <v>1159644</v>
      </c>
      <c r="AP120">
        <v>1272606</v>
      </c>
      <c r="AQ120">
        <v>1477591</v>
      </c>
      <c r="AR120">
        <v>1613452</v>
      </c>
      <c r="AS120">
        <v>1749261</v>
      </c>
      <c r="AT120">
        <v>2086715</v>
      </c>
      <c r="AU120">
        <v>2377167</v>
      </c>
      <c r="AV120">
        <v>2649549</v>
      </c>
      <c r="AW120">
        <v>2814597</v>
      </c>
      <c r="AX120">
        <v>3041659</v>
      </c>
      <c r="AY120">
        <v>3286710</v>
      </c>
      <c r="AZ120">
        <v>3310172</v>
      </c>
      <c r="BA120">
        <v>3306157</v>
      </c>
      <c r="BB120">
        <v>3436187</v>
      </c>
      <c r="BC120">
        <v>3625806</v>
      </c>
      <c r="BD120">
        <v>3937038</v>
      </c>
      <c r="BE120">
        <v>4476491</v>
      </c>
      <c r="BF120">
        <v>4851696</v>
      </c>
      <c r="BG120">
        <v>5349666</v>
      </c>
      <c r="BH120">
        <v>5796896</v>
      </c>
      <c r="BI120">
        <v>6394546</v>
      </c>
      <c r="BJ120">
        <v>6940768</v>
      </c>
      <c r="BK120">
        <v>7277756</v>
      </c>
      <c r="BL120">
        <v>7424124</v>
      </c>
      <c r="BM120">
        <v>7632134</v>
      </c>
      <c r="BN120">
        <v>8335684</v>
      </c>
      <c r="BO120">
        <v>9031777</v>
      </c>
      <c r="BP120">
        <v>9704125</v>
      </c>
      <c r="BQ120">
        <v>11243966</v>
      </c>
      <c r="BR120">
        <v>11557201</v>
      </c>
      <c r="BS120">
        <v>9670414</v>
      </c>
      <c r="BT120">
        <v>9762130</v>
      </c>
      <c r="BU120">
        <v>10039200</v>
      </c>
      <c r="BV120">
        <v>10662582</v>
      </c>
      <c r="BW120">
        <v>10774263</v>
      </c>
      <c r="BX120">
        <v>11456920</v>
      </c>
      <c r="BY120">
        <v>11830385</v>
      </c>
      <c r="BZ120">
        <v>12327264</v>
      </c>
      <c r="CA120">
        <v>13090418</v>
      </c>
      <c r="CB120">
        <v>14003037</v>
      </c>
      <c r="CC120">
        <v>14901206</v>
      </c>
      <c r="CD120">
        <v>15263077</v>
      </c>
      <c r="CE120">
        <v>17308535</v>
      </c>
      <c r="CF120">
        <v>19309677</v>
      </c>
      <c r="CG120">
        <v>19707503</v>
      </c>
      <c r="CH120">
        <v>20536943</v>
      </c>
    </row>
    <row r="121" spans="1:86">
      <c r="A121" t="s">
        <v>728</v>
      </c>
      <c r="B121" t="s">
        <v>88</v>
      </c>
      <c r="C121">
        <v>1000000</v>
      </c>
      <c r="D121" t="s">
        <v>89</v>
      </c>
      <c r="E121" t="s">
        <v>921</v>
      </c>
      <c r="F121" s="10" t="s">
        <v>922</v>
      </c>
      <c r="G121">
        <v>22284</v>
      </c>
      <c r="H121">
        <v>27258</v>
      </c>
      <c r="I121">
        <v>33128</v>
      </c>
      <c r="J121">
        <v>39187</v>
      </c>
      <c r="K121">
        <v>44381</v>
      </c>
      <c r="L121">
        <v>53499</v>
      </c>
      <c r="M121">
        <v>61331</v>
      </c>
      <c r="N121">
        <v>68957</v>
      </c>
      <c r="O121">
        <v>77314</v>
      </c>
      <c r="P121">
        <v>88140</v>
      </c>
      <c r="Q121">
        <v>102814</v>
      </c>
      <c r="R121">
        <v>115730</v>
      </c>
      <c r="S121">
        <v>125471</v>
      </c>
      <c r="T121">
        <v>137667</v>
      </c>
      <c r="U121">
        <v>153353</v>
      </c>
      <c r="V121">
        <v>167475</v>
      </c>
      <c r="W121">
        <v>184055</v>
      </c>
      <c r="X121">
        <v>205015</v>
      </c>
      <c r="Y121">
        <v>230514</v>
      </c>
      <c r="Z121">
        <v>256527</v>
      </c>
      <c r="AA121">
        <v>283325</v>
      </c>
      <c r="AB121">
        <v>304116</v>
      </c>
      <c r="AC121">
        <v>324616</v>
      </c>
      <c r="AD121">
        <v>349374</v>
      </c>
      <c r="AE121">
        <v>375381</v>
      </c>
      <c r="AF121">
        <v>401638</v>
      </c>
      <c r="AG121">
        <v>449940</v>
      </c>
      <c r="AH121">
        <v>517329</v>
      </c>
      <c r="AI121">
        <v>591204</v>
      </c>
      <c r="AJ121">
        <v>642827</v>
      </c>
      <c r="AK121">
        <v>687168</v>
      </c>
      <c r="AL121">
        <v>767773</v>
      </c>
      <c r="AM121">
        <v>885298</v>
      </c>
      <c r="AN121">
        <v>1018624</v>
      </c>
      <c r="AO121">
        <v>1156735</v>
      </c>
      <c r="AP121">
        <v>1255001</v>
      </c>
      <c r="AQ121">
        <v>1333446</v>
      </c>
      <c r="AR121">
        <v>1390139</v>
      </c>
      <c r="AS121">
        <v>1563007</v>
      </c>
      <c r="AT121">
        <v>1779053</v>
      </c>
      <c r="AU121">
        <v>2019358</v>
      </c>
      <c r="AV121">
        <v>2304005</v>
      </c>
      <c r="AW121">
        <v>2603175</v>
      </c>
      <c r="AX121">
        <v>2890543</v>
      </c>
      <c r="AY121">
        <v>3158191</v>
      </c>
      <c r="AZ121">
        <v>3368887</v>
      </c>
      <c r="BA121">
        <v>3498398</v>
      </c>
      <c r="BB121">
        <v>3628764</v>
      </c>
      <c r="BC121">
        <v>3804017</v>
      </c>
      <c r="BD121">
        <v>3973465</v>
      </c>
      <c r="BE121">
        <v>4174002</v>
      </c>
      <c r="BF121">
        <v>4470980</v>
      </c>
      <c r="BG121">
        <v>4764823</v>
      </c>
      <c r="BH121">
        <v>5256412</v>
      </c>
      <c r="BI121">
        <v>5852304</v>
      </c>
      <c r="BJ121">
        <v>6409972</v>
      </c>
      <c r="BK121">
        <v>7084784</v>
      </c>
      <c r="BL121">
        <v>7996178</v>
      </c>
      <c r="BM121">
        <v>8986677</v>
      </c>
      <c r="BN121">
        <v>10238127</v>
      </c>
      <c r="BO121">
        <v>11660284</v>
      </c>
      <c r="BP121">
        <v>13080323</v>
      </c>
      <c r="BQ121">
        <v>14173196</v>
      </c>
      <c r="BR121">
        <v>14261506</v>
      </c>
      <c r="BS121">
        <v>13987752</v>
      </c>
      <c r="BT121">
        <v>13395258</v>
      </c>
      <c r="BU121">
        <v>13060060</v>
      </c>
      <c r="BV121">
        <v>12849211</v>
      </c>
      <c r="BW121">
        <v>12836539</v>
      </c>
      <c r="BX121">
        <v>12996122</v>
      </c>
      <c r="BY121">
        <v>13363425</v>
      </c>
      <c r="BZ121">
        <v>13830618</v>
      </c>
      <c r="CA121">
        <v>14371581</v>
      </c>
      <c r="CB121">
        <v>14937423</v>
      </c>
      <c r="CC121">
        <v>15488438</v>
      </c>
      <c r="CD121">
        <v>16205369</v>
      </c>
      <c r="CE121">
        <v>17666840</v>
      </c>
      <c r="CF121">
        <v>18983109</v>
      </c>
      <c r="CG121">
        <v>19604916</v>
      </c>
      <c r="CH121">
        <v>20165679</v>
      </c>
    </row>
    <row r="122" spans="1:86">
      <c r="A122" t="s">
        <v>731</v>
      </c>
      <c r="B122" t="s">
        <v>88</v>
      </c>
      <c r="C122">
        <v>1000000</v>
      </c>
      <c r="D122" t="s">
        <v>89</v>
      </c>
      <c r="E122" t="s">
        <v>923</v>
      </c>
      <c r="F122" s="10" t="s">
        <v>924</v>
      </c>
      <c r="G122">
        <v>5774</v>
      </c>
      <c r="H122">
        <v>5968</v>
      </c>
      <c r="I122">
        <v>6508</v>
      </c>
      <c r="J122">
        <v>6827</v>
      </c>
      <c r="K122">
        <v>9504</v>
      </c>
      <c r="L122">
        <v>10663</v>
      </c>
      <c r="M122">
        <v>11838</v>
      </c>
      <c r="N122">
        <v>14876</v>
      </c>
      <c r="O122">
        <v>16312</v>
      </c>
      <c r="P122">
        <v>21507</v>
      </c>
      <c r="Q122">
        <v>28220</v>
      </c>
      <c r="R122">
        <v>30572</v>
      </c>
      <c r="S122">
        <v>30789</v>
      </c>
      <c r="T122">
        <v>42104</v>
      </c>
      <c r="U122">
        <v>48971</v>
      </c>
      <c r="V122">
        <v>53489</v>
      </c>
      <c r="W122">
        <v>68495</v>
      </c>
      <c r="X122">
        <v>65220</v>
      </c>
      <c r="Y122">
        <v>79188</v>
      </c>
      <c r="Z122">
        <v>92811</v>
      </c>
      <c r="AA122">
        <v>108030</v>
      </c>
      <c r="AB122">
        <v>103933</v>
      </c>
      <c r="AC122">
        <v>132175</v>
      </c>
      <c r="AD122">
        <v>156632</v>
      </c>
      <c r="AE122">
        <v>156454</v>
      </c>
      <c r="AF122">
        <v>170207</v>
      </c>
      <c r="AG122">
        <v>221817</v>
      </c>
      <c r="AH122">
        <v>270492</v>
      </c>
      <c r="AI122">
        <v>243939</v>
      </c>
      <c r="AJ122">
        <v>204820</v>
      </c>
      <c r="AK122">
        <v>272488</v>
      </c>
      <c r="AL122">
        <v>314737</v>
      </c>
      <c r="AM122">
        <v>314861</v>
      </c>
      <c r="AN122">
        <v>359220</v>
      </c>
      <c r="AO122">
        <v>420631</v>
      </c>
      <c r="AP122">
        <v>529629</v>
      </c>
      <c r="AQ122">
        <v>549130</v>
      </c>
      <c r="AR122">
        <v>673743</v>
      </c>
      <c r="AS122">
        <v>852913</v>
      </c>
      <c r="AT122">
        <v>898531</v>
      </c>
      <c r="AU122">
        <v>1175612</v>
      </c>
      <c r="AV122">
        <v>1354100</v>
      </c>
      <c r="AW122">
        <v>1428649</v>
      </c>
      <c r="AX122">
        <v>1542168</v>
      </c>
      <c r="AY122">
        <v>1879898</v>
      </c>
      <c r="AZ122">
        <v>1835358</v>
      </c>
      <c r="BA122">
        <v>2363771</v>
      </c>
      <c r="BB122">
        <v>2737251</v>
      </c>
      <c r="BC122">
        <v>3429440</v>
      </c>
      <c r="BD122">
        <v>3675817</v>
      </c>
      <c r="BE122">
        <v>4919505</v>
      </c>
      <c r="BF122">
        <v>6200517</v>
      </c>
      <c r="BG122">
        <v>7866503</v>
      </c>
      <c r="BH122">
        <v>9510134</v>
      </c>
      <c r="BI122">
        <v>11685119</v>
      </c>
      <c r="BJ122">
        <v>11688775</v>
      </c>
      <c r="BK122">
        <v>10902435</v>
      </c>
      <c r="BL122">
        <v>9575763</v>
      </c>
      <c r="BM122">
        <v>12174694</v>
      </c>
      <c r="BN122">
        <v>14232686</v>
      </c>
      <c r="BO122">
        <v>15781366</v>
      </c>
      <c r="BP122">
        <v>17791172</v>
      </c>
      <c r="BQ122">
        <v>19610541</v>
      </c>
      <c r="BR122">
        <v>13358223</v>
      </c>
      <c r="BS122">
        <v>16176389</v>
      </c>
      <c r="BT122">
        <v>18214121</v>
      </c>
      <c r="BU122">
        <v>17489760</v>
      </c>
      <c r="BV122">
        <v>20042892</v>
      </c>
      <c r="BW122">
        <v>24323796</v>
      </c>
      <c r="BX122">
        <v>25578258</v>
      </c>
      <c r="BY122">
        <v>24884037</v>
      </c>
      <c r="BZ122">
        <v>26419070</v>
      </c>
      <c r="CA122">
        <v>30792599</v>
      </c>
      <c r="CB122">
        <v>28316118</v>
      </c>
      <c r="CC122">
        <v>33691477</v>
      </c>
      <c r="CD122">
        <v>37987246</v>
      </c>
      <c r="CE122">
        <v>44021639</v>
      </c>
      <c r="CF122">
        <v>35804087</v>
      </c>
      <c r="CG122">
        <v>41458491</v>
      </c>
      <c r="CH122">
        <v>47196953</v>
      </c>
    </row>
    <row r="123" spans="1:86">
      <c r="A123" t="s">
        <v>734</v>
      </c>
      <c r="B123" t="s">
        <v>88</v>
      </c>
      <c r="C123">
        <v>1000000</v>
      </c>
      <c r="D123" t="s">
        <v>89</v>
      </c>
      <c r="E123" t="s">
        <v>925</v>
      </c>
      <c r="F123" s="10" t="s">
        <v>926</v>
      </c>
      <c r="G123">
        <v>5297</v>
      </c>
      <c r="H123">
        <v>5451</v>
      </c>
      <c r="I123">
        <v>5944</v>
      </c>
      <c r="J123">
        <v>6217</v>
      </c>
      <c r="K123">
        <v>8839</v>
      </c>
      <c r="L123">
        <v>9907</v>
      </c>
      <c r="M123">
        <v>10934</v>
      </c>
      <c r="N123">
        <v>13866</v>
      </c>
      <c r="O123">
        <v>15182</v>
      </c>
      <c r="P123">
        <v>20209</v>
      </c>
      <c r="Q123">
        <v>26752</v>
      </c>
      <c r="R123">
        <v>28903</v>
      </c>
      <c r="S123">
        <v>28922</v>
      </c>
      <c r="T123">
        <v>40044</v>
      </c>
      <c r="U123">
        <v>46685</v>
      </c>
      <c r="V123">
        <v>50943</v>
      </c>
      <c r="W123">
        <v>65664</v>
      </c>
      <c r="X123">
        <v>62008</v>
      </c>
      <c r="Y123">
        <v>75737</v>
      </c>
      <c r="Z123">
        <v>88868</v>
      </c>
      <c r="AA123">
        <v>103737</v>
      </c>
      <c r="AB123">
        <v>99218</v>
      </c>
      <c r="AC123">
        <v>127009</v>
      </c>
      <c r="AD123">
        <v>150965</v>
      </c>
      <c r="AE123">
        <v>146295</v>
      </c>
      <c r="AF123">
        <v>153635</v>
      </c>
      <c r="AG123">
        <v>200051</v>
      </c>
      <c r="AH123">
        <v>242383</v>
      </c>
      <c r="AI123">
        <v>210792</v>
      </c>
      <c r="AJ123">
        <v>163687</v>
      </c>
      <c r="AK123">
        <v>221274</v>
      </c>
      <c r="AL123">
        <v>255517</v>
      </c>
      <c r="AM123">
        <v>246390</v>
      </c>
      <c r="AN123">
        <v>281574</v>
      </c>
      <c r="AO123">
        <v>323900</v>
      </c>
      <c r="AP123">
        <v>404704</v>
      </c>
      <c r="AQ123">
        <v>397420</v>
      </c>
      <c r="AR123">
        <v>500198</v>
      </c>
      <c r="AS123">
        <v>647537</v>
      </c>
      <c r="AT123">
        <v>662280</v>
      </c>
      <c r="AU123">
        <v>886392</v>
      </c>
      <c r="AV123">
        <v>983528</v>
      </c>
      <c r="AW123">
        <v>1034050</v>
      </c>
      <c r="AX123">
        <v>1077238</v>
      </c>
      <c r="AY123">
        <v>1332634</v>
      </c>
      <c r="AZ123">
        <v>1274562</v>
      </c>
      <c r="BA123">
        <v>1705100</v>
      </c>
      <c r="BB123">
        <v>1959684</v>
      </c>
      <c r="BC123">
        <v>2429417</v>
      </c>
      <c r="BD123">
        <v>2571115</v>
      </c>
      <c r="BE123">
        <v>3449618</v>
      </c>
      <c r="BF123">
        <v>4294423</v>
      </c>
      <c r="BG123">
        <v>5430770</v>
      </c>
      <c r="BH123">
        <v>6550950</v>
      </c>
      <c r="BI123">
        <v>8014551</v>
      </c>
      <c r="BJ123">
        <v>7775901</v>
      </c>
      <c r="BK123">
        <v>7149184</v>
      </c>
      <c r="BL123">
        <v>5884136</v>
      </c>
      <c r="BM123">
        <v>7804868</v>
      </c>
      <c r="BN123">
        <v>9170229</v>
      </c>
      <c r="BO123">
        <v>10044216</v>
      </c>
      <c r="BP123">
        <v>11194499</v>
      </c>
      <c r="BQ123">
        <v>12222108</v>
      </c>
      <c r="BR123">
        <v>7517546</v>
      </c>
      <c r="BS123">
        <v>9705651</v>
      </c>
      <c r="BT123">
        <v>11155122</v>
      </c>
      <c r="BU123">
        <v>10655668</v>
      </c>
      <c r="BV123">
        <v>12228638</v>
      </c>
      <c r="BW123">
        <v>15453461</v>
      </c>
      <c r="BX123">
        <v>16429941</v>
      </c>
      <c r="BY123">
        <v>16203014</v>
      </c>
      <c r="BZ123">
        <v>17212034</v>
      </c>
      <c r="CA123">
        <v>20676355</v>
      </c>
      <c r="CB123">
        <v>18722957</v>
      </c>
      <c r="CC123">
        <v>22736236</v>
      </c>
      <c r="CD123">
        <v>25915439</v>
      </c>
      <c r="CE123">
        <v>30844313</v>
      </c>
      <c r="CF123">
        <v>24868706</v>
      </c>
      <c r="CG123">
        <v>29263982</v>
      </c>
      <c r="CH123">
        <v>34223069</v>
      </c>
    </row>
    <row r="124" spans="1:86">
      <c r="A124" t="s">
        <v>737</v>
      </c>
      <c r="B124" t="s">
        <v>88</v>
      </c>
      <c r="C124">
        <v>1000000</v>
      </c>
      <c r="D124" t="s">
        <v>89</v>
      </c>
      <c r="E124" t="s">
        <v>927</v>
      </c>
      <c r="F124" s="10" t="s">
        <v>928</v>
      </c>
      <c r="G124">
        <v>0</v>
      </c>
      <c r="H124">
        <v>0</v>
      </c>
      <c r="I124">
        <v>0</v>
      </c>
      <c r="J124">
        <v>0</v>
      </c>
      <c r="K124">
        <v>0</v>
      </c>
      <c r="L124">
        <v>0</v>
      </c>
      <c r="M124">
        <v>0</v>
      </c>
      <c r="N124">
        <v>0</v>
      </c>
      <c r="O124">
        <v>0</v>
      </c>
      <c r="P124">
        <v>0</v>
      </c>
      <c r="Q124">
        <v>0</v>
      </c>
      <c r="R124">
        <v>0</v>
      </c>
      <c r="S124">
        <v>0</v>
      </c>
      <c r="T124">
        <v>0</v>
      </c>
      <c r="U124">
        <v>0</v>
      </c>
      <c r="V124">
        <v>0</v>
      </c>
      <c r="W124">
        <v>0</v>
      </c>
      <c r="X124">
        <v>194</v>
      </c>
      <c r="Y124">
        <v>193</v>
      </c>
      <c r="Z124">
        <v>416</v>
      </c>
      <c r="AA124">
        <v>480</v>
      </c>
      <c r="AB124">
        <v>554</v>
      </c>
      <c r="AC124">
        <v>700</v>
      </c>
      <c r="AD124">
        <v>858</v>
      </c>
      <c r="AE124">
        <v>1265</v>
      </c>
      <c r="AF124">
        <v>1666</v>
      </c>
      <c r="AG124">
        <v>1750</v>
      </c>
      <c r="AH124">
        <v>1811</v>
      </c>
      <c r="AI124">
        <v>2165</v>
      </c>
      <c r="AJ124">
        <v>2523</v>
      </c>
      <c r="AK124">
        <v>3395</v>
      </c>
      <c r="AL124">
        <v>4110</v>
      </c>
      <c r="AM124">
        <v>4346</v>
      </c>
      <c r="AN124">
        <v>4352</v>
      </c>
      <c r="AO124">
        <v>12341</v>
      </c>
      <c r="AP124">
        <v>16828</v>
      </c>
      <c r="AQ124">
        <v>14570</v>
      </c>
      <c r="AR124">
        <v>20173</v>
      </c>
      <c r="AS124">
        <v>24432</v>
      </c>
      <c r="AT124">
        <v>27126</v>
      </c>
      <c r="AU124">
        <v>42724</v>
      </c>
      <c r="AV124">
        <v>58948</v>
      </c>
      <c r="AW124">
        <v>64536</v>
      </c>
      <c r="AX124">
        <v>71987</v>
      </c>
      <c r="AY124">
        <v>109384</v>
      </c>
      <c r="AZ124">
        <v>117546</v>
      </c>
      <c r="BA124">
        <v>173939</v>
      </c>
      <c r="BB124">
        <v>227878</v>
      </c>
      <c r="BC124">
        <v>324531</v>
      </c>
      <c r="BD124">
        <v>424030</v>
      </c>
      <c r="BE124">
        <v>676952</v>
      </c>
      <c r="BF124">
        <v>949380</v>
      </c>
      <c r="BG124">
        <v>1312522</v>
      </c>
      <c r="BH124">
        <v>1628715</v>
      </c>
      <c r="BI124">
        <v>2159338</v>
      </c>
      <c r="BJ124">
        <v>2262941</v>
      </c>
      <c r="BK124">
        <v>2021055</v>
      </c>
      <c r="BL124">
        <v>1856267</v>
      </c>
      <c r="BM124">
        <v>2359540</v>
      </c>
      <c r="BN124">
        <v>2701827</v>
      </c>
      <c r="BO124">
        <v>3119870</v>
      </c>
      <c r="BP124">
        <v>3622904</v>
      </c>
      <c r="BQ124">
        <v>3916911</v>
      </c>
      <c r="BR124">
        <v>2602874</v>
      </c>
      <c r="BS124">
        <v>3361597</v>
      </c>
      <c r="BT124">
        <v>3801122</v>
      </c>
      <c r="BU124">
        <v>3644142</v>
      </c>
      <c r="BV124">
        <v>4053555</v>
      </c>
      <c r="BW124">
        <v>4865841</v>
      </c>
      <c r="BX124">
        <v>5115068</v>
      </c>
      <c r="BY124">
        <v>4980400</v>
      </c>
      <c r="BZ124">
        <v>5239921</v>
      </c>
      <c r="CA124">
        <v>5975352</v>
      </c>
      <c r="CB124">
        <v>5471486</v>
      </c>
      <c r="CC124">
        <v>6326160</v>
      </c>
      <c r="CD124">
        <v>7056476</v>
      </c>
      <c r="CE124">
        <v>7622982</v>
      </c>
      <c r="CF124">
        <v>6012253</v>
      </c>
      <c r="CG124">
        <v>6905212</v>
      </c>
      <c r="CH124">
        <v>7418669</v>
      </c>
    </row>
    <row r="125" spans="1:86">
      <c r="A125" t="s">
        <v>740</v>
      </c>
      <c r="B125" t="s">
        <v>88</v>
      </c>
      <c r="C125">
        <v>1000000</v>
      </c>
      <c r="D125" t="s">
        <v>89</v>
      </c>
      <c r="E125" t="s">
        <v>929</v>
      </c>
      <c r="F125" s="10" t="s">
        <v>930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305</v>
      </c>
      <c r="AM125">
        <v>490</v>
      </c>
      <c r="AN125">
        <v>1270</v>
      </c>
      <c r="AO125">
        <v>2755</v>
      </c>
      <c r="AP125">
        <v>5056</v>
      </c>
      <c r="AQ125">
        <v>13279</v>
      </c>
      <c r="AR125">
        <v>14185</v>
      </c>
      <c r="AS125">
        <v>18370</v>
      </c>
      <c r="AT125">
        <v>23174</v>
      </c>
      <c r="AU125">
        <v>23224</v>
      </c>
      <c r="AV125">
        <v>24156</v>
      </c>
      <c r="AW125">
        <v>21897</v>
      </c>
      <c r="AX125">
        <v>32839</v>
      </c>
      <c r="AY125">
        <v>29018</v>
      </c>
      <c r="AZ125">
        <v>46307</v>
      </c>
      <c r="BA125">
        <v>55258</v>
      </c>
      <c r="BB125">
        <v>61430</v>
      </c>
      <c r="BC125">
        <v>75677</v>
      </c>
      <c r="BD125">
        <v>70806</v>
      </c>
      <c r="BE125">
        <v>96016</v>
      </c>
      <c r="BF125">
        <v>128481</v>
      </c>
      <c r="BG125">
        <v>164330</v>
      </c>
      <c r="BH125">
        <v>191526</v>
      </c>
      <c r="BI125">
        <v>242504</v>
      </c>
      <c r="BJ125">
        <v>269965</v>
      </c>
      <c r="BK125">
        <v>324561</v>
      </c>
      <c r="BL125">
        <v>332190</v>
      </c>
      <c r="BM125">
        <v>293843</v>
      </c>
      <c r="BN125">
        <v>259589</v>
      </c>
      <c r="BO125">
        <v>306363</v>
      </c>
      <c r="BP125">
        <v>335582</v>
      </c>
      <c r="BQ125">
        <v>416303</v>
      </c>
      <c r="BR125">
        <v>506758</v>
      </c>
      <c r="BS125">
        <v>460096</v>
      </c>
      <c r="BT125">
        <v>522042</v>
      </c>
      <c r="BU125">
        <v>541283</v>
      </c>
      <c r="BV125">
        <v>545935</v>
      </c>
      <c r="BW125">
        <v>624602</v>
      </c>
      <c r="BX125">
        <v>631548</v>
      </c>
      <c r="BY125">
        <v>566358</v>
      </c>
      <c r="BZ125">
        <v>705622</v>
      </c>
      <c r="CA125">
        <v>719892</v>
      </c>
      <c r="CB125">
        <v>747658</v>
      </c>
      <c r="CC125">
        <v>888839</v>
      </c>
      <c r="CD125">
        <v>1052675</v>
      </c>
      <c r="CE125">
        <v>1237414</v>
      </c>
      <c r="CF125">
        <v>1013737</v>
      </c>
      <c r="CG125">
        <v>1062169</v>
      </c>
      <c r="CH125">
        <v>1134969</v>
      </c>
    </row>
    <row r="126" spans="1:86">
      <c r="A126" t="s">
        <v>743</v>
      </c>
      <c r="B126" t="s">
        <v>88</v>
      </c>
      <c r="C126">
        <v>1000000</v>
      </c>
      <c r="D126" t="s">
        <v>89</v>
      </c>
      <c r="E126" t="s">
        <v>931</v>
      </c>
      <c r="F126" s="10" t="s">
        <v>932</v>
      </c>
      <c r="G126">
        <v>72</v>
      </c>
      <c r="H126">
        <v>84</v>
      </c>
      <c r="I126">
        <v>101</v>
      </c>
      <c r="J126">
        <v>117</v>
      </c>
      <c r="K126">
        <v>133</v>
      </c>
      <c r="L126">
        <v>177</v>
      </c>
      <c r="M126">
        <v>271</v>
      </c>
      <c r="N126">
        <v>315</v>
      </c>
      <c r="O126">
        <v>368</v>
      </c>
      <c r="P126">
        <v>438</v>
      </c>
      <c r="Q126">
        <v>516</v>
      </c>
      <c r="R126">
        <v>607</v>
      </c>
      <c r="S126">
        <v>685</v>
      </c>
      <c r="T126">
        <v>769</v>
      </c>
      <c r="U126">
        <v>866</v>
      </c>
      <c r="V126">
        <v>989</v>
      </c>
      <c r="W126">
        <v>1107</v>
      </c>
      <c r="X126">
        <v>1126</v>
      </c>
      <c r="Y126">
        <v>1171</v>
      </c>
      <c r="Z126">
        <v>1227</v>
      </c>
      <c r="AA126">
        <v>1277</v>
      </c>
      <c r="AB126">
        <v>1369</v>
      </c>
      <c r="AC126">
        <v>1395</v>
      </c>
      <c r="AD126">
        <v>1403</v>
      </c>
      <c r="AE126">
        <v>1478</v>
      </c>
      <c r="AF126">
        <v>1607</v>
      </c>
      <c r="AG126">
        <v>1618</v>
      </c>
      <c r="AH126">
        <v>1756</v>
      </c>
      <c r="AI126">
        <v>2122</v>
      </c>
      <c r="AJ126">
        <v>2624</v>
      </c>
      <c r="AK126">
        <v>2705</v>
      </c>
      <c r="AL126">
        <v>2889</v>
      </c>
      <c r="AM126">
        <v>3295</v>
      </c>
      <c r="AN126">
        <v>4120</v>
      </c>
      <c r="AO126">
        <v>5149</v>
      </c>
      <c r="AP126">
        <v>5160</v>
      </c>
      <c r="AQ126">
        <v>5827</v>
      </c>
      <c r="AR126">
        <v>6269</v>
      </c>
      <c r="AS126">
        <v>6395</v>
      </c>
      <c r="AT126">
        <v>7200</v>
      </c>
      <c r="AU126">
        <v>8313</v>
      </c>
      <c r="AV126">
        <v>9485</v>
      </c>
      <c r="AW126">
        <v>11281</v>
      </c>
      <c r="AX126">
        <v>13177</v>
      </c>
      <c r="AY126">
        <v>13385</v>
      </c>
      <c r="AZ126">
        <v>11104</v>
      </c>
      <c r="BA126">
        <v>10200</v>
      </c>
      <c r="BB126">
        <v>10102</v>
      </c>
      <c r="BC126">
        <v>11450</v>
      </c>
      <c r="BD126">
        <v>13095</v>
      </c>
      <c r="BE126">
        <v>15133</v>
      </c>
      <c r="BF126">
        <v>16540</v>
      </c>
      <c r="BG126">
        <v>18302</v>
      </c>
      <c r="BH126">
        <v>22290</v>
      </c>
      <c r="BI126">
        <v>28360</v>
      </c>
      <c r="BJ126">
        <v>30537</v>
      </c>
      <c r="BK126">
        <v>33289</v>
      </c>
      <c r="BL126">
        <v>35187</v>
      </c>
      <c r="BM126">
        <v>37702</v>
      </c>
      <c r="BN126">
        <v>40092</v>
      </c>
      <c r="BO126">
        <v>42043</v>
      </c>
      <c r="BP126">
        <v>42001</v>
      </c>
      <c r="BQ126">
        <v>50253</v>
      </c>
      <c r="BR126">
        <v>44982</v>
      </c>
      <c r="BS126">
        <v>44982</v>
      </c>
      <c r="BT126">
        <v>41735</v>
      </c>
      <c r="BU126">
        <v>35542</v>
      </c>
      <c r="BV126">
        <v>33535</v>
      </c>
      <c r="BW126">
        <v>33375</v>
      </c>
      <c r="BX126">
        <v>33705</v>
      </c>
      <c r="BY126">
        <v>34379</v>
      </c>
      <c r="BZ126">
        <v>36286</v>
      </c>
      <c r="CA126">
        <v>37657</v>
      </c>
      <c r="CB126">
        <v>38498</v>
      </c>
      <c r="CC126">
        <v>34495</v>
      </c>
      <c r="CD126">
        <v>27398</v>
      </c>
      <c r="CE126">
        <v>25065</v>
      </c>
      <c r="CF126">
        <v>44006</v>
      </c>
      <c r="CG126">
        <v>44686</v>
      </c>
      <c r="CH126">
        <v>42924</v>
      </c>
    </row>
    <row r="127" spans="1:86">
      <c r="A127" t="s">
        <v>746</v>
      </c>
      <c r="B127" t="s">
        <v>88</v>
      </c>
      <c r="C127">
        <v>1000000</v>
      </c>
      <c r="D127" t="s">
        <v>89</v>
      </c>
      <c r="E127" t="s">
        <v>933</v>
      </c>
      <c r="F127" s="10" t="s">
        <v>934</v>
      </c>
      <c r="G127">
        <v>228</v>
      </c>
      <c r="H127">
        <v>246</v>
      </c>
      <c r="I127">
        <v>267</v>
      </c>
      <c r="J127">
        <v>292</v>
      </c>
      <c r="K127">
        <v>321</v>
      </c>
      <c r="L127">
        <v>354</v>
      </c>
      <c r="M127">
        <v>396</v>
      </c>
      <c r="N127">
        <v>442</v>
      </c>
      <c r="O127">
        <v>497</v>
      </c>
      <c r="P127">
        <v>572</v>
      </c>
      <c r="Q127">
        <v>649</v>
      </c>
      <c r="R127">
        <v>736</v>
      </c>
      <c r="S127">
        <v>837</v>
      </c>
      <c r="T127">
        <v>928</v>
      </c>
      <c r="U127">
        <v>1033</v>
      </c>
      <c r="V127">
        <v>1148</v>
      </c>
      <c r="W127">
        <v>1279</v>
      </c>
      <c r="X127">
        <v>1425</v>
      </c>
      <c r="Y127">
        <v>1590</v>
      </c>
      <c r="Z127">
        <v>1776</v>
      </c>
      <c r="AA127">
        <v>1985</v>
      </c>
      <c r="AB127">
        <v>2222</v>
      </c>
      <c r="AC127">
        <v>2473</v>
      </c>
      <c r="AD127">
        <v>2776</v>
      </c>
      <c r="AE127">
        <v>3147</v>
      </c>
      <c r="AF127">
        <v>3597</v>
      </c>
      <c r="AG127">
        <v>4156</v>
      </c>
      <c r="AH127">
        <v>4849</v>
      </c>
      <c r="AI127">
        <v>5713</v>
      </c>
      <c r="AJ127">
        <v>6799</v>
      </c>
      <c r="AK127">
        <v>8165</v>
      </c>
      <c r="AL127">
        <v>9898</v>
      </c>
      <c r="AM127">
        <v>12098</v>
      </c>
      <c r="AN127">
        <v>14023</v>
      </c>
      <c r="AO127">
        <v>16355</v>
      </c>
      <c r="AP127">
        <v>19178</v>
      </c>
      <c r="AQ127">
        <v>22593</v>
      </c>
      <c r="AR127">
        <v>16626</v>
      </c>
      <c r="AS127">
        <v>23068</v>
      </c>
      <c r="AT127">
        <v>25326</v>
      </c>
      <c r="AU127">
        <v>33205</v>
      </c>
      <c r="AV127">
        <v>45853</v>
      </c>
      <c r="AW127">
        <v>53787</v>
      </c>
      <c r="AX127">
        <v>67239</v>
      </c>
      <c r="AY127">
        <v>104573</v>
      </c>
      <c r="AZ127">
        <v>83692</v>
      </c>
      <c r="BA127">
        <v>96108</v>
      </c>
      <c r="BB127">
        <v>100652</v>
      </c>
      <c r="BC127">
        <v>161117</v>
      </c>
      <c r="BD127">
        <v>135205</v>
      </c>
      <c r="BE127">
        <v>157379</v>
      </c>
      <c r="BF127">
        <v>191790</v>
      </c>
      <c r="BG127">
        <v>227945</v>
      </c>
      <c r="BH127">
        <v>282272</v>
      </c>
      <c r="BI127">
        <v>307371</v>
      </c>
      <c r="BJ127">
        <v>295278</v>
      </c>
      <c r="BK127">
        <v>253969</v>
      </c>
      <c r="BL127">
        <v>243374</v>
      </c>
      <c r="BM127">
        <v>371318</v>
      </c>
      <c r="BN127">
        <v>487645</v>
      </c>
      <c r="BO127">
        <v>544006</v>
      </c>
      <c r="BP127">
        <v>693982</v>
      </c>
      <c r="BQ127">
        <v>902749</v>
      </c>
      <c r="BR127">
        <v>549499</v>
      </c>
      <c r="BS127">
        <v>811644</v>
      </c>
      <c r="BT127">
        <v>916910</v>
      </c>
      <c r="BU127">
        <v>767069</v>
      </c>
      <c r="BV127">
        <v>859008</v>
      </c>
      <c r="BW127">
        <v>943151</v>
      </c>
      <c r="BX127">
        <v>987280</v>
      </c>
      <c r="BY127">
        <v>842676</v>
      </c>
      <c r="BZ127">
        <v>917728</v>
      </c>
      <c r="CA127">
        <v>1119463</v>
      </c>
      <c r="CB127">
        <v>924435</v>
      </c>
      <c r="CC127">
        <v>1271366</v>
      </c>
      <c r="CD127">
        <v>1444008</v>
      </c>
      <c r="CE127">
        <v>1694886</v>
      </c>
      <c r="CF127">
        <v>1263831</v>
      </c>
      <c r="CG127">
        <v>1547180</v>
      </c>
      <c r="CH127">
        <v>1677257</v>
      </c>
    </row>
    <row r="128" spans="1:86">
      <c r="A128" t="s">
        <v>749</v>
      </c>
      <c r="B128" t="s">
        <v>88</v>
      </c>
      <c r="C128">
        <v>1000000</v>
      </c>
      <c r="D128" t="s">
        <v>89</v>
      </c>
      <c r="E128" t="s">
        <v>935</v>
      </c>
      <c r="F128" s="10" t="s">
        <v>936</v>
      </c>
      <c r="G128">
        <v>177</v>
      </c>
      <c r="H128">
        <v>187</v>
      </c>
      <c r="I128">
        <v>196</v>
      </c>
      <c r="J128">
        <v>201</v>
      </c>
      <c r="K128">
        <v>211</v>
      </c>
      <c r="L128">
        <v>225</v>
      </c>
      <c r="M128">
        <v>237</v>
      </c>
      <c r="N128">
        <v>253</v>
      </c>
      <c r="O128">
        <v>265</v>
      </c>
      <c r="P128">
        <v>288</v>
      </c>
      <c r="Q128">
        <v>303</v>
      </c>
      <c r="R128">
        <v>326</v>
      </c>
      <c r="S128">
        <v>345</v>
      </c>
      <c r="T128">
        <v>363</v>
      </c>
      <c r="U128">
        <v>387</v>
      </c>
      <c r="V128">
        <v>409</v>
      </c>
      <c r="W128">
        <v>445</v>
      </c>
      <c r="X128">
        <v>467</v>
      </c>
      <c r="Y128">
        <v>497</v>
      </c>
      <c r="Z128">
        <v>524</v>
      </c>
      <c r="AA128">
        <v>551</v>
      </c>
      <c r="AB128">
        <v>570</v>
      </c>
      <c r="AC128">
        <v>598</v>
      </c>
      <c r="AD128">
        <v>630</v>
      </c>
      <c r="AE128">
        <v>669</v>
      </c>
      <c r="AF128">
        <v>702</v>
      </c>
      <c r="AG128">
        <v>742</v>
      </c>
      <c r="AH128">
        <v>793</v>
      </c>
      <c r="AI128">
        <v>844</v>
      </c>
      <c r="AJ128">
        <v>897</v>
      </c>
      <c r="AK128">
        <v>929</v>
      </c>
      <c r="AL128">
        <v>983</v>
      </c>
      <c r="AM128">
        <v>1029</v>
      </c>
      <c r="AN128">
        <v>1078</v>
      </c>
      <c r="AO128">
        <v>1145</v>
      </c>
      <c r="AP128">
        <v>1203</v>
      </c>
      <c r="AQ128">
        <v>1278</v>
      </c>
      <c r="AR128">
        <v>1359</v>
      </c>
      <c r="AS128">
        <v>1465</v>
      </c>
      <c r="AT128">
        <v>1626</v>
      </c>
      <c r="AU128">
        <v>1781</v>
      </c>
      <c r="AV128">
        <v>1874</v>
      </c>
      <c r="AW128">
        <v>2047</v>
      </c>
      <c r="AX128">
        <v>2113</v>
      </c>
      <c r="AY128">
        <v>2243</v>
      </c>
      <c r="AZ128">
        <v>2423</v>
      </c>
      <c r="BA128">
        <v>2652</v>
      </c>
      <c r="BB128">
        <v>3054</v>
      </c>
      <c r="BC128">
        <v>3401</v>
      </c>
      <c r="BD128">
        <v>3683</v>
      </c>
      <c r="BE128">
        <v>3966</v>
      </c>
      <c r="BF128">
        <v>4602</v>
      </c>
      <c r="BG128">
        <v>5433</v>
      </c>
      <c r="BH128">
        <v>5952</v>
      </c>
      <c r="BI128">
        <v>6432</v>
      </c>
      <c r="BJ128">
        <v>6997</v>
      </c>
      <c r="BK128">
        <v>7373</v>
      </c>
      <c r="BL128">
        <v>8380</v>
      </c>
      <c r="BM128">
        <v>8847</v>
      </c>
      <c r="BN128">
        <v>11914</v>
      </c>
      <c r="BO128">
        <v>13536</v>
      </c>
      <c r="BP128">
        <v>15325</v>
      </c>
      <c r="BQ128">
        <v>18450</v>
      </c>
      <c r="BR128">
        <v>21076</v>
      </c>
      <c r="BS128">
        <v>25640</v>
      </c>
      <c r="BT128">
        <v>26524</v>
      </c>
      <c r="BU128">
        <v>26899</v>
      </c>
      <c r="BV128">
        <v>27360</v>
      </c>
      <c r="BW128">
        <v>27507</v>
      </c>
      <c r="BX128">
        <v>28572</v>
      </c>
      <c r="BY128">
        <v>29451</v>
      </c>
      <c r="BZ128">
        <v>30443</v>
      </c>
      <c r="CA128">
        <v>31389</v>
      </c>
      <c r="CB128">
        <v>32335</v>
      </c>
      <c r="CC128">
        <v>31698</v>
      </c>
      <c r="CD128">
        <v>32376</v>
      </c>
      <c r="CE128">
        <v>33877</v>
      </c>
      <c r="CF128">
        <v>35014</v>
      </c>
      <c r="CG128">
        <v>36065</v>
      </c>
      <c r="CH128">
        <v>37182</v>
      </c>
    </row>
    <row r="129" spans="1:86">
      <c r="A129" t="s">
        <v>752</v>
      </c>
      <c r="B129" t="s">
        <v>88</v>
      </c>
      <c r="C129">
        <v>1000000</v>
      </c>
      <c r="D129" t="s">
        <v>89</v>
      </c>
      <c r="E129" t="s">
        <v>937</v>
      </c>
      <c r="F129" s="10" t="s">
        <v>938</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3600</v>
      </c>
      <c r="AF129">
        <v>9000</v>
      </c>
      <c r="AG129">
        <v>13500</v>
      </c>
      <c r="AH129">
        <v>18900</v>
      </c>
      <c r="AI129">
        <v>22303</v>
      </c>
      <c r="AJ129">
        <v>28290</v>
      </c>
      <c r="AK129">
        <v>36020</v>
      </c>
      <c r="AL129">
        <v>41035</v>
      </c>
      <c r="AM129">
        <v>47213</v>
      </c>
      <c r="AN129">
        <v>52803</v>
      </c>
      <c r="AO129">
        <v>58986</v>
      </c>
      <c r="AP129">
        <v>77500</v>
      </c>
      <c r="AQ129">
        <v>94163</v>
      </c>
      <c r="AR129">
        <v>114933</v>
      </c>
      <c r="AS129">
        <v>131646</v>
      </c>
      <c r="AT129">
        <v>151799</v>
      </c>
      <c r="AU129">
        <v>179973</v>
      </c>
      <c r="AV129">
        <v>230256</v>
      </c>
      <c r="AW129">
        <v>241051</v>
      </c>
      <c r="AX129">
        <v>277575</v>
      </c>
      <c r="AY129">
        <v>288661</v>
      </c>
      <c r="AZ129">
        <v>299724</v>
      </c>
      <c r="BA129">
        <v>320514</v>
      </c>
      <c r="BB129">
        <v>374451</v>
      </c>
      <c r="BC129">
        <v>423847</v>
      </c>
      <c r="BD129">
        <v>457883</v>
      </c>
      <c r="BE129">
        <v>520441</v>
      </c>
      <c r="BF129">
        <v>615301</v>
      </c>
      <c r="BG129">
        <v>707201</v>
      </c>
      <c r="BH129">
        <v>828429</v>
      </c>
      <c r="BI129">
        <v>926563</v>
      </c>
      <c r="BJ129">
        <v>1047156</v>
      </c>
      <c r="BK129">
        <v>1113004</v>
      </c>
      <c r="BL129">
        <v>1216229</v>
      </c>
      <c r="BM129">
        <v>1298576</v>
      </c>
      <c r="BN129">
        <v>1561390</v>
      </c>
      <c r="BO129">
        <v>1711332</v>
      </c>
      <c r="BP129">
        <v>1886879</v>
      </c>
      <c r="BQ129">
        <v>2083767</v>
      </c>
      <c r="BR129">
        <v>2115488</v>
      </c>
      <c r="BS129">
        <v>1766779</v>
      </c>
      <c r="BT129">
        <v>1750666</v>
      </c>
      <c r="BU129">
        <v>1819157</v>
      </c>
      <c r="BV129">
        <v>2294861</v>
      </c>
      <c r="BW129">
        <v>2375859</v>
      </c>
      <c r="BX129">
        <v>2352144</v>
      </c>
      <c r="BY129">
        <v>2227759</v>
      </c>
      <c r="BZ129">
        <v>2277036</v>
      </c>
      <c r="CA129">
        <v>2232491</v>
      </c>
      <c r="CB129">
        <v>2378749</v>
      </c>
      <c r="CC129">
        <v>2402683</v>
      </c>
      <c r="CD129">
        <v>2458874</v>
      </c>
      <c r="CE129">
        <v>2563102</v>
      </c>
      <c r="CF129">
        <v>2566540</v>
      </c>
      <c r="CG129">
        <v>2599197</v>
      </c>
      <c r="CH129">
        <v>2662883</v>
      </c>
    </row>
    <row r="130" spans="1:86">
      <c r="A130" t="s">
        <v>755</v>
      </c>
      <c r="B130" t="s">
        <v>88</v>
      </c>
      <c r="C130">
        <v>1000000</v>
      </c>
      <c r="D130" t="s">
        <v>89</v>
      </c>
      <c r="E130" t="s">
        <v>939</v>
      </c>
      <c r="F130" s="10" t="s">
        <v>940</v>
      </c>
      <c r="G130">
        <v>49787</v>
      </c>
      <c r="H130">
        <v>56821</v>
      </c>
      <c r="I130">
        <v>63295</v>
      </c>
      <c r="J130">
        <v>69518</v>
      </c>
      <c r="K130">
        <v>75820</v>
      </c>
      <c r="L130">
        <v>82378</v>
      </c>
      <c r="M130">
        <v>93132</v>
      </c>
      <c r="N130">
        <v>103467</v>
      </c>
      <c r="O130">
        <v>115787</v>
      </c>
      <c r="P130">
        <v>127634</v>
      </c>
      <c r="Q130">
        <v>138058</v>
      </c>
      <c r="R130">
        <v>151532</v>
      </c>
      <c r="S130">
        <v>175983</v>
      </c>
      <c r="T130">
        <v>189392</v>
      </c>
      <c r="U130">
        <v>200545</v>
      </c>
      <c r="V130">
        <v>216791</v>
      </c>
      <c r="W130">
        <v>228420</v>
      </c>
      <c r="X130">
        <v>236823</v>
      </c>
      <c r="Y130">
        <v>248173</v>
      </c>
      <c r="Z130">
        <v>261180</v>
      </c>
      <c r="AA130">
        <v>278419</v>
      </c>
      <c r="AB130">
        <v>308100</v>
      </c>
      <c r="AC130">
        <v>330020</v>
      </c>
      <c r="AD130">
        <v>363772</v>
      </c>
      <c r="AE130">
        <v>414322</v>
      </c>
      <c r="AF130">
        <v>469478</v>
      </c>
      <c r="AG130">
        <v>519332</v>
      </c>
      <c r="AH130">
        <v>570374</v>
      </c>
      <c r="AI130">
        <v>619993</v>
      </c>
      <c r="AJ130">
        <v>702580</v>
      </c>
      <c r="AK130">
        <v>726517</v>
      </c>
      <c r="AL130">
        <v>746929</v>
      </c>
      <c r="AM130">
        <v>806156</v>
      </c>
      <c r="AN130">
        <v>845967</v>
      </c>
      <c r="AO130">
        <v>894633</v>
      </c>
      <c r="AP130">
        <v>934931</v>
      </c>
      <c r="AQ130">
        <v>1043481</v>
      </c>
      <c r="AR130">
        <v>1067615</v>
      </c>
      <c r="AS130">
        <v>1106862</v>
      </c>
      <c r="AT130">
        <v>1216756</v>
      </c>
      <c r="AU130">
        <v>1261607</v>
      </c>
      <c r="AV130">
        <v>1349243</v>
      </c>
      <c r="AW130">
        <v>1508493</v>
      </c>
      <c r="AX130">
        <v>1605973</v>
      </c>
      <c r="AY130">
        <v>1692741</v>
      </c>
      <c r="AZ130">
        <v>1923391</v>
      </c>
      <c r="BA130">
        <v>1922465</v>
      </c>
      <c r="BB130">
        <v>2183739</v>
      </c>
      <c r="BC130">
        <v>2210690</v>
      </c>
      <c r="BD130">
        <v>2337427</v>
      </c>
      <c r="BE130">
        <v>2214474</v>
      </c>
      <c r="BF130">
        <v>2234810</v>
      </c>
      <c r="BG130">
        <v>2048920</v>
      </c>
      <c r="BH130">
        <v>2036258</v>
      </c>
      <c r="BI130">
        <v>2135408</v>
      </c>
      <c r="BJ130">
        <v>2580760</v>
      </c>
      <c r="BK130">
        <v>3227098</v>
      </c>
      <c r="BL130">
        <v>3883643</v>
      </c>
      <c r="BM130">
        <v>3647608</v>
      </c>
      <c r="BN130">
        <v>3832734</v>
      </c>
      <c r="BO130">
        <v>4072202</v>
      </c>
      <c r="BP130">
        <v>4241500</v>
      </c>
      <c r="BQ130">
        <v>4432676</v>
      </c>
      <c r="BR130">
        <v>6165976</v>
      </c>
      <c r="BS130">
        <v>6025632</v>
      </c>
      <c r="BT130">
        <v>6395471</v>
      </c>
      <c r="BU130">
        <v>6830466</v>
      </c>
      <c r="BV130">
        <v>6683770</v>
      </c>
      <c r="BW130">
        <v>7481199</v>
      </c>
      <c r="BX130">
        <v>7568973</v>
      </c>
      <c r="BY130">
        <v>8074784</v>
      </c>
      <c r="BZ130">
        <v>8291420</v>
      </c>
      <c r="CA130">
        <v>7964973</v>
      </c>
      <c r="CB130">
        <v>8713775</v>
      </c>
      <c r="CC130">
        <v>8273094</v>
      </c>
      <c r="CD130">
        <v>7884312</v>
      </c>
      <c r="CE130">
        <v>7605118</v>
      </c>
      <c r="CF130">
        <v>7464471</v>
      </c>
      <c r="CG130">
        <v>7366620</v>
      </c>
      <c r="CH130">
        <v>7100632</v>
      </c>
    </row>
    <row r="131" spans="1:86">
      <c r="A131" t="s">
        <v>758</v>
      </c>
      <c r="B131" t="s">
        <v>88</v>
      </c>
      <c r="C131">
        <v>1000000</v>
      </c>
      <c r="D131" t="s">
        <v>89</v>
      </c>
      <c r="E131" t="s">
        <v>941</v>
      </c>
      <c r="F131" s="10" t="s">
        <v>942</v>
      </c>
      <c r="G131">
        <v>25813</v>
      </c>
      <c r="H131">
        <v>24074</v>
      </c>
      <c r="I131">
        <v>26330</v>
      </c>
      <c r="J131">
        <v>27794</v>
      </c>
      <c r="K131">
        <v>28234</v>
      </c>
      <c r="L131">
        <v>27272</v>
      </c>
      <c r="M131">
        <v>27085</v>
      </c>
      <c r="N131">
        <v>28608</v>
      </c>
      <c r="O131">
        <v>27852</v>
      </c>
      <c r="P131">
        <v>28824</v>
      </c>
      <c r="Q131">
        <v>29749</v>
      </c>
      <c r="R131">
        <v>30984</v>
      </c>
      <c r="S131">
        <v>32200</v>
      </c>
      <c r="T131">
        <v>31357</v>
      </c>
      <c r="U131">
        <v>30371</v>
      </c>
      <c r="V131">
        <v>29514</v>
      </c>
      <c r="W131">
        <v>29580</v>
      </c>
      <c r="X131">
        <v>30946</v>
      </c>
      <c r="Y131">
        <v>32578</v>
      </c>
      <c r="Z131">
        <v>35014</v>
      </c>
      <c r="AA131">
        <v>35225</v>
      </c>
      <c r="AB131">
        <v>35235</v>
      </c>
      <c r="AC131">
        <v>37813</v>
      </c>
      <c r="AD131">
        <v>39573</v>
      </c>
      <c r="AE131">
        <v>40819</v>
      </c>
      <c r="AF131">
        <v>44003</v>
      </c>
      <c r="AG131">
        <v>52019</v>
      </c>
      <c r="AH131">
        <v>68622</v>
      </c>
      <c r="AI131">
        <v>89643</v>
      </c>
      <c r="AJ131">
        <v>84505</v>
      </c>
      <c r="AK131">
        <v>115754</v>
      </c>
      <c r="AL131">
        <v>124029</v>
      </c>
      <c r="AM131">
        <v>140698</v>
      </c>
      <c r="AN131">
        <v>178174</v>
      </c>
      <c r="AO131">
        <v>182768</v>
      </c>
      <c r="AP131">
        <v>229505</v>
      </c>
      <c r="AQ131">
        <v>251153</v>
      </c>
      <c r="AR131">
        <v>315731</v>
      </c>
      <c r="AS131">
        <v>364600</v>
      </c>
      <c r="AT131">
        <v>405510</v>
      </c>
      <c r="AU131">
        <v>476793</v>
      </c>
      <c r="AV131">
        <v>523323</v>
      </c>
      <c r="AW131">
        <v>598765</v>
      </c>
      <c r="AX131">
        <v>723678</v>
      </c>
      <c r="AY131">
        <v>733531</v>
      </c>
      <c r="AZ131">
        <v>715201</v>
      </c>
      <c r="BA131">
        <v>785445</v>
      </c>
      <c r="BB131">
        <v>805019</v>
      </c>
      <c r="BC131">
        <v>874622</v>
      </c>
      <c r="BD131">
        <v>1094546</v>
      </c>
      <c r="BE131">
        <v>1125513</v>
      </c>
      <c r="BF131">
        <v>1344314</v>
      </c>
      <c r="BG131">
        <v>1657032</v>
      </c>
      <c r="BH131">
        <v>1914005</v>
      </c>
      <c r="BI131">
        <v>2053504</v>
      </c>
      <c r="BJ131">
        <v>2455268</v>
      </c>
      <c r="BK131">
        <v>2928181</v>
      </c>
      <c r="BL131">
        <v>3082526</v>
      </c>
      <c r="BM131">
        <v>3641133</v>
      </c>
      <c r="BN131">
        <v>4278487</v>
      </c>
      <c r="BO131">
        <v>4530365</v>
      </c>
      <c r="BP131">
        <v>5469445</v>
      </c>
      <c r="BQ131">
        <v>5973030</v>
      </c>
      <c r="BR131">
        <v>5167964</v>
      </c>
      <c r="BS131">
        <v>5450652</v>
      </c>
      <c r="BT131">
        <v>5095602</v>
      </c>
      <c r="BU131">
        <v>5394006</v>
      </c>
      <c r="BV131">
        <v>5582213</v>
      </c>
      <c r="BW131">
        <v>5530904</v>
      </c>
      <c r="BX131">
        <v>5761153</v>
      </c>
      <c r="BY131">
        <v>5563328</v>
      </c>
      <c r="BZ131">
        <v>5759195</v>
      </c>
      <c r="CA131">
        <v>5671524</v>
      </c>
      <c r="CB131">
        <v>5473784</v>
      </c>
      <c r="CC131">
        <v>6386147</v>
      </c>
      <c r="CD131">
        <v>6957738</v>
      </c>
      <c r="CE131">
        <v>7635825</v>
      </c>
      <c r="CF131">
        <v>8122879</v>
      </c>
      <c r="CG131">
        <v>8549081</v>
      </c>
      <c r="CH131">
        <v>8732520</v>
      </c>
    </row>
    <row r="132" spans="1:86">
      <c r="A132" t="s">
        <v>943</v>
      </c>
      <c r="B132" t="s">
        <v>88</v>
      </c>
      <c r="C132">
        <v>1000000</v>
      </c>
      <c r="D132" t="s">
        <v>89</v>
      </c>
      <c r="E132" t="s">
        <v>944</v>
      </c>
      <c r="F132" s="10" t="s">
        <v>945</v>
      </c>
      <c r="G132">
        <v>341900</v>
      </c>
      <c r="H132">
        <v>347711</v>
      </c>
      <c r="I132">
        <v>370254</v>
      </c>
      <c r="J132">
        <v>391239</v>
      </c>
      <c r="K132">
        <v>408369</v>
      </c>
      <c r="L132">
        <v>439613</v>
      </c>
      <c r="M132">
        <v>476310</v>
      </c>
      <c r="N132">
        <v>518664</v>
      </c>
      <c r="O132">
        <v>554912</v>
      </c>
      <c r="P132">
        <v>598513</v>
      </c>
      <c r="Q132">
        <v>646783</v>
      </c>
      <c r="R132">
        <v>690442</v>
      </c>
      <c r="S132">
        <v>742132</v>
      </c>
      <c r="T132">
        <v>804325</v>
      </c>
      <c r="U132">
        <v>855765</v>
      </c>
      <c r="V132">
        <v>914467</v>
      </c>
      <c r="W132">
        <v>990687</v>
      </c>
      <c r="X132">
        <v>1055298</v>
      </c>
      <c r="Y132">
        <v>1142696</v>
      </c>
      <c r="Z132">
        <v>1240934</v>
      </c>
      <c r="AA132">
        <v>1348757</v>
      </c>
      <c r="AB132">
        <v>1441699</v>
      </c>
      <c r="AC132">
        <v>1587510</v>
      </c>
      <c r="AD132">
        <v>1741990</v>
      </c>
      <c r="AE132">
        <v>1879391</v>
      </c>
      <c r="AF132">
        <v>2060128</v>
      </c>
      <c r="AG132">
        <v>2312803</v>
      </c>
      <c r="AH132">
        <v>2620202</v>
      </c>
      <c r="AI132">
        <v>2889571</v>
      </c>
      <c r="AJ132">
        <v>3149579</v>
      </c>
      <c r="AK132">
        <v>3453917</v>
      </c>
      <c r="AL132">
        <v>3808172</v>
      </c>
      <c r="AM132">
        <v>4254538</v>
      </c>
      <c r="AN132">
        <v>4818928</v>
      </c>
      <c r="AO132">
        <v>5444097</v>
      </c>
      <c r="AP132">
        <v>6109595</v>
      </c>
      <c r="AQ132">
        <v>6846414</v>
      </c>
      <c r="AR132">
        <v>7654140</v>
      </c>
      <c r="AS132">
        <v>8490015</v>
      </c>
      <c r="AT132">
        <v>9627938</v>
      </c>
      <c r="AU132">
        <v>11037525</v>
      </c>
      <c r="AV132">
        <v>12614522</v>
      </c>
      <c r="AW132">
        <v>13818484</v>
      </c>
      <c r="AX132">
        <v>15112429</v>
      </c>
      <c r="AY132">
        <v>16511767</v>
      </c>
      <c r="AZ132">
        <v>17288742</v>
      </c>
      <c r="BA132">
        <v>18537081</v>
      </c>
      <c r="BB132">
        <v>19972211</v>
      </c>
      <c r="BC132">
        <v>21777634</v>
      </c>
      <c r="BD132">
        <v>23057759</v>
      </c>
      <c r="BE132">
        <v>25593955</v>
      </c>
      <c r="BF132">
        <v>28266969</v>
      </c>
      <c r="BG132">
        <v>31774883</v>
      </c>
      <c r="BH132">
        <v>35597278</v>
      </c>
      <c r="BI132">
        <v>40227021</v>
      </c>
      <c r="BJ132">
        <v>42845153</v>
      </c>
      <c r="BK132">
        <v>45487778</v>
      </c>
      <c r="BL132">
        <v>47011774</v>
      </c>
      <c r="BM132">
        <v>52301451</v>
      </c>
      <c r="BN132">
        <v>58034272</v>
      </c>
      <c r="BO132">
        <v>62826411</v>
      </c>
      <c r="BP132">
        <v>69278066</v>
      </c>
      <c r="BQ132">
        <v>76031356</v>
      </c>
      <c r="BR132">
        <v>73030948</v>
      </c>
      <c r="BS132">
        <v>74555914</v>
      </c>
      <c r="BT132">
        <v>76472107</v>
      </c>
      <c r="BU132">
        <v>78006579</v>
      </c>
      <c r="BV132">
        <v>82566891</v>
      </c>
      <c r="BW132">
        <v>88722098</v>
      </c>
      <c r="BX132">
        <v>92726687</v>
      </c>
      <c r="BY132">
        <v>92337332</v>
      </c>
      <c r="BZ132">
        <v>95771771</v>
      </c>
      <c r="CA132">
        <v>102573910</v>
      </c>
      <c r="CB132">
        <v>101724567</v>
      </c>
      <c r="CC132">
        <v>111709116</v>
      </c>
      <c r="CD132">
        <v>126052564</v>
      </c>
      <c r="CE132">
        <v>138989684</v>
      </c>
      <c r="CF132">
        <v>128970001</v>
      </c>
      <c r="CG132">
        <v>138416161</v>
      </c>
      <c r="CH132">
        <v>146692546</v>
      </c>
    </row>
    <row r="133" spans="1:86">
      <c r="A133" t="s">
        <v>761</v>
      </c>
      <c r="B133" t="s">
        <v>88</v>
      </c>
      <c r="C133">
        <v>1000000</v>
      </c>
      <c r="D133" t="s">
        <v>89</v>
      </c>
      <c r="E133" t="s">
        <v>946</v>
      </c>
      <c r="F133" s="10" t="s">
        <v>947</v>
      </c>
      <c r="G133">
        <v>365847</v>
      </c>
      <c r="H133">
        <v>368984</v>
      </c>
      <c r="I133">
        <v>389395</v>
      </c>
      <c r="J133">
        <v>408870</v>
      </c>
      <c r="K133">
        <v>425288</v>
      </c>
      <c r="L133">
        <v>453499</v>
      </c>
      <c r="M133">
        <v>488047</v>
      </c>
      <c r="N133">
        <v>528207</v>
      </c>
      <c r="O133">
        <v>562641</v>
      </c>
      <c r="P133">
        <v>601865</v>
      </c>
      <c r="Q133">
        <v>646348</v>
      </c>
      <c r="R133">
        <v>686570</v>
      </c>
      <c r="S133">
        <v>736932</v>
      </c>
      <c r="T133">
        <v>794923</v>
      </c>
      <c r="U133">
        <v>843887</v>
      </c>
      <c r="V133">
        <v>898150</v>
      </c>
      <c r="W133">
        <v>989540</v>
      </c>
      <c r="X133">
        <v>1047374</v>
      </c>
      <c r="Y133">
        <v>1142184</v>
      </c>
      <c r="Z133">
        <v>1242333</v>
      </c>
      <c r="AA133">
        <v>1354627</v>
      </c>
      <c r="AB133">
        <v>1446047</v>
      </c>
      <c r="AC133">
        <v>1584233</v>
      </c>
      <c r="AD133">
        <v>1763654</v>
      </c>
      <c r="AE133">
        <v>1879505</v>
      </c>
      <c r="AF133">
        <v>2047463</v>
      </c>
      <c r="AG133">
        <v>2305166</v>
      </c>
      <c r="AH133">
        <v>2610377</v>
      </c>
      <c r="AI133">
        <v>2816729</v>
      </c>
      <c r="AJ133">
        <v>3014691</v>
      </c>
      <c r="AK133">
        <v>3307261</v>
      </c>
      <c r="AL133">
        <v>3653398</v>
      </c>
      <c r="AM133">
        <v>4069284</v>
      </c>
      <c r="AN133">
        <v>4600865</v>
      </c>
      <c r="AO133">
        <v>5193737</v>
      </c>
      <c r="AP133">
        <v>5825770</v>
      </c>
      <c r="AQ133">
        <v>6552461</v>
      </c>
      <c r="AR133">
        <v>7329193</v>
      </c>
      <c r="AS133">
        <v>8195018</v>
      </c>
      <c r="AT133">
        <v>9295387</v>
      </c>
      <c r="AU133">
        <v>10764360</v>
      </c>
      <c r="AV133">
        <v>12345313</v>
      </c>
      <c r="AW133">
        <v>13435029</v>
      </c>
      <c r="AX133">
        <v>14689197</v>
      </c>
      <c r="AY133">
        <v>16056112</v>
      </c>
      <c r="AZ133">
        <v>16710623</v>
      </c>
      <c r="BA133">
        <v>18099912</v>
      </c>
      <c r="BB133">
        <v>19649068</v>
      </c>
      <c r="BC133">
        <v>21454165</v>
      </c>
      <c r="BD133">
        <v>22767348</v>
      </c>
      <c r="BE133">
        <v>25632394</v>
      </c>
      <c r="BF133">
        <v>28691470</v>
      </c>
      <c r="BG133">
        <v>32820401</v>
      </c>
      <c r="BH133">
        <v>36645499</v>
      </c>
      <c r="BI133">
        <v>41458683</v>
      </c>
      <c r="BJ133">
        <v>44359672</v>
      </c>
      <c r="BK133">
        <v>46640288</v>
      </c>
      <c r="BL133">
        <v>47552389</v>
      </c>
      <c r="BM133">
        <v>53269205</v>
      </c>
      <c r="BN133">
        <v>58986627</v>
      </c>
      <c r="BO133">
        <v>63674878</v>
      </c>
      <c r="BP133">
        <v>70464230</v>
      </c>
      <c r="BQ133">
        <v>76159433</v>
      </c>
      <c r="BR133">
        <v>71778633</v>
      </c>
      <c r="BS133">
        <v>73020576</v>
      </c>
      <c r="BT133">
        <v>75362546</v>
      </c>
      <c r="BU133">
        <v>76267961</v>
      </c>
      <c r="BV133">
        <v>80998848</v>
      </c>
      <c r="BW133">
        <v>88598974</v>
      </c>
      <c r="BX133">
        <v>92403732</v>
      </c>
      <c r="BY133">
        <v>91896326</v>
      </c>
      <c r="BZ133">
        <v>95711284</v>
      </c>
      <c r="CA133">
        <v>103066135</v>
      </c>
      <c r="CB133">
        <v>101786428</v>
      </c>
      <c r="CC133">
        <v>112039717</v>
      </c>
      <c r="CD133">
        <v>125810350</v>
      </c>
      <c r="CE133">
        <v>140795387</v>
      </c>
      <c r="CF133">
        <v>131861765</v>
      </c>
      <c r="CG133">
        <v>141244327</v>
      </c>
      <c r="CH133">
        <v>151261782</v>
      </c>
    </row>
    <row r="134" spans="1:86">
      <c r="A134" t="s">
        <v>764</v>
      </c>
      <c r="B134" t="s">
        <v>88</v>
      </c>
      <c r="C134">
        <v>1000000</v>
      </c>
      <c r="D134" t="s">
        <v>89</v>
      </c>
      <c r="E134" t="s">
        <v>948</v>
      </c>
      <c r="F134" s="10" t="s">
        <v>949</v>
      </c>
      <c r="G134">
        <v>202051</v>
      </c>
      <c r="H134">
        <v>193376</v>
      </c>
      <c r="I134">
        <v>200324</v>
      </c>
      <c r="J134">
        <v>204681</v>
      </c>
      <c r="K134">
        <v>204324</v>
      </c>
      <c r="L134">
        <v>214936</v>
      </c>
      <c r="M134">
        <v>229687</v>
      </c>
      <c r="N134">
        <v>244444</v>
      </c>
      <c r="O134">
        <v>253484</v>
      </c>
      <c r="P134">
        <v>267203</v>
      </c>
      <c r="Q134">
        <v>279341</v>
      </c>
      <c r="R134">
        <v>291726</v>
      </c>
      <c r="S134">
        <v>302729</v>
      </c>
      <c r="T134">
        <v>324788</v>
      </c>
      <c r="U134">
        <v>336462</v>
      </c>
      <c r="V134">
        <v>353843</v>
      </c>
      <c r="W134">
        <v>382487</v>
      </c>
      <c r="X134">
        <v>416599</v>
      </c>
      <c r="Y134">
        <v>450552</v>
      </c>
      <c r="Z134">
        <v>491257</v>
      </c>
      <c r="AA134">
        <v>532387</v>
      </c>
      <c r="AB134">
        <v>563186</v>
      </c>
      <c r="AC134">
        <v>622293</v>
      </c>
      <c r="AD134">
        <v>677468</v>
      </c>
      <c r="AE134">
        <v>694132</v>
      </c>
      <c r="AF134">
        <v>761309</v>
      </c>
      <c r="AG134">
        <v>860892</v>
      </c>
      <c r="AH134">
        <v>973736</v>
      </c>
      <c r="AI134">
        <v>1077289</v>
      </c>
      <c r="AJ134">
        <v>1176304</v>
      </c>
      <c r="AK134">
        <v>1282612</v>
      </c>
      <c r="AL134">
        <v>1421843</v>
      </c>
      <c r="AM134">
        <v>1591524</v>
      </c>
      <c r="AN134">
        <v>1779077</v>
      </c>
      <c r="AO134">
        <v>1953382</v>
      </c>
      <c r="AP134">
        <v>2131640</v>
      </c>
      <c r="AQ134">
        <v>2311581</v>
      </c>
      <c r="AR134">
        <v>2588717</v>
      </c>
      <c r="AS134">
        <v>2851118</v>
      </c>
      <c r="AT134">
        <v>3212401</v>
      </c>
      <c r="AU134">
        <v>3498058</v>
      </c>
      <c r="AV134">
        <v>3874340</v>
      </c>
      <c r="AW134">
        <v>4078251</v>
      </c>
      <c r="AX134">
        <v>4360628</v>
      </c>
      <c r="AY134">
        <v>4515881</v>
      </c>
      <c r="AZ134">
        <v>4586646</v>
      </c>
      <c r="BA134">
        <v>4644806</v>
      </c>
      <c r="BB134">
        <v>4636339</v>
      </c>
      <c r="BC134">
        <v>4652173</v>
      </c>
      <c r="BD134">
        <v>4706588</v>
      </c>
      <c r="BE134">
        <v>4834824</v>
      </c>
      <c r="BF134">
        <v>5033177</v>
      </c>
      <c r="BG134">
        <v>5376010</v>
      </c>
      <c r="BH134">
        <v>5638544</v>
      </c>
      <c r="BI134">
        <v>6045488</v>
      </c>
      <c r="BJ134">
        <v>6331744</v>
      </c>
      <c r="BK134">
        <v>6911308</v>
      </c>
      <c r="BL134">
        <v>7293583</v>
      </c>
      <c r="BM134">
        <v>7813836</v>
      </c>
      <c r="BN134">
        <v>8585460</v>
      </c>
      <c r="BO134">
        <v>9330253</v>
      </c>
      <c r="BP134">
        <v>10159319</v>
      </c>
      <c r="BQ134">
        <v>11022018</v>
      </c>
      <c r="BR134">
        <v>13418023</v>
      </c>
      <c r="BS134">
        <v>13454320</v>
      </c>
      <c r="BT134">
        <v>13753226</v>
      </c>
      <c r="BU134">
        <v>15047221</v>
      </c>
      <c r="BV134">
        <v>15515310</v>
      </c>
      <c r="BW134">
        <v>17226182</v>
      </c>
      <c r="BX134">
        <v>18031195</v>
      </c>
      <c r="BY134">
        <v>18150568</v>
      </c>
      <c r="BZ134">
        <v>18617559</v>
      </c>
      <c r="CA134">
        <v>19440149</v>
      </c>
      <c r="CB134">
        <v>19791531</v>
      </c>
      <c r="CC134">
        <v>20753091</v>
      </c>
      <c r="CD134">
        <v>27423589</v>
      </c>
      <c r="CE134">
        <v>29136239</v>
      </c>
      <c r="CF134">
        <v>28145241</v>
      </c>
      <c r="CG134">
        <v>28867966</v>
      </c>
      <c r="CH134">
        <v>29006986</v>
      </c>
    </row>
    <row r="135" spans="1:86">
      <c r="A135" t="s">
        <v>767</v>
      </c>
      <c r="B135" t="s">
        <v>88</v>
      </c>
      <c r="C135">
        <v>1000000</v>
      </c>
      <c r="D135" t="s">
        <v>89</v>
      </c>
      <c r="E135" t="s">
        <v>950</v>
      </c>
      <c r="F135" s="10" t="s">
        <v>951</v>
      </c>
      <c r="G135">
        <v>1224</v>
      </c>
      <c r="H135">
        <v>1797</v>
      </c>
      <c r="I135">
        <v>2201</v>
      </c>
      <c r="J135">
        <v>3093</v>
      </c>
      <c r="K135">
        <v>3472</v>
      </c>
      <c r="L135">
        <v>4253</v>
      </c>
      <c r="M135">
        <v>5324</v>
      </c>
      <c r="N135">
        <v>5752</v>
      </c>
      <c r="O135">
        <v>7438</v>
      </c>
      <c r="P135">
        <v>7274</v>
      </c>
      <c r="Q135">
        <v>8664</v>
      </c>
      <c r="R135">
        <v>10905</v>
      </c>
      <c r="S135">
        <v>14361</v>
      </c>
      <c r="T135">
        <v>14064</v>
      </c>
      <c r="U135">
        <v>17917</v>
      </c>
      <c r="V135">
        <v>23616</v>
      </c>
      <c r="W135">
        <v>25568</v>
      </c>
      <c r="X135">
        <v>28712</v>
      </c>
      <c r="Y135">
        <v>33174</v>
      </c>
      <c r="Z135">
        <v>38822</v>
      </c>
      <c r="AA135">
        <v>43374</v>
      </c>
      <c r="AB135">
        <v>54210</v>
      </c>
      <c r="AC135">
        <v>58047</v>
      </c>
      <c r="AD135">
        <v>65396</v>
      </c>
      <c r="AE135">
        <v>87451</v>
      </c>
      <c r="AF135">
        <v>99695</v>
      </c>
      <c r="AG135">
        <v>110786</v>
      </c>
      <c r="AH135">
        <v>127190</v>
      </c>
      <c r="AI135">
        <v>159030</v>
      </c>
      <c r="AJ135">
        <v>200099</v>
      </c>
      <c r="AK135">
        <v>220216</v>
      </c>
      <c r="AL135">
        <v>248215</v>
      </c>
      <c r="AM135">
        <v>296442</v>
      </c>
      <c r="AN135">
        <v>355149</v>
      </c>
      <c r="AO135">
        <v>436768</v>
      </c>
      <c r="AP135">
        <v>502668</v>
      </c>
      <c r="AQ135">
        <v>586205</v>
      </c>
      <c r="AR135">
        <v>678347</v>
      </c>
      <c r="AS135">
        <v>784565</v>
      </c>
      <c r="AT135">
        <v>926870</v>
      </c>
      <c r="AU135">
        <v>1117243</v>
      </c>
      <c r="AV135">
        <v>1420022</v>
      </c>
      <c r="AW135">
        <v>1699070</v>
      </c>
      <c r="AX135">
        <v>1920232</v>
      </c>
      <c r="AY135">
        <v>2170508</v>
      </c>
      <c r="AZ135">
        <v>2401519</v>
      </c>
      <c r="BA135">
        <v>2583609</v>
      </c>
      <c r="BB135">
        <v>2833397</v>
      </c>
      <c r="BC135">
        <v>3123294</v>
      </c>
      <c r="BD135">
        <v>3586458</v>
      </c>
      <c r="BE135">
        <v>4017088</v>
      </c>
      <c r="BF135">
        <v>4492361</v>
      </c>
      <c r="BG135">
        <v>4970223</v>
      </c>
      <c r="BH135">
        <v>5843446</v>
      </c>
      <c r="BI135">
        <v>6768138</v>
      </c>
      <c r="BJ135">
        <v>7486191</v>
      </c>
      <c r="BK135">
        <v>8401813</v>
      </c>
      <c r="BL135">
        <v>9259001</v>
      </c>
      <c r="BM135">
        <v>10173014</v>
      </c>
      <c r="BN135">
        <v>10992574</v>
      </c>
      <c r="BO135">
        <v>11992475</v>
      </c>
      <c r="BP135">
        <v>13314786</v>
      </c>
      <c r="BQ135">
        <v>14937052</v>
      </c>
      <c r="BR135">
        <v>15220499</v>
      </c>
      <c r="BS135">
        <v>14108188</v>
      </c>
      <c r="BT135">
        <v>13274526</v>
      </c>
      <c r="BU135">
        <v>12790967</v>
      </c>
      <c r="BV135">
        <v>12509425</v>
      </c>
      <c r="BW135">
        <v>12488093</v>
      </c>
      <c r="BX135">
        <v>12567124</v>
      </c>
      <c r="BY135">
        <v>12508775</v>
      </c>
      <c r="BZ135">
        <v>12664971</v>
      </c>
      <c r="CA135">
        <v>12967640</v>
      </c>
      <c r="CB135">
        <v>13206899</v>
      </c>
      <c r="CC135">
        <v>13666854</v>
      </c>
      <c r="CD135">
        <v>14569019</v>
      </c>
      <c r="CE135">
        <v>15603996</v>
      </c>
      <c r="CF135">
        <v>16854856</v>
      </c>
      <c r="CG135">
        <v>17341973</v>
      </c>
      <c r="CH135">
        <v>17900859</v>
      </c>
    </row>
    <row r="136" spans="1:86">
      <c r="A136" t="s">
        <v>770</v>
      </c>
      <c r="B136" t="s">
        <v>88</v>
      </c>
      <c r="C136">
        <v>1000000</v>
      </c>
      <c r="D136" t="s">
        <v>89</v>
      </c>
      <c r="E136" t="s">
        <v>952</v>
      </c>
      <c r="F136" s="10" t="s">
        <v>953</v>
      </c>
      <c r="G136">
        <v>873</v>
      </c>
      <c r="H136">
        <v>1168</v>
      </c>
      <c r="I136">
        <v>1284</v>
      </c>
      <c r="J136">
        <v>1563</v>
      </c>
      <c r="K136">
        <v>1454</v>
      </c>
      <c r="L136">
        <v>1860</v>
      </c>
      <c r="M136">
        <v>2098</v>
      </c>
      <c r="N136">
        <v>2155</v>
      </c>
      <c r="O136">
        <v>2159</v>
      </c>
      <c r="P136">
        <v>2142</v>
      </c>
      <c r="Q136">
        <v>3121</v>
      </c>
      <c r="R136">
        <v>3597</v>
      </c>
      <c r="S136">
        <v>5021</v>
      </c>
      <c r="T136">
        <v>5115</v>
      </c>
      <c r="U136">
        <v>7323</v>
      </c>
      <c r="V136">
        <v>8061</v>
      </c>
      <c r="W136">
        <v>8764</v>
      </c>
      <c r="X136">
        <v>10401</v>
      </c>
      <c r="Y136">
        <v>12049</v>
      </c>
      <c r="Z136">
        <v>12561</v>
      </c>
      <c r="AA136">
        <v>14715</v>
      </c>
      <c r="AB136">
        <v>20218</v>
      </c>
      <c r="AC136">
        <v>20338</v>
      </c>
      <c r="AD136">
        <v>24105</v>
      </c>
      <c r="AE136">
        <v>33849</v>
      </c>
      <c r="AF136">
        <v>43634</v>
      </c>
      <c r="AG136">
        <v>49537</v>
      </c>
      <c r="AH136">
        <v>57946</v>
      </c>
      <c r="AI136">
        <v>77877</v>
      </c>
      <c r="AJ136">
        <v>97897</v>
      </c>
      <c r="AK136">
        <v>107292</v>
      </c>
      <c r="AL136">
        <v>121934</v>
      </c>
      <c r="AM136">
        <v>145000</v>
      </c>
      <c r="AN136">
        <v>181673</v>
      </c>
      <c r="AO136">
        <v>230300</v>
      </c>
      <c r="AP136">
        <v>273885</v>
      </c>
      <c r="AQ136">
        <v>319417</v>
      </c>
      <c r="AR136">
        <v>383892</v>
      </c>
      <c r="AS136">
        <v>451587</v>
      </c>
      <c r="AT136">
        <v>526197</v>
      </c>
      <c r="AU136">
        <v>625659</v>
      </c>
      <c r="AV136">
        <v>804601</v>
      </c>
      <c r="AW136">
        <v>972608</v>
      </c>
      <c r="AX136">
        <v>1093384</v>
      </c>
      <c r="AY136">
        <v>1242876</v>
      </c>
      <c r="AZ136">
        <v>1413556</v>
      </c>
      <c r="BA136">
        <v>1559392</v>
      </c>
      <c r="BB136">
        <v>1715656</v>
      </c>
      <c r="BC136">
        <v>1880937</v>
      </c>
      <c r="BD136">
        <v>2173449</v>
      </c>
      <c r="BE136">
        <v>2377738</v>
      </c>
      <c r="BF136">
        <v>2609151</v>
      </c>
      <c r="BG136">
        <v>2822805</v>
      </c>
      <c r="BH136">
        <v>3294394</v>
      </c>
      <c r="BI136">
        <v>3887741</v>
      </c>
      <c r="BJ136">
        <v>4319662</v>
      </c>
      <c r="BK136">
        <v>4962349</v>
      </c>
      <c r="BL136">
        <v>5509001</v>
      </c>
      <c r="BM136">
        <v>5944522</v>
      </c>
      <c r="BN136">
        <v>6060288</v>
      </c>
      <c r="BO136">
        <v>6140712</v>
      </c>
      <c r="BP136">
        <v>6468930</v>
      </c>
      <c r="BQ136">
        <v>7374610</v>
      </c>
      <c r="BR136">
        <v>8143351</v>
      </c>
      <c r="BS136">
        <v>8083298</v>
      </c>
      <c r="BT136">
        <v>7581337</v>
      </c>
      <c r="BU136">
        <v>7559208</v>
      </c>
      <c r="BV136">
        <v>7535416</v>
      </c>
      <c r="BW136">
        <v>7773738</v>
      </c>
      <c r="BX136">
        <v>7924009</v>
      </c>
      <c r="BY136">
        <v>8144448</v>
      </c>
      <c r="BZ136">
        <v>8496125</v>
      </c>
      <c r="CA136">
        <v>8842725</v>
      </c>
      <c r="CB136">
        <v>9089623</v>
      </c>
      <c r="CC136">
        <v>9408258</v>
      </c>
      <c r="CD136">
        <v>10066466</v>
      </c>
      <c r="CE136">
        <v>10679376</v>
      </c>
      <c r="CF136">
        <v>11658758</v>
      </c>
      <c r="CG136">
        <v>11955799</v>
      </c>
      <c r="CH136">
        <v>12254123</v>
      </c>
    </row>
    <row r="137" spans="1:86">
      <c r="A137" t="s">
        <v>773</v>
      </c>
      <c r="B137" t="s">
        <v>88</v>
      </c>
      <c r="C137">
        <v>1000000</v>
      </c>
      <c r="D137" t="s">
        <v>89</v>
      </c>
      <c r="E137" t="s">
        <v>954</v>
      </c>
      <c r="F137" s="10" t="s">
        <v>955</v>
      </c>
      <c r="G137">
        <v>131</v>
      </c>
      <c r="H137">
        <v>193</v>
      </c>
      <c r="I137">
        <v>324</v>
      </c>
      <c r="J137">
        <v>760</v>
      </c>
      <c r="K137">
        <v>1067</v>
      </c>
      <c r="L137">
        <v>1281</v>
      </c>
      <c r="M137">
        <v>1667</v>
      </c>
      <c r="N137">
        <v>1682</v>
      </c>
      <c r="O137">
        <v>3057</v>
      </c>
      <c r="P137">
        <v>2759</v>
      </c>
      <c r="Q137">
        <v>3156</v>
      </c>
      <c r="R137">
        <v>4459</v>
      </c>
      <c r="S137">
        <v>5696</v>
      </c>
      <c r="T137">
        <v>5554</v>
      </c>
      <c r="U137">
        <v>6544</v>
      </c>
      <c r="V137">
        <v>9780</v>
      </c>
      <c r="W137">
        <v>10502</v>
      </c>
      <c r="X137">
        <v>10833</v>
      </c>
      <c r="Y137">
        <v>12384</v>
      </c>
      <c r="Z137">
        <v>15525</v>
      </c>
      <c r="AA137">
        <v>16730</v>
      </c>
      <c r="AB137">
        <v>18330</v>
      </c>
      <c r="AC137">
        <v>19298</v>
      </c>
      <c r="AD137">
        <v>19895</v>
      </c>
      <c r="AE137">
        <v>20852</v>
      </c>
      <c r="AF137">
        <v>22994</v>
      </c>
      <c r="AG137">
        <v>27402</v>
      </c>
      <c r="AH137">
        <v>34524</v>
      </c>
      <c r="AI137">
        <v>39481</v>
      </c>
      <c r="AJ137">
        <v>47083</v>
      </c>
      <c r="AK137">
        <v>56495</v>
      </c>
      <c r="AL137">
        <v>63823</v>
      </c>
      <c r="AM137">
        <v>76308</v>
      </c>
      <c r="AN137">
        <v>84399</v>
      </c>
      <c r="AO137">
        <v>90554</v>
      </c>
      <c r="AP137">
        <v>99944</v>
      </c>
      <c r="AQ137">
        <v>105269</v>
      </c>
      <c r="AR137">
        <v>120280</v>
      </c>
      <c r="AS137">
        <v>137515</v>
      </c>
      <c r="AT137">
        <v>177183</v>
      </c>
      <c r="AU137">
        <v>224513</v>
      </c>
      <c r="AV137">
        <v>316789</v>
      </c>
      <c r="AW137">
        <v>388553</v>
      </c>
      <c r="AX137">
        <v>449108</v>
      </c>
      <c r="AY137">
        <v>518544</v>
      </c>
      <c r="AZ137">
        <v>570282</v>
      </c>
      <c r="BA137">
        <v>626377</v>
      </c>
      <c r="BB137">
        <v>716206</v>
      </c>
      <c r="BC137">
        <v>842476</v>
      </c>
      <c r="BD137">
        <v>971453</v>
      </c>
      <c r="BE137">
        <v>1152482</v>
      </c>
      <c r="BF137">
        <v>1304114</v>
      </c>
      <c r="BG137">
        <v>1401677</v>
      </c>
      <c r="BH137">
        <v>1642328</v>
      </c>
      <c r="BI137">
        <v>1797450</v>
      </c>
      <c r="BJ137">
        <v>1951856</v>
      </c>
      <c r="BK137">
        <v>2289672</v>
      </c>
      <c r="BL137">
        <v>2681144</v>
      </c>
      <c r="BM137">
        <v>3112459</v>
      </c>
      <c r="BN137">
        <v>3718893</v>
      </c>
      <c r="BO137">
        <v>4384664</v>
      </c>
      <c r="BP137">
        <v>5105868</v>
      </c>
      <c r="BQ137">
        <v>6001524</v>
      </c>
      <c r="BR137">
        <v>5700104</v>
      </c>
      <c r="BS137">
        <v>5101388</v>
      </c>
      <c r="BT137">
        <v>4891711</v>
      </c>
      <c r="BU137">
        <v>4529959</v>
      </c>
      <c r="BV137">
        <v>4345489</v>
      </c>
      <c r="BW137">
        <v>4124252</v>
      </c>
      <c r="BX137">
        <v>4107979</v>
      </c>
      <c r="BY137">
        <v>3808070</v>
      </c>
      <c r="BZ137">
        <v>3642815</v>
      </c>
      <c r="CA137">
        <v>3612003</v>
      </c>
      <c r="CB137">
        <v>3638475</v>
      </c>
      <c r="CC137">
        <v>3706000</v>
      </c>
      <c r="CD137">
        <v>3926976</v>
      </c>
      <c r="CE137">
        <v>4432806</v>
      </c>
      <c r="CF137">
        <v>4521809</v>
      </c>
      <c r="CG137">
        <v>4704379</v>
      </c>
      <c r="CH137">
        <v>4928196</v>
      </c>
    </row>
    <row r="138" spans="1:86">
      <c r="A138" t="s">
        <v>776</v>
      </c>
      <c r="B138" t="s">
        <v>88</v>
      </c>
      <c r="C138">
        <v>1000000</v>
      </c>
      <c r="D138" t="s">
        <v>89</v>
      </c>
      <c r="E138" t="s">
        <v>956</v>
      </c>
      <c r="F138" s="10" t="s">
        <v>957</v>
      </c>
      <c r="G138">
        <v>220</v>
      </c>
      <c r="H138">
        <v>436</v>
      </c>
      <c r="I138">
        <v>593</v>
      </c>
      <c r="J138">
        <v>770</v>
      </c>
      <c r="K138">
        <v>951</v>
      </c>
      <c r="L138">
        <v>1112</v>
      </c>
      <c r="M138">
        <v>1559</v>
      </c>
      <c r="N138">
        <v>1915</v>
      </c>
      <c r="O138">
        <v>2222</v>
      </c>
      <c r="P138">
        <v>2373</v>
      </c>
      <c r="Q138">
        <v>2387</v>
      </c>
      <c r="R138">
        <v>2849</v>
      </c>
      <c r="S138">
        <v>3644</v>
      </c>
      <c r="T138">
        <v>3395</v>
      </c>
      <c r="U138">
        <v>4050</v>
      </c>
      <c r="V138">
        <v>5775</v>
      </c>
      <c r="W138">
        <v>6302</v>
      </c>
      <c r="X138">
        <v>7478</v>
      </c>
      <c r="Y138">
        <v>8741</v>
      </c>
      <c r="Z138">
        <v>10736</v>
      </c>
      <c r="AA138">
        <v>11929</v>
      </c>
      <c r="AB138">
        <v>15662</v>
      </c>
      <c r="AC138">
        <v>18411</v>
      </c>
      <c r="AD138">
        <v>21396</v>
      </c>
      <c r="AE138">
        <v>32750</v>
      </c>
      <c r="AF138">
        <v>33067</v>
      </c>
      <c r="AG138">
        <v>33847</v>
      </c>
      <c r="AH138">
        <v>34720</v>
      </c>
      <c r="AI138">
        <v>41672</v>
      </c>
      <c r="AJ138">
        <v>55119</v>
      </c>
      <c r="AK138">
        <v>56429</v>
      </c>
      <c r="AL138">
        <v>62458</v>
      </c>
      <c r="AM138">
        <v>75134</v>
      </c>
      <c r="AN138">
        <v>89077</v>
      </c>
      <c r="AO138">
        <v>115914</v>
      </c>
      <c r="AP138">
        <v>128839</v>
      </c>
      <c r="AQ138">
        <v>161519</v>
      </c>
      <c r="AR138">
        <v>174175</v>
      </c>
      <c r="AS138">
        <v>195463</v>
      </c>
      <c r="AT138">
        <v>223490</v>
      </c>
      <c r="AU138">
        <v>267071</v>
      </c>
      <c r="AV138">
        <v>298632</v>
      </c>
      <c r="AW138">
        <v>337909</v>
      </c>
      <c r="AX138">
        <v>377740</v>
      </c>
      <c r="AY138">
        <v>409088</v>
      </c>
      <c r="AZ138">
        <v>417681</v>
      </c>
      <c r="BA138">
        <v>397840</v>
      </c>
      <c r="BB138">
        <v>401535</v>
      </c>
      <c r="BC138">
        <v>399881</v>
      </c>
      <c r="BD138">
        <v>441556</v>
      </c>
      <c r="BE138">
        <v>486868</v>
      </c>
      <c r="BF138">
        <v>579096</v>
      </c>
      <c r="BG138">
        <v>745741</v>
      </c>
      <c r="BH138">
        <v>906724</v>
      </c>
      <c r="BI138">
        <v>1082947</v>
      </c>
      <c r="BJ138">
        <v>1214673</v>
      </c>
      <c r="BK138">
        <v>1149792</v>
      </c>
      <c r="BL138">
        <v>1068856</v>
      </c>
      <c r="BM138">
        <v>1116033</v>
      </c>
      <c r="BN138">
        <v>1213393</v>
      </c>
      <c r="BO138">
        <v>1467099</v>
      </c>
      <c r="BP138">
        <v>1739988</v>
      </c>
      <c r="BQ138">
        <v>1560918</v>
      </c>
      <c r="BR138">
        <v>1377044</v>
      </c>
      <c r="BS138">
        <v>923502</v>
      </c>
      <c r="BT138">
        <v>801478</v>
      </c>
      <c r="BU138">
        <v>701800</v>
      </c>
      <c r="BV138">
        <v>628520</v>
      </c>
      <c r="BW138">
        <v>590103</v>
      </c>
      <c r="BX138">
        <v>535136</v>
      </c>
      <c r="BY138">
        <v>556257</v>
      </c>
      <c r="BZ138">
        <v>526031</v>
      </c>
      <c r="CA138">
        <v>512912</v>
      </c>
      <c r="CB138">
        <v>478801</v>
      </c>
      <c r="CC138">
        <v>552596</v>
      </c>
      <c r="CD138">
        <v>575577</v>
      </c>
      <c r="CE138">
        <v>491814</v>
      </c>
      <c r="CF138">
        <v>674289</v>
      </c>
      <c r="CG138">
        <v>681795</v>
      </c>
      <c r="CH138">
        <v>718540</v>
      </c>
    </row>
    <row r="139" spans="1:86">
      <c r="A139" t="s">
        <v>779</v>
      </c>
      <c r="B139" t="s">
        <v>88</v>
      </c>
      <c r="C139">
        <v>1000000</v>
      </c>
      <c r="D139" t="s">
        <v>89</v>
      </c>
      <c r="E139" t="s">
        <v>958</v>
      </c>
      <c r="F139" s="10" t="s">
        <v>959</v>
      </c>
      <c r="G139">
        <v>4683</v>
      </c>
      <c r="H139">
        <v>3671</v>
      </c>
      <c r="I139">
        <v>3285</v>
      </c>
      <c r="J139">
        <v>4430</v>
      </c>
      <c r="K139">
        <v>5363</v>
      </c>
      <c r="L139">
        <v>7309</v>
      </c>
      <c r="M139">
        <v>7050</v>
      </c>
      <c r="N139">
        <v>8543</v>
      </c>
      <c r="O139">
        <v>8848</v>
      </c>
      <c r="P139">
        <v>9638</v>
      </c>
      <c r="Q139">
        <v>11524</v>
      </c>
      <c r="R139">
        <v>11342</v>
      </c>
      <c r="S139">
        <v>10886</v>
      </c>
      <c r="T139">
        <v>11943</v>
      </c>
      <c r="U139">
        <v>14857</v>
      </c>
      <c r="V139">
        <v>14532</v>
      </c>
      <c r="W139">
        <v>16018</v>
      </c>
      <c r="X139">
        <v>18658</v>
      </c>
      <c r="Y139">
        <v>22347</v>
      </c>
      <c r="Z139">
        <v>24534</v>
      </c>
      <c r="AA139">
        <v>29627</v>
      </c>
      <c r="AB139">
        <v>30918</v>
      </c>
      <c r="AC139">
        <v>33277</v>
      </c>
      <c r="AD139">
        <v>41525</v>
      </c>
      <c r="AE139">
        <v>50502</v>
      </c>
      <c r="AF139">
        <v>56923</v>
      </c>
      <c r="AG139">
        <v>64449</v>
      </c>
      <c r="AH139">
        <v>84009</v>
      </c>
      <c r="AI139">
        <v>107537</v>
      </c>
      <c r="AJ139">
        <v>123842</v>
      </c>
      <c r="AK139">
        <v>110655</v>
      </c>
      <c r="AL139">
        <v>139727</v>
      </c>
      <c r="AM139">
        <v>164438</v>
      </c>
      <c r="AN139">
        <v>198692</v>
      </c>
      <c r="AO139">
        <v>246779</v>
      </c>
      <c r="AP139">
        <v>294189</v>
      </c>
      <c r="AQ139">
        <v>385183</v>
      </c>
      <c r="AR139">
        <v>427653</v>
      </c>
      <c r="AS139">
        <v>458982</v>
      </c>
      <c r="AT139">
        <v>571848</v>
      </c>
      <c r="AU139">
        <v>687489</v>
      </c>
      <c r="AV139">
        <v>829924</v>
      </c>
      <c r="AW139">
        <v>881261</v>
      </c>
      <c r="AX139">
        <v>963045</v>
      </c>
      <c r="AY139">
        <v>1065912</v>
      </c>
      <c r="AZ139">
        <v>1017891</v>
      </c>
      <c r="BA139">
        <v>1040668</v>
      </c>
      <c r="BB139">
        <v>1178096</v>
      </c>
      <c r="BC139">
        <v>1380075</v>
      </c>
      <c r="BD139">
        <v>1422985</v>
      </c>
      <c r="BE139">
        <v>1664480</v>
      </c>
      <c r="BF139">
        <v>1835741</v>
      </c>
      <c r="BG139">
        <v>2158290</v>
      </c>
      <c r="BH139">
        <v>2306390</v>
      </c>
      <c r="BI139">
        <v>2556120</v>
      </c>
      <c r="BJ139">
        <v>2965906</v>
      </c>
      <c r="BK139">
        <v>3255199</v>
      </c>
      <c r="BL139">
        <v>3475286</v>
      </c>
      <c r="BM139">
        <v>3768618</v>
      </c>
      <c r="BN139">
        <v>4357574</v>
      </c>
      <c r="BO139">
        <v>4889888</v>
      </c>
      <c r="BP139">
        <v>5490289</v>
      </c>
      <c r="BQ139">
        <v>6293794</v>
      </c>
      <c r="BR139">
        <v>5632230</v>
      </c>
      <c r="BS139">
        <v>4437708</v>
      </c>
      <c r="BT139">
        <v>4470098</v>
      </c>
      <c r="BU139">
        <v>4599629</v>
      </c>
      <c r="BV139">
        <v>4826965</v>
      </c>
      <c r="BW139">
        <v>4612346</v>
      </c>
      <c r="BX139">
        <v>4803851</v>
      </c>
      <c r="BY139">
        <v>4825380</v>
      </c>
      <c r="BZ139">
        <v>4991958</v>
      </c>
      <c r="CA139">
        <v>5052805</v>
      </c>
      <c r="CB139">
        <v>5041202</v>
      </c>
      <c r="CC139">
        <v>5186037</v>
      </c>
      <c r="CD139">
        <v>4986262</v>
      </c>
      <c r="CE139">
        <v>6963127</v>
      </c>
      <c r="CF139">
        <v>7988267</v>
      </c>
      <c r="CG139">
        <v>6991153</v>
      </c>
      <c r="CH139">
        <v>6644937</v>
      </c>
    </row>
    <row r="140" spans="1:86">
      <c r="A140" t="s">
        <v>782</v>
      </c>
      <c r="B140" t="s">
        <v>88</v>
      </c>
      <c r="C140">
        <v>1000000</v>
      </c>
      <c r="D140" t="s">
        <v>89</v>
      </c>
      <c r="E140" t="s">
        <v>960</v>
      </c>
      <c r="F140" s="10" t="s">
        <v>961</v>
      </c>
      <c r="G140">
        <v>4486</v>
      </c>
      <c r="H140">
        <v>3471</v>
      </c>
      <c r="I140">
        <v>3084</v>
      </c>
      <c r="J140">
        <v>4227</v>
      </c>
      <c r="K140">
        <v>5158</v>
      </c>
      <c r="L140">
        <v>7104</v>
      </c>
      <c r="M140">
        <v>6843</v>
      </c>
      <c r="N140">
        <v>8325</v>
      </c>
      <c r="O140">
        <v>8622</v>
      </c>
      <c r="P140">
        <v>9383</v>
      </c>
      <c r="Q140">
        <v>11245</v>
      </c>
      <c r="R140">
        <v>11059</v>
      </c>
      <c r="S140">
        <v>10606</v>
      </c>
      <c r="T140">
        <v>11638</v>
      </c>
      <c r="U140">
        <v>14540</v>
      </c>
      <c r="V140">
        <v>14201</v>
      </c>
      <c r="W140">
        <v>15646</v>
      </c>
      <c r="X140">
        <v>18304</v>
      </c>
      <c r="Y140">
        <v>21973</v>
      </c>
      <c r="Z140">
        <v>24135</v>
      </c>
      <c r="AA140">
        <v>29234</v>
      </c>
      <c r="AB140">
        <v>30546</v>
      </c>
      <c r="AC140">
        <v>32885</v>
      </c>
      <c r="AD140">
        <v>41115</v>
      </c>
      <c r="AE140">
        <v>50123</v>
      </c>
      <c r="AF140">
        <v>56539</v>
      </c>
      <c r="AG140">
        <v>64007</v>
      </c>
      <c r="AH140">
        <v>83500</v>
      </c>
      <c r="AI140">
        <v>106956</v>
      </c>
      <c r="AJ140">
        <v>123279</v>
      </c>
      <c r="AK140">
        <v>110004</v>
      </c>
      <c r="AL140">
        <v>138912</v>
      </c>
      <c r="AM140">
        <v>163501</v>
      </c>
      <c r="AN140">
        <v>197613</v>
      </c>
      <c r="AO140">
        <v>245216</v>
      </c>
      <c r="AP140">
        <v>291707</v>
      </c>
      <c r="AQ140">
        <v>382140</v>
      </c>
      <c r="AR140">
        <v>424628</v>
      </c>
      <c r="AS140">
        <v>455500</v>
      </c>
      <c r="AT140">
        <v>567238</v>
      </c>
      <c r="AU140">
        <v>682134</v>
      </c>
      <c r="AV140">
        <v>822818</v>
      </c>
      <c r="AW140">
        <v>872580</v>
      </c>
      <c r="AX140">
        <v>953658</v>
      </c>
      <c r="AY140">
        <v>1052318</v>
      </c>
      <c r="AZ140">
        <v>1005314</v>
      </c>
      <c r="BA140">
        <v>1025751</v>
      </c>
      <c r="BB140">
        <v>1163965</v>
      </c>
      <c r="BC140">
        <v>1356400</v>
      </c>
      <c r="BD140">
        <v>1404548</v>
      </c>
      <c r="BE140">
        <v>1642961</v>
      </c>
      <c r="BF140">
        <v>1812447</v>
      </c>
      <c r="BG140">
        <v>2126711</v>
      </c>
      <c r="BH140">
        <v>2270461</v>
      </c>
      <c r="BI140">
        <v>2509227</v>
      </c>
      <c r="BJ140">
        <v>2913268</v>
      </c>
      <c r="BK140">
        <v>3194852</v>
      </c>
      <c r="BL140">
        <v>3421033</v>
      </c>
      <c r="BM140">
        <v>3717159</v>
      </c>
      <c r="BN140">
        <v>4302321</v>
      </c>
      <c r="BO140">
        <v>4832214</v>
      </c>
      <c r="BP140">
        <v>5416340</v>
      </c>
      <c r="BQ140">
        <v>6224820</v>
      </c>
      <c r="BR140">
        <v>5569695</v>
      </c>
      <c r="BS140">
        <v>4362566</v>
      </c>
      <c r="BT140">
        <v>4382797</v>
      </c>
      <c r="BU140">
        <v>4499532</v>
      </c>
      <c r="BV140">
        <v>4735223</v>
      </c>
      <c r="BW140">
        <v>4527180</v>
      </c>
      <c r="BX140">
        <v>4710063</v>
      </c>
      <c r="BY140">
        <v>4714113</v>
      </c>
      <c r="BZ140">
        <v>4782478</v>
      </c>
      <c r="CA140">
        <v>4836638</v>
      </c>
      <c r="CB140">
        <v>4855147</v>
      </c>
      <c r="CC140">
        <v>5017190</v>
      </c>
      <c r="CD140">
        <v>4814359</v>
      </c>
      <c r="CE140">
        <v>6796783</v>
      </c>
      <c r="CF140">
        <v>7867456</v>
      </c>
      <c r="CG140">
        <v>6873186</v>
      </c>
      <c r="CH140">
        <v>6542947</v>
      </c>
    </row>
    <row r="141" spans="1:86">
      <c r="A141" t="s">
        <v>785</v>
      </c>
      <c r="B141" t="s">
        <v>88</v>
      </c>
      <c r="C141">
        <v>1000000</v>
      </c>
      <c r="D141" t="s">
        <v>89</v>
      </c>
      <c r="E141" t="s">
        <v>962</v>
      </c>
      <c r="F141" s="10" t="s">
        <v>963</v>
      </c>
      <c r="G141">
        <v>197</v>
      </c>
      <c r="H141">
        <v>200</v>
      </c>
      <c r="I141">
        <v>201</v>
      </c>
      <c r="J141">
        <v>203</v>
      </c>
      <c r="K141">
        <v>205</v>
      </c>
      <c r="L141">
        <v>205</v>
      </c>
      <c r="M141">
        <v>207</v>
      </c>
      <c r="N141">
        <v>218</v>
      </c>
      <c r="O141">
        <v>226</v>
      </c>
      <c r="P141">
        <v>255</v>
      </c>
      <c r="Q141">
        <v>279</v>
      </c>
      <c r="R141">
        <v>283</v>
      </c>
      <c r="S141">
        <v>280</v>
      </c>
      <c r="T141">
        <v>305</v>
      </c>
      <c r="U141">
        <v>317</v>
      </c>
      <c r="V141">
        <v>331</v>
      </c>
      <c r="W141">
        <v>372</v>
      </c>
      <c r="X141">
        <v>354</v>
      </c>
      <c r="Y141">
        <v>374</v>
      </c>
      <c r="Z141">
        <v>399</v>
      </c>
      <c r="AA141">
        <v>393</v>
      </c>
      <c r="AB141">
        <v>372</v>
      </c>
      <c r="AC141">
        <v>392</v>
      </c>
      <c r="AD141">
        <v>410</v>
      </c>
      <c r="AE141">
        <v>379</v>
      </c>
      <c r="AF141">
        <v>384</v>
      </c>
      <c r="AG141">
        <v>442</v>
      </c>
      <c r="AH141">
        <v>509</v>
      </c>
      <c r="AI141">
        <v>581</v>
      </c>
      <c r="AJ141">
        <v>563</v>
      </c>
      <c r="AK141">
        <v>651</v>
      </c>
      <c r="AL141">
        <v>815</v>
      </c>
      <c r="AM141">
        <v>937</v>
      </c>
      <c r="AN141">
        <v>1079</v>
      </c>
      <c r="AO141">
        <v>1563</v>
      </c>
      <c r="AP141">
        <v>2482</v>
      </c>
      <c r="AQ141">
        <v>3043</v>
      </c>
      <c r="AR141">
        <v>3025</v>
      </c>
      <c r="AS141">
        <v>3482</v>
      </c>
      <c r="AT141">
        <v>4610</v>
      </c>
      <c r="AU141">
        <v>5355</v>
      </c>
      <c r="AV141">
        <v>7106</v>
      </c>
      <c r="AW141">
        <v>8681</v>
      </c>
      <c r="AX141">
        <v>9387</v>
      </c>
      <c r="AY141">
        <v>13594</v>
      </c>
      <c r="AZ141">
        <v>12577</v>
      </c>
      <c r="BA141">
        <v>14917</v>
      </c>
      <c r="BB141">
        <v>14131</v>
      </c>
      <c r="BC141">
        <v>23675</v>
      </c>
      <c r="BD141">
        <v>18437</v>
      </c>
      <c r="BE141">
        <v>21519</v>
      </c>
      <c r="BF141">
        <v>23294</v>
      </c>
      <c r="BG141">
        <v>31579</v>
      </c>
      <c r="BH141">
        <v>35929</v>
      </c>
      <c r="BI141">
        <v>46893</v>
      </c>
      <c r="BJ141">
        <v>52638</v>
      </c>
      <c r="BK141">
        <v>60347</v>
      </c>
      <c r="BL141">
        <v>54253</v>
      </c>
      <c r="BM141">
        <v>51459</v>
      </c>
      <c r="BN141">
        <v>55253</v>
      </c>
      <c r="BO141">
        <v>57674</v>
      </c>
      <c r="BP141">
        <v>73949</v>
      </c>
      <c r="BQ141">
        <v>68974</v>
      </c>
      <c r="BR141">
        <v>62535</v>
      </c>
      <c r="BS141">
        <v>75142</v>
      </c>
      <c r="BT141">
        <v>87301</v>
      </c>
      <c r="BU141">
        <v>100097</v>
      </c>
      <c r="BV141">
        <v>91742</v>
      </c>
      <c r="BW141">
        <v>85166</v>
      </c>
      <c r="BX141">
        <v>93788</v>
      </c>
      <c r="BY141">
        <v>111267</v>
      </c>
      <c r="BZ141">
        <v>209480</v>
      </c>
      <c r="CA141">
        <v>216167</v>
      </c>
      <c r="CB141">
        <v>186055</v>
      </c>
      <c r="CC141">
        <v>168847</v>
      </c>
      <c r="CD141">
        <v>171903</v>
      </c>
      <c r="CE141">
        <v>166344</v>
      </c>
      <c r="CF141">
        <v>120811</v>
      </c>
      <c r="CG141">
        <v>117967</v>
      </c>
      <c r="CH141">
        <v>101990</v>
      </c>
    </row>
    <row r="142" spans="1:86">
      <c r="A142" t="s">
        <v>788</v>
      </c>
      <c r="B142" t="s">
        <v>88</v>
      </c>
      <c r="C142">
        <v>1000000</v>
      </c>
      <c r="D142" t="s">
        <v>89</v>
      </c>
      <c r="E142" t="s">
        <v>964</v>
      </c>
      <c r="F142" s="10" t="s">
        <v>965</v>
      </c>
      <c r="G142">
        <v>51100</v>
      </c>
      <c r="H142">
        <v>51218</v>
      </c>
      <c r="I142">
        <v>51708</v>
      </c>
      <c r="J142">
        <v>52022</v>
      </c>
      <c r="K142">
        <v>53921</v>
      </c>
      <c r="L142">
        <v>54633</v>
      </c>
      <c r="M142">
        <v>55222</v>
      </c>
      <c r="N142">
        <v>56311</v>
      </c>
      <c r="O142">
        <v>57029</v>
      </c>
      <c r="P142">
        <v>59924</v>
      </c>
      <c r="Q142">
        <v>62216</v>
      </c>
      <c r="R142">
        <v>64185</v>
      </c>
      <c r="S142">
        <v>64816</v>
      </c>
      <c r="T142">
        <v>70445</v>
      </c>
      <c r="U142">
        <v>73915</v>
      </c>
      <c r="V142">
        <v>76309</v>
      </c>
      <c r="W142">
        <v>105108</v>
      </c>
      <c r="X142">
        <v>99781</v>
      </c>
      <c r="Y142">
        <v>116602</v>
      </c>
      <c r="Z142">
        <v>129126</v>
      </c>
      <c r="AA142">
        <v>145378</v>
      </c>
      <c r="AB142">
        <v>147333</v>
      </c>
      <c r="AC142">
        <v>166431</v>
      </c>
      <c r="AD142">
        <v>202137</v>
      </c>
      <c r="AE142">
        <v>184323</v>
      </c>
      <c r="AF142">
        <v>182566</v>
      </c>
      <c r="AG142">
        <v>217067</v>
      </c>
      <c r="AH142">
        <v>243104</v>
      </c>
      <c r="AI142">
        <v>194993</v>
      </c>
      <c r="AJ142">
        <v>140427</v>
      </c>
      <c r="AK142">
        <v>167536</v>
      </c>
      <c r="AL142">
        <v>199224</v>
      </c>
      <c r="AM142">
        <v>201785</v>
      </c>
      <c r="AN142">
        <v>225688</v>
      </c>
      <c r="AO142">
        <v>291835</v>
      </c>
      <c r="AP142">
        <v>375711</v>
      </c>
      <c r="AQ142">
        <v>514790</v>
      </c>
      <c r="AR142">
        <v>606982</v>
      </c>
      <c r="AS142">
        <v>665977</v>
      </c>
      <c r="AT142">
        <v>780535</v>
      </c>
      <c r="AU142">
        <v>1044480</v>
      </c>
      <c r="AV142">
        <v>1376381</v>
      </c>
      <c r="AW142">
        <v>1393127</v>
      </c>
      <c r="AX142">
        <v>1523014</v>
      </c>
      <c r="AY142">
        <v>1808799</v>
      </c>
      <c r="AZ142">
        <v>1780454</v>
      </c>
      <c r="BA142">
        <v>2324099</v>
      </c>
      <c r="BB142">
        <v>2794074</v>
      </c>
      <c r="BC142">
        <v>3453955</v>
      </c>
      <c r="BD142">
        <v>3513808</v>
      </c>
      <c r="BE142">
        <v>4657573</v>
      </c>
      <c r="BF142">
        <v>5913066</v>
      </c>
      <c r="BG142">
        <v>7745149</v>
      </c>
      <c r="BH142">
        <v>9232447</v>
      </c>
      <c r="BI142">
        <v>10841060</v>
      </c>
      <c r="BJ142">
        <v>11492293</v>
      </c>
      <c r="BK142">
        <v>11322912</v>
      </c>
      <c r="BL142">
        <v>10471103</v>
      </c>
      <c r="BM142">
        <v>12442651</v>
      </c>
      <c r="BN142">
        <v>13886736</v>
      </c>
      <c r="BO142">
        <v>15098480</v>
      </c>
      <c r="BP142">
        <v>17533162</v>
      </c>
      <c r="BQ142">
        <v>18784766</v>
      </c>
      <c r="BR142">
        <v>14781729</v>
      </c>
      <c r="BS142">
        <v>16709359</v>
      </c>
      <c r="BT142">
        <v>18393622</v>
      </c>
      <c r="BU142">
        <v>17914118</v>
      </c>
      <c r="BV142">
        <v>20637098</v>
      </c>
      <c r="BW142">
        <v>24205281</v>
      </c>
      <c r="BX142">
        <v>25826812</v>
      </c>
      <c r="BY142">
        <v>25410532</v>
      </c>
      <c r="BZ142">
        <v>27111543</v>
      </c>
      <c r="CA142">
        <v>31331961</v>
      </c>
      <c r="CB142">
        <v>29545820</v>
      </c>
      <c r="CC142">
        <v>35580002</v>
      </c>
      <c r="CD142">
        <v>39631286</v>
      </c>
      <c r="CE142">
        <v>46854379</v>
      </c>
      <c r="CF142">
        <v>39667707</v>
      </c>
      <c r="CG142">
        <v>45492749</v>
      </c>
      <c r="CH142">
        <v>52753269</v>
      </c>
    </row>
    <row r="143" spans="1:86">
      <c r="A143" t="s">
        <v>791</v>
      </c>
      <c r="B143" t="s">
        <v>88</v>
      </c>
      <c r="C143">
        <v>1000000</v>
      </c>
      <c r="D143" t="s">
        <v>89</v>
      </c>
      <c r="E143" t="s">
        <v>966</v>
      </c>
      <c r="F143" s="10" t="s">
        <v>967</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2379</v>
      </c>
      <c r="AK143">
        <v>3645</v>
      </c>
      <c r="AL143">
        <v>3404</v>
      </c>
      <c r="AM143">
        <v>3887</v>
      </c>
      <c r="AN143">
        <v>10808</v>
      </c>
      <c r="AO143">
        <v>45214</v>
      </c>
      <c r="AP143">
        <v>76415</v>
      </c>
      <c r="AQ143">
        <v>186305</v>
      </c>
      <c r="AR143">
        <v>219928</v>
      </c>
      <c r="AS143">
        <v>179467</v>
      </c>
      <c r="AT143">
        <v>233554</v>
      </c>
      <c r="AU143">
        <v>243803</v>
      </c>
      <c r="AV143">
        <v>292152</v>
      </c>
      <c r="AW143">
        <v>316096</v>
      </c>
      <c r="AX143">
        <v>338862</v>
      </c>
      <c r="AY143">
        <v>430007</v>
      </c>
      <c r="AZ143">
        <v>501268</v>
      </c>
      <c r="BA143">
        <v>542441</v>
      </c>
      <c r="BB143">
        <v>546194</v>
      </c>
      <c r="BC143">
        <v>565319</v>
      </c>
      <c r="BD143">
        <v>611005</v>
      </c>
      <c r="BE143">
        <v>753018</v>
      </c>
      <c r="BF143">
        <v>901807</v>
      </c>
      <c r="BG143">
        <v>1058885</v>
      </c>
      <c r="BH143">
        <v>1351678</v>
      </c>
      <c r="BI143">
        <v>1613146</v>
      </c>
      <c r="BJ143">
        <v>1845248</v>
      </c>
      <c r="BK143">
        <v>2285310</v>
      </c>
      <c r="BL143">
        <v>2265075</v>
      </c>
      <c r="BM143">
        <v>2040021</v>
      </c>
      <c r="BN143">
        <v>1901700</v>
      </c>
      <c r="BO143">
        <v>2026821</v>
      </c>
      <c r="BP143">
        <v>2338451</v>
      </c>
      <c r="BQ143">
        <v>3085760</v>
      </c>
      <c r="BR143">
        <v>3832237</v>
      </c>
      <c r="BS143">
        <v>3315893</v>
      </c>
      <c r="BT143">
        <v>3034465</v>
      </c>
      <c r="BU143">
        <v>2941890</v>
      </c>
      <c r="BV143">
        <v>2996592</v>
      </c>
      <c r="BW143">
        <v>3047282</v>
      </c>
      <c r="BX143">
        <v>3072970</v>
      </c>
      <c r="BY143">
        <v>3078204</v>
      </c>
      <c r="BZ143">
        <v>2955224</v>
      </c>
      <c r="CA143">
        <v>3120533</v>
      </c>
      <c r="CB143">
        <v>3289687</v>
      </c>
      <c r="CC143">
        <v>4002466</v>
      </c>
      <c r="CD143">
        <v>4765920</v>
      </c>
      <c r="CE143">
        <v>5205455</v>
      </c>
      <c r="CF143">
        <v>5223061</v>
      </c>
      <c r="CG143">
        <v>6357551</v>
      </c>
      <c r="CH143">
        <v>7243180</v>
      </c>
    </row>
    <row r="144" spans="1:86">
      <c r="A144" t="s">
        <v>794</v>
      </c>
      <c r="B144" t="s">
        <v>88</v>
      </c>
      <c r="C144">
        <v>1000000</v>
      </c>
      <c r="D144" t="s">
        <v>89</v>
      </c>
      <c r="E144" t="s">
        <v>968</v>
      </c>
      <c r="F144" s="10" t="s">
        <v>969</v>
      </c>
      <c r="G144">
        <v>48216</v>
      </c>
      <c r="H144">
        <v>48353</v>
      </c>
      <c r="I144">
        <v>48741</v>
      </c>
      <c r="J144">
        <v>48923</v>
      </c>
      <c r="K144">
        <v>49254</v>
      </c>
      <c r="L144">
        <v>49672</v>
      </c>
      <c r="M144">
        <v>50063</v>
      </c>
      <c r="N144">
        <v>50591</v>
      </c>
      <c r="O144">
        <v>50992</v>
      </c>
      <c r="P144">
        <v>51649</v>
      </c>
      <c r="Q144">
        <v>52012</v>
      </c>
      <c r="R144">
        <v>52620</v>
      </c>
      <c r="S144">
        <v>53395</v>
      </c>
      <c r="T144">
        <v>54286</v>
      </c>
      <c r="U144">
        <v>54974</v>
      </c>
      <c r="V144">
        <v>55908</v>
      </c>
      <c r="W144">
        <v>78518</v>
      </c>
      <c r="X144">
        <v>74795</v>
      </c>
      <c r="Y144">
        <v>87551</v>
      </c>
      <c r="Z144">
        <v>96021</v>
      </c>
      <c r="AA144">
        <v>106063</v>
      </c>
      <c r="AB144">
        <v>108209</v>
      </c>
      <c r="AC144">
        <v>117648</v>
      </c>
      <c r="AD144">
        <v>146483</v>
      </c>
      <c r="AE144">
        <v>128581</v>
      </c>
      <c r="AF144">
        <v>122178</v>
      </c>
      <c r="AG144">
        <v>143192</v>
      </c>
      <c r="AH144">
        <v>159796</v>
      </c>
      <c r="AI144">
        <v>118746</v>
      </c>
      <c r="AJ144">
        <v>65825</v>
      </c>
      <c r="AK144">
        <v>74896</v>
      </c>
      <c r="AL144">
        <v>97363</v>
      </c>
      <c r="AM144">
        <v>93293</v>
      </c>
      <c r="AN144">
        <v>102048</v>
      </c>
      <c r="AO144">
        <v>117667</v>
      </c>
      <c r="AP144">
        <v>129471</v>
      </c>
      <c r="AQ144">
        <v>139924</v>
      </c>
      <c r="AR144">
        <v>158564</v>
      </c>
      <c r="AS144">
        <v>199298</v>
      </c>
      <c r="AT144">
        <v>209518</v>
      </c>
      <c r="AU144">
        <v>308391</v>
      </c>
      <c r="AV144">
        <v>367904</v>
      </c>
      <c r="AW144">
        <v>327922</v>
      </c>
      <c r="AX144">
        <v>387624</v>
      </c>
      <c r="AY144">
        <v>475602</v>
      </c>
      <c r="AZ144">
        <v>376718</v>
      </c>
      <c r="BA144">
        <v>568380</v>
      </c>
      <c r="BB144">
        <v>738442</v>
      </c>
      <c r="BC144">
        <v>887665</v>
      </c>
      <c r="BD144">
        <v>859154</v>
      </c>
      <c r="BE144">
        <v>1240737</v>
      </c>
      <c r="BF144">
        <v>1651432</v>
      </c>
      <c r="BG144">
        <v>2357049</v>
      </c>
      <c r="BH144">
        <v>2556826</v>
      </c>
      <c r="BI144">
        <v>2587785</v>
      </c>
      <c r="BJ144">
        <v>3030511</v>
      </c>
      <c r="BK144">
        <v>2831285</v>
      </c>
      <c r="BL144">
        <v>2550342</v>
      </c>
      <c r="BM144">
        <v>3319045</v>
      </c>
      <c r="BN144">
        <v>3723697</v>
      </c>
      <c r="BO144">
        <v>3982068</v>
      </c>
      <c r="BP144">
        <v>4622614</v>
      </c>
      <c r="BQ144">
        <v>4138704</v>
      </c>
      <c r="BR144">
        <v>2694675</v>
      </c>
      <c r="BS144">
        <v>3338422</v>
      </c>
      <c r="BT144">
        <v>3962379</v>
      </c>
      <c r="BU144">
        <v>3555424</v>
      </c>
      <c r="BV144">
        <v>4256188</v>
      </c>
      <c r="BW144">
        <v>5608812</v>
      </c>
      <c r="BX144">
        <v>6331268</v>
      </c>
      <c r="BY144">
        <v>6265879</v>
      </c>
      <c r="BZ144">
        <v>7324173</v>
      </c>
      <c r="CA144">
        <v>8991487</v>
      </c>
      <c r="CB144">
        <v>8192053</v>
      </c>
      <c r="CC144">
        <v>10166920</v>
      </c>
      <c r="CD144">
        <v>11119188</v>
      </c>
      <c r="CE144">
        <v>14929808</v>
      </c>
      <c r="CF144">
        <v>13111550</v>
      </c>
      <c r="CG144">
        <v>15210823</v>
      </c>
      <c r="CH144">
        <v>19090227</v>
      </c>
    </row>
    <row r="145" spans="1:86">
      <c r="A145" t="s">
        <v>797</v>
      </c>
      <c r="B145" t="s">
        <v>88</v>
      </c>
      <c r="C145">
        <v>1000000</v>
      </c>
      <c r="D145" t="s">
        <v>89</v>
      </c>
      <c r="E145" t="s">
        <v>970</v>
      </c>
      <c r="F145" s="10" t="s">
        <v>971</v>
      </c>
      <c r="G145">
        <v>1245</v>
      </c>
      <c r="H145">
        <v>1298</v>
      </c>
      <c r="I145">
        <v>1413</v>
      </c>
      <c r="J145">
        <v>1516</v>
      </c>
      <c r="K145">
        <v>3071</v>
      </c>
      <c r="L145">
        <v>3344</v>
      </c>
      <c r="M145">
        <v>3482</v>
      </c>
      <c r="N145">
        <v>3932</v>
      </c>
      <c r="O145">
        <v>4146</v>
      </c>
      <c r="P145">
        <v>6110</v>
      </c>
      <c r="Q145">
        <v>7839</v>
      </c>
      <c r="R145">
        <v>9046</v>
      </c>
      <c r="S145">
        <v>8714</v>
      </c>
      <c r="T145">
        <v>13242</v>
      </c>
      <c r="U145">
        <v>15818</v>
      </c>
      <c r="V145">
        <v>17026</v>
      </c>
      <c r="W145">
        <v>22875</v>
      </c>
      <c r="X145">
        <v>21271</v>
      </c>
      <c r="Y145">
        <v>25215</v>
      </c>
      <c r="Z145">
        <v>29116</v>
      </c>
      <c r="AA145">
        <v>35220</v>
      </c>
      <c r="AB145">
        <v>34829</v>
      </c>
      <c r="AC145">
        <v>44308</v>
      </c>
      <c r="AD145">
        <v>51232</v>
      </c>
      <c r="AE145">
        <v>47588</v>
      </c>
      <c r="AF145">
        <v>46812</v>
      </c>
      <c r="AG145">
        <v>55446</v>
      </c>
      <c r="AH145">
        <v>58926</v>
      </c>
      <c r="AI145">
        <v>46635</v>
      </c>
      <c r="AJ145">
        <v>35152</v>
      </c>
      <c r="AK145">
        <v>43034</v>
      </c>
      <c r="AL145">
        <v>46510</v>
      </c>
      <c r="AM145">
        <v>45491</v>
      </c>
      <c r="AN145">
        <v>46050</v>
      </c>
      <c r="AO145">
        <v>51789</v>
      </c>
      <c r="AP145">
        <v>70395</v>
      </c>
      <c r="AQ145">
        <v>68834</v>
      </c>
      <c r="AR145">
        <v>88353</v>
      </c>
      <c r="AS145">
        <v>126973</v>
      </c>
      <c r="AT145">
        <v>153337</v>
      </c>
      <c r="AU145">
        <v>272965</v>
      </c>
      <c r="AV145">
        <v>450367</v>
      </c>
      <c r="AW145">
        <v>481466</v>
      </c>
      <c r="AX145">
        <v>503097</v>
      </c>
      <c r="AY145">
        <v>591345</v>
      </c>
      <c r="AZ145">
        <v>603053</v>
      </c>
      <c r="BA145">
        <v>850744</v>
      </c>
      <c r="BB145">
        <v>1096342</v>
      </c>
      <c r="BC145">
        <v>1504644</v>
      </c>
      <c r="BD145">
        <v>1544320</v>
      </c>
      <c r="BE145">
        <v>2058275</v>
      </c>
      <c r="BF145">
        <v>2623994</v>
      </c>
      <c r="BG145">
        <v>3409315</v>
      </c>
      <c r="BH145">
        <v>4173531</v>
      </c>
      <c r="BI145">
        <v>5233194</v>
      </c>
      <c r="BJ145">
        <v>5119386</v>
      </c>
      <c r="BK145">
        <v>4689603</v>
      </c>
      <c r="BL145">
        <v>4118082</v>
      </c>
      <c r="BM145">
        <v>5362097</v>
      </c>
      <c r="BN145">
        <v>6194101</v>
      </c>
      <c r="BO145">
        <v>6864553</v>
      </c>
      <c r="BP145">
        <v>8059704</v>
      </c>
      <c r="BQ145">
        <v>8914408</v>
      </c>
      <c r="BR145">
        <v>5788401</v>
      </c>
      <c r="BS145">
        <v>7796729</v>
      </c>
      <c r="BT145">
        <v>9029849</v>
      </c>
      <c r="BU145">
        <v>8941397</v>
      </c>
      <c r="BV145">
        <v>10363508</v>
      </c>
      <c r="BW145">
        <v>12333012</v>
      </c>
      <c r="BX145">
        <v>13150628</v>
      </c>
      <c r="BY145">
        <v>12897215</v>
      </c>
      <c r="BZ145">
        <v>13615579</v>
      </c>
      <c r="CA145">
        <v>15898985</v>
      </c>
      <c r="CB145">
        <v>14669831</v>
      </c>
      <c r="CC145">
        <v>17659517</v>
      </c>
      <c r="CD145">
        <v>19562556</v>
      </c>
      <c r="CE145">
        <v>22208761</v>
      </c>
      <c r="CF145">
        <v>17333353</v>
      </c>
      <c r="CG145">
        <v>19599666</v>
      </c>
      <c r="CH145">
        <v>21684710</v>
      </c>
    </row>
    <row r="146" spans="1:86">
      <c r="A146" t="s">
        <v>800</v>
      </c>
      <c r="B146" t="s">
        <v>88</v>
      </c>
      <c r="C146">
        <v>1000000</v>
      </c>
      <c r="D146" t="s">
        <v>89</v>
      </c>
      <c r="E146" t="s">
        <v>972</v>
      </c>
      <c r="F146" s="10" t="s">
        <v>973</v>
      </c>
      <c r="G146">
        <v>700</v>
      </c>
      <c r="H146">
        <v>613</v>
      </c>
      <c r="I146">
        <v>583</v>
      </c>
      <c r="J146">
        <v>604</v>
      </c>
      <c r="K146">
        <v>599</v>
      </c>
      <c r="L146">
        <v>606</v>
      </c>
      <c r="M146">
        <v>649</v>
      </c>
      <c r="N146">
        <v>698</v>
      </c>
      <c r="O146">
        <v>758</v>
      </c>
      <c r="P146">
        <v>898</v>
      </c>
      <c r="Q146">
        <v>990</v>
      </c>
      <c r="R146">
        <v>1102</v>
      </c>
      <c r="S146">
        <v>1283</v>
      </c>
      <c r="T146">
        <v>1379</v>
      </c>
      <c r="U146">
        <v>1514</v>
      </c>
      <c r="V146">
        <v>1690</v>
      </c>
      <c r="W146">
        <v>1835</v>
      </c>
      <c r="X146">
        <v>1884</v>
      </c>
      <c r="Y146">
        <v>1902</v>
      </c>
      <c r="Z146">
        <v>1930</v>
      </c>
      <c r="AA146">
        <v>2029</v>
      </c>
      <c r="AB146">
        <v>2293</v>
      </c>
      <c r="AC146">
        <v>2371</v>
      </c>
      <c r="AD146">
        <v>2218</v>
      </c>
      <c r="AE146">
        <v>2426</v>
      </c>
      <c r="AF146">
        <v>2396</v>
      </c>
      <c r="AG146">
        <v>2490</v>
      </c>
      <c r="AH146">
        <v>2730</v>
      </c>
      <c r="AI146">
        <v>3276</v>
      </c>
      <c r="AJ146">
        <v>4018</v>
      </c>
      <c r="AK146">
        <v>4376</v>
      </c>
      <c r="AL146">
        <v>4857</v>
      </c>
      <c r="AM146">
        <v>5554</v>
      </c>
      <c r="AN146">
        <v>6777</v>
      </c>
      <c r="AO146">
        <v>8328</v>
      </c>
      <c r="AP146">
        <v>9010</v>
      </c>
      <c r="AQ146">
        <v>10391</v>
      </c>
      <c r="AR146">
        <v>11249</v>
      </c>
      <c r="AS146">
        <v>11453</v>
      </c>
      <c r="AT146">
        <v>12340</v>
      </c>
      <c r="AU146">
        <v>13141</v>
      </c>
      <c r="AV146">
        <v>13672</v>
      </c>
      <c r="AW146">
        <v>14966</v>
      </c>
      <c r="AX146">
        <v>16930</v>
      </c>
      <c r="AY146">
        <v>16335</v>
      </c>
      <c r="AZ146">
        <v>13679</v>
      </c>
      <c r="BA146">
        <v>12974</v>
      </c>
      <c r="BB146">
        <v>12802</v>
      </c>
      <c r="BC146">
        <v>14447</v>
      </c>
      <c r="BD146">
        <v>16273</v>
      </c>
      <c r="BE146">
        <v>18256</v>
      </c>
      <c r="BF146">
        <v>19706</v>
      </c>
      <c r="BG146">
        <v>21468</v>
      </c>
      <c r="BH146">
        <v>25521</v>
      </c>
      <c r="BI146">
        <v>31583</v>
      </c>
      <c r="BJ146">
        <v>33812</v>
      </c>
      <c r="BK146">
        <v>37088</v>
      </c>
      <c r="BL146">
        <v>39080</v>
      </c>
      <c r="BM146">
        <v>42283</v>
      </c>
      <c r="BN146">
        <v>44788</v>
      </c>
      <c r="BO146">
        <v>46697</v>
      </c>
      <c r="BP146">
        <v>46878</v>
      </c>
      <c r="BQ146">
        <v>55971</v>
      </c>
      <c r="BR146">
        <v>51767</v>
      </c>
      <c r="BS146">
        <v>51767</v>
      </c>
      <c r="BT146">
        <v>49021</v>
      </c>
      <c r="BU146">
        <v>43079</v>
      </c>
      <c r="BV146">
        <v>41249</v>
      </c>
      <c r="BW146">
        <v>41723</v>
      </c>
      <c r="BX146">
        <v>42933</v>
      </c>
      <c r="BY146">
        <v>44202</v>
      </c>
      <c r="BZ146">
        <v>46948</v>
      </c>
      <c r="CA146">
        <v>51148</v>
      </c>
      <c r="CB146">
        <v>52232</v>
      </c>
      <c r="CC146">
        <v>48565</v>
      </c>
      <c r="CD146">
        <v>41772</v>
      </c>
      <c r="CE146">
        <v>40869</v>
      </c>
      <c r="CF146">
        <v>60826</v>
      </c>
      <c r="CG146">
        <v>64898</v>
      </c>
      <c r="CH146">
        <v>64144</v>
      </c>
    </row>
    <row r="147" spans="1:86">
      <c r="A147" t="s">
        <v>803</v>
      </c>
      <c r="B147" t="s">
        <v>88</v>
      </c>
      <c r="C147">
        <v>1000000</v>
      </c>
      <c r="D147" t="s">
        <v>89</v>
      </c>
      <c r="E147" t="s">
        <v>974</v>
      </c>
      <c r="F147" s="10" t="s">
        <v>975</v>
      </c>
      <c r="G147">
        <v>762</v>
      </c>
      <c r="H147">
        <v>767</v>
      </c>
      <c r="I147">
        <v>775</v>
      </c>
      <c r="J147">
        <v>778</v>
      </c>
      <c r="K147">
        <v>786</v>
      </c>
      <c r="L147">
        <v>786</v>
      </c>
      <c r="M147">
        <v>791</v>
      </c>
      <c r="N147">
        <v>837</v>
      </c>
      <c r="O147">
        <v>868</v>
      </c>
      <c r="P147">
        <v>979</v>
      </c>
      <c r="Q147">
        <v>1072</v>
      </c>
      <c r="R147">
        <v>1091</v>
      </c>
      <c r="S147">
        <v>1079</v>
      </c>
      <c r="T147">
        <v>1175</v>
      </c>
      <c r="U147">
        <v>1222</v>
      </c>
      <c r="V147">
        <v>1276</v>
      </c>
      <c r="W147">
        <v>1435</v>
      </c>
      <c r="X147">
        <v>1364</v>
      </c>
      <c r="Y147">
        <v>1437</v>
      </c>
      <c r="Z147">
        <v>1535</v>
      </c>
      <c r="AA147">
        <v>1515</v>
      </c>
      <c r="AB147">
        <v>1432</v>
      </c>
      <c r="AC147">
        <v>1506</v>
      </c>
      <c r="AD147">
        <v>1574</v>
      </c>
      <c r="AE147">
        <v>1459</v>
      </c>
      <c r="AF147">
        <v>1478</v>
      </c>
      <c r="AG147">
        <v>1697</v>
      </c>
      <c r="AH147">
        <v>1959</v>
      </c>
      <c r="AI147">
        <v>2239</v>
      </c>
      <c r="AJ147">
        <v>2160</v>
      </c>
      <c r="AK147">
        <v>2501</v>
      </c>
      <c r="AL147">
        <v>3129</v>
      </c>
      <c r="AM147">
        <v>3607</v>
      </c>
      <c r="AN147">
        <v>4151</v>
      </c>
      <c r="AO147">
        <v>6012</v>
      </c>
      <c r="AP147">
        <v>9545</v>
      </c>
      <c r="AQ147">
        <v>11704</v>
      </c>
      <c r="AR147">
        <v>9602</v>
      </c>
      <c r="AS147">
        <v>12033</v>
      </c>
      <c r="AT147">
        <v>14395</v>
      </c>
      <c r="AU147">
        <v>19708</v>
      </c>
      <c r="AV147">
        <v>13758</v>
      </c>
      <c r="AW147">
        <v>3702</v>
      </c>
      <c r="AX147">
        <v>-9765</v>
      </c>
      <c r="AY147">
        <v>-1182</v>
      </c>
      <c r="AZ147">
        <v>-20935</v>
      </c>
      <c r="BA147">
        <v>20714</v>
      </c>
      <c r="BB147">
        <v>16900</v>
      </c>
      <c r="BC147">
        <v>47666</v>
      </c>
      <c r="BD147">
        <v>15622</v>
      </c>
      <c r="BE147">
        <v>55875</v>
      </c>
      <c r="BF147">
        <v>88387</v>
      </c>
      <c r="BG147">
        <v>174887</v>
      </c>
      <c r="BH147">
        <v>279253</v>
      </c>
      <c r="BI147">
        <v>428583</v>
      </c>
      <c r="BJ147">
        <v>394574</v>
      </c>
      <c r="BK147">
        <v>340017</v>
      </c>
      <c r="BL147">
        <v>255320</v>
      </c>
      <c r="BM147">
        <v>352706</v>
      </c>
      <c r="BN147">
        <v>430336</v>
      </c>
      <c r="BO147">
        <v>434508</v>
      </c>
      <c r="BP147">
        <v>546334</v>
      </c>
      <c r="BQ147">
        <v>465476</v>
      </c>
      <c r="BR147">
        <v>256300</v>
      </c>
      <c r="BS147">
        <v>388342</v>
      </c>
      <c r="BT147">
        <v>498987</v>
      </c>
      <c r="BU147">
        <v>543230</v>
      </c>
      <c r="BV147">
        <v>613048</v>
      </c>
      <c r="BW147">
        <v>730292</v>
      </c>
      <c r="BX147">
        <v>803176</v>
      </c>
      <c r="BY147">
        <v>817418</v>
      </c>
      <c r="BZ147">
        <v>794399</v>
      </c>
      <c r="CA147">
        <v>937235</v>
      </c>
      <c r="CB147">
        <v>852703</v>
      </c>
      <c r="CC147">
        <v>1184678</v>
      </c>
      <c r="CD147">
        <v>1446266</v>
      </c>
      <c r="CE147">
        <v>1745145</v>
      </c>
      <c r="CF147">
        <v>1212202</v>
      </c>
      <c r="CG147">
        <v>1493320</v>
      </c>
      <c r="CH147">
        <v>1826882</v>
      </c>
    </row>
    <row r="148" spans="1:86">
      <c r="A148" t="s">
        <v>806</v>
      </c>
      <c r="B148" t="s">
        <v>88</v>
      </c>
      <c r="C148">
        <v>1000000</v>
      </c>
      <c r="D148" t="s">
        <v>89</v>
      </c>
      <c r="E148" t="s">
        <v>976</v>
      </c>
      <c r="F148" s="10" t="s">
        <v>977</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950</v>
      </c>
      <c r="AJ148">
        <v>1706</v>
      </c>
      <c r="AK148">
        <v>2135</v>
      </c>
      <c r="AL148">
        <v>1943</v>
      </c>
      <c r="AM148">
        <v>1711</v>
      </c>
      <c r="AN148">
        <v>1973</v>
      </c>
      <c r="AO148">
        <v>2694</v>
      </c>
      <c r="AP148">
        <v>2172</v>
      </c>
      <c r="AQ148">
        <v>2191</v>
      </c>
      <c r="AR148">
        <v>2994</v>
      </c>
      <c r="AS148">
        <v>3642</v>
      </c>
      <c r="AT148">
        <v>3966</v>
      </c>
      <c r="AU148">
        <v>4718</v>
      </c>
      <c r="AV148">
        <v>6398</v>
      </c>
      <c r="AW148">
        <v>5877</v>
      </c>
      <c r="AX148">
        <v>6578</v>
      </c>
      <c r="AY148">
        <v>5788</v>
      </c>
      <c r="AZ148">
        <v>4524</v>
      </c>
      <c r="BA148">
        <v>5680</v>
      </c>
      <c r="BB148">
        <v>5889</v>
      </c>
      <c r="BC148">
        <v>6966</v>
      </c>
      <c r="BD148">
        <v>5868</v>
      </c>
      <c r="BE148">
        <v>7005</v>
      </c>
      <c r="BF148">
        <v>7837</v>
      </c>
      <c r="BG148">
        <v>10911</v>
      </c>
      <c r="BH148">
        <v>11257</v>
      </c>
      <c r="BI148">
        <v>13774</v>
      </c>
      <c r="BJ148">
        <v>14609</v>
      </c>
      <c r="BK148">
        <v>19232</v>
      </c>
      <c r="BL148">
        <v>18595</v>
      </c>
      <c r="BM148">
        <v>19076</v>
      </c>
      <c r="BN148">
        <v>18810</v>
      </c>
      <c r="BO148">
        <v>18965</v>
      </c>
      <c r="BP148">
        <v>16977</v>
      </c>
      <c r="BQ148">
        <v>22230</v>
      </c>
      <c r="BR148">
        <v>21785</v>
      </c>
      <c r="BS148">
        <v>23035</v>
      </c>
      <c r="BT148">
        <v>29197</v>
      </c>
      <c r="BU148">
        <v>27446</v>
      </c>
      <c r="BV148">
        <v>37886</v>
      </c>
      <c r="BW148">
        <v>40794</v>
      </c>
      <c r="BX148">
        <v>45121</v>
      </c>
      <c r="BY148">
        <v>50404</v>
      </c>
      <c r="BZ148">
        <v>67741</v>
      </c>
      <c r="CA148">
        <v>68693</v>
      </c>
      <c r="CB148">
        <v>78230</v>
      </c>
      <c r="CC148">
        <v>83475</v>
      </c>
      <c r="CD148">
        <v>90334</v>
      </c>
      <c r="CE148">
        <v>106104</v>
      </c>
      <c r="CF148">
        <v>109761</v>
      </c>
      <c r="CG148">
        <v>123829</v>
      </c>
      <c r="CH148">
        <v>140600</v>
      </c>
    </row>
    <row r="149" spans="1:86">
      <c r="A149" t="s">
        <v>809</v>
      </c>
      <c r="B149" t="s">
        <v>88</v>
      </c>
      <c r="C149">
        <v>1000000</v>
      </c>
      <c r="D149" t="s">
        <v>89</v>
      </c>
      <c r="E149" t="s">
        <v>978</v>
      </c>
      <c r="F149" s="10" t="s">
        <v>979</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3600</v>
      </c>
      <c r="AF149">
        <v>9000</v>
      </c>
      <c r="AG149">
        <v>13500</v>
      </c>
      <c r="AH149">
        <v>18900</v>
      </c>
      <c r="AI149">
        <v>22303</v>
      </c>
      <c r="AJ149">
        <v>28290</v>
      </c>
      <c r="AK149">
        <v>36020</v>
      </c>
      <c r="AL149">
        <v>41035</v>
      </c>
      <c r="AM149">
        <v>47213</v>
      </c>
      <c r="AN149">
        <v>52803</v>
      </c>
      <c r="AO149">
        <v>58986</v>
      </c>
      <c r="AP149">
        <v>77500</v>
      </c>
      <c r="AQ149">
        <v>94163</v>
      </c>
      <c r="AR149">
        <v>114933</v>
      </c>
      <c r="AS149">
        <v>131646</v>
      </c>
      <c r="AT149">
        <v>151799</v>
      </c>
      <c r="AU149">
        <v>179973</v>
      </c>
      <c r="AV149">
        <v>230256</v>
      </c>
      <c r="AW149">
        <v>241051</v>
      </c>
      <c r="AX149">
        <v>277575</v>
      </c>
      <c r="AY149">
        <v>288661</v>
      </c>
      <c r="AZ149">
        <v>299724</v>
      </c>
      <c r="BA149">
        <v>320514</v>
      </c>
      <c r="BB149">
        <v>374451</v>
      </c>
      <c r="BC149">
        <v>423847</v>
      </c>
      <c r="BD149">
        <v>457883</v>
      </c>
      <c r="BE149">
        <v>520441</v>
      </c>
      <c r="BF149">
        <v>615301</v>
      </c>
      <c r="BG149">
        <v>707201</v>
      </c>
      <c r="BH149">
        <v>828429</v>
      </c>
      <c r="BI149">
        <v>926563</v>
      </c>
      <c r="BJ149">
        <v>1047156</v>
      </c>
      <c r="BK149">
        <v>1113004</v>
      </c>
      <c r="BL149">
        <v>1216229</v>
      </c>
      <c r="BM149">
        <v>1298576</v>
      </c>
      <c r="BN149">
        <v>1561390</v>
      </c>
      <c r="BO149">
        <v>1711332</v>
      </c>
      <c r="BP149">
        <v>1886879</v>
      </c>
      <c r="BQ149">
        <v>2083767</v>
      </c>
      <c r="BR149">
        <v>2115488</v>
      </c>
      <c r="BS149">
        <v>1769531</v>
      </c>
      <c r="BT149">
        <v>1763200</v>
      </c>
      <c r="BU149">
        <v>1834753</v>
      </c>
      <c r="BV149">
        <v>2301267</v>
      </c>
      <c r="BW149">
        <v>2375859</v>
      </c>
      <c r="BX149">
        <v>2352144</v>
      </c>
      <c r="BY149">
        <v>2227759</v>
      </c>
      <c r="BZ149">
        <v>2277036</v>
      </c>
      <c r="CA149">
        <v>2232491</v>
      </c>
      <c r="CB149">
        <v>2378749</v>
      </c>
      <c r="CC149">
        <v>2402683</v>
      </c>
      <c r="CD149">
        <v>2458874</v>
      </c>
      <c r="CE149">
        <v>2563102</v>
      </c>
      <c r="CF149">
        <v>2566540</v>
      </c>
      <c r="CG149">
        <v>2599197</v>
      </c>
      <c r="CH149">
        <v>2662883</v>
      </c>
    </row>
    <row r="150" spans="1:86">
      <c r="A150" t="s">
        <v>812</v>
      </c>
      <c r="B150" t="s">
        <v>88</v>
      </c>
      <c r="C150">
        <v>1000000</v>
      </c>
      <c r="D150" t="s">
        <v>89</v>
      </c>
      <c r="E150" t="s">
        <v>980</v>
      </c>
      <c r="F150" s="10" t="s">
        <v>981</v>
      </c>
      <c r="G150">
        <v>177</v>
      </c>
      <c r="H150">
        <v>187</v>
      </c>
      <c r="I150">
        <v>196</v>
      </c>
      <c r="J150">
        <v>201</v>
      </c>
      <c r="K150">
        <v>211</v>
      </c>
      <c r="L150">
        <v>225</v>
      </c>
      <c r="M150">
        <v>237</v>
      </c>
      <c r="N150">
        <v>253</v>
      </c>
      <c r="O150">
        <v>265</v>
      </c>
      <c r="P150">
        <v>288</v>
      </c>
      <c r="Q150">
        <v>303</v>
      </c>
      <c r="R150">
        <v>326</v>
      </c>
      <c r="S150">
        <v>345</v>
      </c>
      <c r="T150">
        <v>363</v>
      </c>
      <c r="U150">
        <v>387</v>
      </c>
      <c r="V150">
        <v>409</v>
      </c>
      <c r="W150">
        <v>445</v>
      </c>
      <c r="X150">
        <v>467</v>
      </c>
      <c r="Y150">
        <v>497</v>
      </c>
      <c r="Z150">
        <v>524</v>
      </c>
      <c r="AA150">
        <v>551</v>
      </c>
      <c r="AB150">
        <v>570</v>
      </c>
      <c r="AC150">
        <v>598</v>
      </c>
      <c r="AD150">
        <v>630</v>
      </c>
      <c r="AE150">
        <v>669</v>
      </c>
      <c r="AF150">
        <v>702</v>
      </c>
      <c r="AG150">
        <v>742</v>
      </c>
      <c r="AH150">
        <v>793</v>
      </c>
      <c r="AI150">
        <v>844</v>
      </c>
      <c r="AJ150">
        <v>897</v>
      </c>
      <c r="AK150">
        <v>929</v>
      </c>
      <c r="AL150">
        <v>983</v>
      </c>
      <c r="AM150">
        <v>1029</v>
      </c>
      <c r="AN150">
        <v>1078</v>
      </c>
      <c r="AO150">
        <v>1145</v>
      </c>
      <c r="AP150">
        <v>1203</v>
      </c>
      <c r="AQ150">
        <v>1278</v>
      </c>
      <c r="AR150">
        <v>1359</v>
      </c>
      <c r="AS150">
        <v>1465</v>
      </c>
      <c r="AT150">
        <v>1626</v>
      </c>
      <c r="AU150">
        <v>1781</v>
      </c>
      <c r="AV150">
        <v>1874</v>
      </c>
      <c r="AW150">
        <v>2047</v>
      </c>
      <c r="AX150">
        <v>2113</v>
      </c>
      <c r="AY150">
        <v>2243</v>
      </c>
      <c r="AZ150">
        <v>2423</v>
      </c>
      <c r="BA150">
        <v>2652</v>
      </c>
      <c r="BB150">
        <v>3054</v>
      </c>
      <c r="BC150">
        <v>3401</v>
      </c>
      <c r="BD150">
        <v>3683</v>
      </c>
      <c r="BE150">
        <v>3966</v>
      </c>
      <c r="BF150">
        <v>4602</v>
      </c>
      <c r="BG150">
        <v>5433</v>
      </c>
      <c r="BH150">
        <v>5952</v>
      </c>
      <c r="BI150">
        <v>6432</v>
      </c>
      <c r="BJ150">
        <v>6997</v>
      </c>
      <c r="BK150">
        <v>7373</v>
      </c>
      <c r="BL150">
        <v>8380</v>
      </c>
      <c r="BM150">
        <v>8847</v>
      </c>
      <c r="BN150">
        <v>11914</v>
      </c>
      <c r="BO150">
        <v>13536</v>
      </c>
      <c r="BP150">
        <v>15325</v>
      </c>
      <c r="BQ150">
        <v>18450</v>
      </c>
      <c r="BR150">
        <v>21076</v>
      </c>
      <c r="BS150">
        <v>25640</v>
      </c>
      <c r="BT150">
        <v>26524</v>
      </c>
      <c r="BU150">
        <v>26899</v>
      </c>
      <c r="BV150">
        <v>27360</v>
      </c>
      <c r="BW150">
        <v>27507</v>
      </c>
      <c r="BX150">
        <v>28572</v>
      </c>
      <c r="BY150">
        <v>29451</v>
      </c>
      <c r="BZ150">
        <v>30443</v>
      </c>
      <c r="CA150">
        <v>31389</v>
      </c>
      <c r="CB150">
        <v>32335</v>
      </c>
      <c r="CC150">
        <v>31698</v>
      </c>
      <c r="CD150">
        <v>33876</v>
      </c>
      <c r="CE150">
        <v>33877</v>
      </c>
      <c r="CF150">
        <v>35014</v>
      </c>
      <c r="CG150">
        <v>36065</v>
      </c>
      <c r="CH150">
        <v>37182</v>
      </c>
    </row>
    <row r="151" spans="1:86">
      <c r="A151" t="s">
        <v>815</v>
      </c>
      <c r="B151" t="s">
        <v>88</v>
      </c>
      <c r="C151">
        <v>1000000</v>
      </c>
      <c r="D151" t="s">
        <v>89</v>
      </c>
      <c r="E151" t="s">
        <v>982</v>
      </c>
      <c r="F151" s="10" t="s">
        <v>983</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112500</v>
      </c>
      <c r="CE151">
        <v>21258</v>
      </c>
      <c r="CF151">
        <v>15400</v>
      </c>
      <c r="CG151">
        <v>7400</v>
      </c>
      <c r="CH151">
        <v>3461</v>
      </c>
    </row>
    <row r="152" spans="1:86">
      <c r="A152" t="s">
        <v>818</v>
      </c>
      <c r="B152" t="s">
        <v>88</v>
      </c>
      <c r="C152">
        <v>1000000</v>
      </c>
      <c r="D152" t="s">
        <v>89</v>
      </c>
      <c r="E152" t="s">
        <v>984</v>
      </c>
      <c r="F152" s="10" t="s">
        <v>985</v>
      </c>
      <c r="G152">
        <v>102105</v>
      </c>
      <c r="H152">
        <v>113881</v>
      </c>
      <c r="I152">
        <v>125924</v>
      </c>
      <c r="J152">
        <v>138024</v>
      </c>
      <c r="K152">
        <v>150502</v>
      </c>
      <c r="L152">
        <v>163045</v>
      </c>
      <c r="M152">
        <v>181014</v>
      </c>
      <c r="N152">
        <v>202583</v>
      </c>
      <c r="O152">
        <v>223933</v>
      </c>
      <c r="P152">
        <v>244959</v>
      </c>
      <c r="Q152">
        <v>267523</v>
      </c>
      <c r="R152">
        <v>291384</v>
      </c>
      <c r="S152">
        <v>326108</v>
      </c>
      <c r="T152">
        <v>353915</v>
      </c>
      <c r="U152">
        <v>379751</v>
      </c>
      <c r="V152">
        <v>409214</v>
      </c>
      <c r="W152">
        <v>438733</v>
      </c>
      <c r="X152">
        <v>458495</v>
      </c>
      <c r="Y152">
        <v>489292</v>
      </c>
      <c r="Z152">
        <v>524867</v>
      </c>
      <c r="AA152">
        <v>565896</v>
      </c>
      <c r="AB152">
        <v>612866</v>
      </c>
      <c r="AC152">
        <v>665452</v>
      </c>
      <c r="AD152">
        <v>729999</v>
      </c>
      <c r="AE152">
        <v>801737</v>
      </c>
      <c r="AF152">
        <v>889067</v>
      </c>
      <c r="AG152">
        <v>989156</v>
      </c>
      <c r="AH152">
        <v>1108016</v>
      </c>
      <c r="AI152">
        <v>1179996</v>
      </c>
      <c r="AJ152">
        <v>1284519</v>
      </c>
      <c r="AK152">
        <v>1422364</v>
      </c>
      <c r="AL152">
        <v>1530374</v>
      </c>
      <c r="AM152">
        <v>1668770</v>
      </c>
      <c r="AN152">
        <v>1836333</v>
      </c>
      <c r="AO152">
        <v>2026959</v>
      </c>
      <c r="AP152">
        <v>2251974</v>
      </c>
      <c r="AQ152">
        <v>2475912</v>
      </c>
      <c r="AR152">
        <v>2744429</v>
      </c>
      <c r="AS152">
        <v>3051623</v>
      </c>
      <c r="AT152">
        <v>3357053</v>
      </c>
      <c r="AU152">
        <v>3828393</v>
      </c>
      <c r="AV152">
        <v>4218671</v>
      </c>
      <c r="AW152">
        <v>4640653</v>
      </c>
      <c r="AX152">
        <v>5034340</v>
      </c>
      <c r="AY152">
        <v>5608986</v>
      </c>
      <c r="AZ152">
        <v>6032832</v>
      </c>
      <c r="BA152">
        <v>6585314</v>
      </c>
      <c r="BB152">
        <v>7207738</v>
      </c>
      <c r="BC152">
        <v>7754148</v>
      </c>
      <c r="BD152">
        <v>8208652</v>
      </c>
      <c r="BE152">
        <v>8983583</v>
      </c>
      <c r="BF152">
        <v>9772266</v>
      </c>
      <c r="BG152">
        <v>10641583</v>
      </c>
      <c r="BH152">
        <v>11614545</v>
      </c>
      <c r="BI152">
        <v>12856627</v>
      </c>
      <c r="BJ152">
        <v>13238011</v>
      </c>
      <c r="BK152">
        <v>13567761</v>
      </c>
      <c r="BL152">
        <v>13800844</v>
      </c>
      <c r="BM152">
        <v>15130989</v>
      </c>
      <c r="BN152">
        <v>16459128</v>
      </c>
      <c r="BO152">
        <v>17545287</v>
      </c>
      <c r="BP152">
        <v>18711700</v>
      </c>
      <c r="BQ152">
        <v>19727846</v>
      </c>
      <c r="BR152">
        <v>18729072</v>
      </c>
      <c r="BS152">
        <v>20166332</v>
      </c>
      <c r="BT152">
        <v>21835241</v>
      </c>
      <c r="BU152">
        <v>22462679</v>
      </c>
      <c r="BV152">
        <v>23597403</v>
      </c>
      <c r="BW152">
        <v>26274285</v>
      </c>
      <c r="BX152">
        <v>27226922</v>
      </c>
      <c r="BY152">
        <v>27637311</v>
      </c>
      <c r="BZ152">
        <v>28735209</v>
      </c>
      <c r="CA152">
        <v>30557898</v>
      </c>
      <c r="CB152">
        <v>30565654</v>
      </c>
      <c r="CC152">
        <v>32987051</v>
      </c>
      <c r="CD152">
        <v>34970905</v>
      </c>
      <c r="CE152">
        <v>37123743</v>
      </c>
      <c r="CF152">
        <v>33921524</v>
      </c>
      <c r="CG152">
        <v>36461276</v>
      </c>
      <c r="CH152">
        <v>38744571</v>
      </c>
    </row>
    <row r="153" spans="1:86">
      <c r="A153" t="s">
        <v>821</v>
      </c>
      <c r="B153" t="s">
        <v>88</v>
      </c>
      <c r="C153">
        <v>1000000</v>
      </c>
      <c r="D153" t="s">
        <v>89</v>
      </c>
      <c r="E153" t="s">
        <v>986</v>
      </c>
      <c r="F153" s="10" t="s">
        <v>987</v>
      </c>
      <c r="G153">
        <v>4684</v>
      </c>
      <c r="H153">
        <v>5041</v>
      </c>
      <c r="I153">
        <v>5953</v>
      </c>
      <c r="J153">
        <v>6620</v>
      </c>
      <c r="K153">
        <v>7706</v>
      </c>
      <c r="L153">
        <v>9323</v>
      </c>
      <c r="M153">
        <v>9750</v>
      </c>
      <c r="N153">
        <v>10574</v>
      </c>
      <c r="O153">
        <v>11909</v>
      </c>
      <c r="P153">
        <v>12867</v>
      </c>
      <c r="Q153">
        <v>17080</v>
      </c>
      <c r="R153">
        <v>17028</v>
      </c>
      <c r="S153">
        <v>18032</v>
      </c>
      <c r="T153">
        <v>19768</v>
      </c>
      <c r="U153">
        <v>20985</v>
      </c>
      <c r="V153">
        <v>20636</v>
      </c>
      <c r="W153">
        <v>21626</v>
      </c>
      <c r="X153">
        <v>25129</v>
      </c>
      <c r="Y153">
        <v>30217</v>
      </c>
      <c r="Z153">
        <v>33727</v>
      </c>
      <c r="AA153">
        <v>37965</v>
      </c>
      <c r="AB153">
        <v>37534</v>
      </c>
      <c r="AC153">
        <v>38733</v>
      </c>
      <c r="AD153">
        <v>47129</v>
      </c>
      <c r="AE153">
        <v>61360</v>
      </c>
      <c r="AF153">
        <v>57903</v>
      </c>
      <c r="AG153">
        <v>62816</v>
      </c>
      <c r="AH153">
        <v>74322</v>
      </c>
      <c r="AI153">
        <v>97884</v>
      </c>
      <c r="AJ153">
        <v>89500</v>
      </c>
      <c r="AK153">
        <v>103878</v>
      </c>
      <c r="AL153">
        <v>114015</v>
      </c>
      <c r="AM153">
        <v>146325</v>
      </c>
      <c r="AN153">
        <v>205926</v>
      </c>
      <c r="AO153">
        <v>238014</v>
      </c>
      <c r="AP153">
        <v>269588</v>
      </c>
      <c r="AQ153">
        <v>278790</v>
      </c>
      <c r="AR153">
        <v>283065</v>
      </c>
      <c r="AS153">
        <v>382753</v>
      </c>
      <c r="AT153">
        <v>446680</v>
      </c>
      <c r="AU153">
        <v>588697</v>
      </c>
      <c r="AV153">
        <v>625975</v>
      </c>
      <c r="AW153">
        <v>742667</v>
      </c>
      <c r="AX153">
        <v>887938</v>
      </c>
      <c r="AY153">
        <v>886026</v>
      </c>
      <c r="AZ153">
        <v>891281</v>
      </c>
      <c r="BA153">
        <v>921416</v>
      </c>
      <c r="BB153">
        <v>999424</v>
      </c>
      <c r="BC153">
        <v>1090520</v>
      </c>
      <c r="BD153">
        <v>1328857</v>
      </c>
      <c r="BE153">
        <v>1474846</v>
      </c>
      <c r="BF153">
        <v>1644859</v>
      </c>
      <c r="BG153">
        <v>1929146</v>
      </c>
      <c r="BH153">
        <v>2010127</v>
      </c>
      <c r="BI153">
        <v>2391250</v>
      </c>
      <c r="BJ153">
        <v>2845527</v>
      </c>
      <c r="BK153">
        <v>3181295</v>
      </c>
      <c r="BL153">
        <v>3252572</v>
      </c>
      <c r="BM153">
        <v>3940097</v>
      </c>
      <c r="BN153">
        <v>4705155</v>
      </c>
      <c r="BO153">
        <v>4818495</v>
      </c>
      <c r="BP153">
        <v>5254974</v>
      </c>
      <c r="BQ153">
        <v>5393957</v>
      </c>
      <c r="BR153">
        <v>3997080</v>
      </c>
      <c r="BS153">
        <v>4144669</v>
      </c>
      <c r="BT153">
        <v>3635833</v>
      </c>
      <c r="BU153">
        <v>3453347</v>
      </c>
      <c r="BV153">
        <v>3912647</v>
      </c>
      <c r="BW153">
        <v>3792787</v>
      </c>
      <c r="BX153">
        <v>3947828</v>
      </c>
      <c r="BY153">
        <v>3363760</v>
      </c>
      <c r="BZ153">
        <v>3590044</v>
      </c>
      <c r="CA153">
        <v>3715682</v>
      </c>
      <c r="CB153">
        <v>3635322</v>
      </c>
      <c r="CC153">
        <v>3866682</v>
      </c>
      <c r="CD153">
        <v>4229289</v>
      </c>
      <c r="CE153">
        <v>5113903</v>
      </c>
      <c r="CF153">
        <v>5284170</v>
      </c>
      <c r="CG153">
        <v>6089210</v>
      </c>
      <c r="CH153">
        <v>6211160</v>
      </c>
    </row>
    <row r="154" spans="1:86">
      <c r="A154" t="s">
        <v>885</v>
      </c>
      <c r="B154" t="s">
        <v>88</v>
      </c>
      <c r="C154">
        <v>1000000</v>
      </c>
      <c r="D154" t="s">
        <v>89</v>
      </c>
      <c r="E154" t="s">
        <v>988</v>
      </c>
      <c r="F154" s="10" t="s">
        <v>989</v>
      </c>
      <c r="G154">
        <v>-23947</v>
      </c>
      <c r="H154">
        <v>-21273</v>
      </c>
      <c r="I154">
        <v>-19141</v>
      </c>
      <c r="J154">
        <v>-17631</v>
      </c>
      <c r="K154">
        <v>-16919</v>
      </c>
      <c r="L154">
        <v>-13886</v>
      </c>
      <c r="M154">
        <v>-11737</v>
      </c>
      <c r="N154">
        <v>-9543</v>
      </c>
      <c r="O154">
        <v>-7729</v>
      </c>
      <c r="P154">
        <v>-3352</v>
      </c>
      <c r="Q154">
        <v>435</v>
      </c>
      <c r="R154">
        <v>3872</v>
      </c>
      <c r="S154">
        <v>5200</v>
      </c>
      <c r="T154">
        <v>9402</v>
      </c>
      <c r="U154">
        <v>11878</v>
      </c>
      <c r="V154">
        <v>16317</v>
      </c>
      <c r="W154">
        <v>1147</v>
      </c>
      <c r="X154">
        <v>7924</v>
      </c>
      <c r="Y154">
        <v>512</v>
      </c>
      <c r="Z154">
        <v>-1399</v>
      </c>
      <c r="AA154">
        <v>-5870</v>
      </c>
      <c r="AB154">
        <v>-4348</v>
      </c>
      <c r="AC154">
        <v>3277</v>
      </c>
      <c r="AD154">
        <v>-21664</v>
      </c>
      <c r="AE154">
        <v>-114</v>
      </c>
      <c r="AF154">
        <v>12665</v>
      </c>
      <c r="AG154">
        <v>7637</v>
      </c>
      <c r="AH154">
        <v>9825</v>
      </c>
      <c r="AI154">
        <v>72842</v>
      </c>
      <c r="AJ154">
        <v>134888</v>
      </c>
      <c r="AK154">
        <v>146656</v>
      </c>
      <c r="AL154">
        <v>154774</v>
      </c>
      <c r="AM154">
        <v>185254</v>
      </c>
      <c r="AN154">
        <v>218063</v>
      </c>
      <c r="AO154">
        <v>250360</v>
      </c>
      <c r="AP154">
        <v>283825</v>
      </c>
      <c r="AQ154">
        <v>293953</v>
      </c>
      <c r="AR154">
        <v>324947</v>
      </c>
      <c r="AS154">
        <v>294997</v>
      </c>
      <c r="AT154">
        <v>332551</v>
      </c>
      <c r="AU154">
        <v>273165</v>
      </c>
      <c r="AV154">
        <v>269209</v>
      </c>
      <c r="AW154">
        <v>383455</v>
      </c>
      <c r="AX154">
        <v>423232</v>
      </c>
      <c r="AY154">
        <v>455655</v>
      </c>
      <c r="AZ154">
        <v>578119</v>
      </c>
      <c r="BA154">
        <v>437169</v>
      </c>
      <c r="BB154">
        <v>323143</v>
      </c>
      <c r="BC154">
        <v>323469</v>
      </c>
      <c r="BD154">
        <v>290411</v>
      </c>
      <c r="BE154">
        <v>-38439</v>
      </c>
      <c r="BF154">
        <v>-424501</v>
      </c>
      <c r="BG154">
        <v>-1045518</v>
      </c>
      <c r="BH154">
        <v>-1048221</v>
      </c>
      <c r="BI154">
        <v>-1231662</v>
      </c>
      <c r="BJ154">
        <v>-1514519</v>
      </c>
      <c r="BK154">
        <v>-1152510</v>
      </c>
      <c r="BL154">
        <v>-540615</v>
      </c>
      <c r="BM154">
        <v>-967754</v>
      </c>
      <c r="BN154">
        <v>-952355</v>
      </c>
      <c r="BO154">
        <v>-848467</v>
      </c>
      <c r="BP154">
        <v>-1186164</v>
      </c>
      <c r="BQ154">
        <v>-128077</v>
      </c>
      <c r="BR154">
        <v>1252315</v>
      </c>
      <c r="BS154">
        <v>1535338</v>
      </c>
      <c r="BT154">
        <v>1109561</v>
      </c>
      <c r="BU154">
        <v>1738618</v>
      </c>
      <c r="BV154">
        <v>1568043</v>
      </c>
      <c r="BW154">
        <v>123124</v>
      </c>
      <c r="BX154">
        <v>322955</v>
      </c>
      <c r="BY154">
        <v>441006</v>
      </c>
      <c r="BZ154">
        <v>60487</v>
      </c>
      <c r="CA154">
        <v>-492225</v>
      </c>
      <c r="CB154">
        <v>-61861</v>
      </c>
      <c r="CC154">
        <v>-330601</v>
      </c>
      <c r="CD154">
        <v>242214</v>
      </c>
      <c r="CE154">
        <v>-1805703</v>
      </c>
      <c r="CF154">
        <v>-2891764</v>
      </c>
      <c r="CG154">
        <v>-2828166</v>
      </c>
      <c r="CH154">
        <v>-4569236</v>
      </c>
    </row>
  </sheetData>
  <hyperlinks>
    <hyperlink ref="A1" r:id="rId1" display="https://www.federalreserve.gov//datadownload/Download.aspx?rel=Z1&amp;series=599c35753cc2c58a82cc0c7b2615772a&amp;filetype=spreadsheetml&amp;label=include&amp;layout=seriesrow&amp;from=01/01/1945&amp;to=12/31/2025" xr:uid="{60BDE840-504D-A945-B85B-39E3EC51072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0BECE-2267-174C-81E6-E95ECF2F2382}">
  <dimension ref="A1:CV70"/>
  <sheetViews>
    <sheetView workbookViewId="0">
      <selection activeCell="B37" sqref="B37"/>
    </sheetView>
  </sheetViews>
  <sheetFormatPr baseColWidth="10" defaultColWidth="8.5" defaultRowHeight="16"/>
  <cols>
    <col min="1" max="1" width="4.33203125" bestFit="1" customWidth="1" collapsed="1"/>
    <col min="2" max="2" width="54.5" bestFit="1" customWidth="1" collapsed="1"/>
    <col min="3" max="10" width="7.33203125" bestFit="1" customWidth="1" collapsed="1"/>
    <col min="11" max="11" width="7.5" bestFit="1" customWidth="1" collapsed="1"/>
    <col min="12" max="13" width="7.33203125" bestFit="1" customWidth="1" collapsed="1"/>
    <col min="14" max="14" width="7.5" bestFit="1" customWidth="1" collapsed="1"/>
    <col min="15" max="28" width="7.33203125" bestFit="1" customWidth="1" collapsed="1"/>
    <col min="29" max="45" width="8.33203125" bestFit="1" customWidth="1" collapsed="1"/>
    <col min="46" max="46" width="8.5" bestFit="1" collapsed="1"/>
    <col min="47" max="56" width="8.33203125" bestFit="1" customWidth="1" collapsed="1"/>
    <col min="57" max="66" width="8.5" bestFit="1" collapsed="1"/>
    <col min="67" max="67" width="8.33203125" bestFit="1" customWidth="1" collapsed="1"/>
    <col min="68" max="87" width="8.5" bestFit="1" collapsed="1"/>
    <col min="88" max="88" width="9.5" bestFit="1" customWidth="1" collapsed="1"/>
    <col min="89" max="90" width="9.6640625" bestFit="1" customWidth="1" collapsed="1"/>
    <col min="91" max="91" width="9.5" bestFit="1" customWidth="1" collapsed="1"/>
    <col min="92" max="92" width="9.6640625" bestFit="1" customWidth="1" collapsed="1"/>
    <col min="93" max="94" width="9.5" bestFit="1" customWidth="1" collapsed="1"/>
    <col min="95" max="95" width="9.6640625" bestFit="1" customWidth="1" collapsed="1"/>
    <col min="96" max="97" width="9.5" bestFit="1" customWidth="1" collapsed="1"/>
    <col min="98" max="98" width="9.6640625" bestFit="1" customWidth="1" collapsed="1"/>
    <col min="99" max="99" width="8.33203125" bestFit="1" customWidth="1" collapsed="1"/>
  </cols>
  <sheetData>
    <row r="1" spans="1:99" ht="19">
      <c r="A1" s="53" t="s">
        <v>990</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row>
    <row r="2" spans="1:99" ht="17">
      <c r="A2" s="54" t="s">
        <v>991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2"/>
      <c r="CS2" s="52"/>
      <c r="CT2" s="52"/>
      <c r="CU2" s="52"/>
    </row>
    <row r="3" spans="1:99">
      <c r="A3" s="52" t="s">
        <v>992</v>
      </c>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2"/>
      <c r="CS3" s="52"/>
      <c r="CT3" s="52"/>
      <c r="CU3" s="52"/>
    </row>
    <row r="4" spans="1:99">
      <c r="A4" s="52" t="s">
        <v>993</v>
      </c>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row>
    <row r="6" spans="1:99">
      <c r="A6" s="11" t="s">
        <v>994</v>
      </c>
      <c r="B6" s="11" t="s">
        <v>97</v>
      </c>
      <c r="C6" s="11" t="s">
        <v>995</v>
      </c>
      <c r="D6" s="11" t="s">
        <v>996</v>
      </c>
      <c r="E6" s="11" t="s">
        <v>997</v>
      </c>
      <c r="F6" s="11" t="s">
        <v>998</v>
      </c>
      <c r="G6" s="11" t="s">
        <v>999</v>
      </c>
      <c r="H6" s="11" t="s">
        <v>1000</v>
      </c>
      <c r="I6" s="11" t="s">
        <v>1001</v>
      </c>
      <c r="J6" s="11" t="s">
        <v>1002</v>
      </c>
      <c r="K6" s="11" t="s">
        <v>1003</v>
      </c>
      <c r="L6" s="11" t="s">
        <v>1004</v>
      </c>
      <c r="M6" s="11" t="s">
        <v>1005</v>
      </c>
      <c r="N6" s="11" t="s">
        <v>1006</v>
      </c>
      <c r="O6" s="11" t="s">
        <v>1007</v>
      </c>
      <c r="P6" s="11" t="s">
        <v>1008</v>
      </c>
      <c r="Q6" s="11" t="s">
        <v>1009</v>
      </c>
      <c r="R6" s="11" t="s">
        <v>1010</v>
      </c>
      <c r="S6" s="11" t="s">
        <v>7</v>
      </c>
      <c r="T6" s="11" t="s">
        <v>8</v>
      </c>
      <c r="U6" s="11" t="s">
        <v>9</v>
      </c>
      <c r="V6" s="11" t="s">
        <v>10</v>
      </c>
      <c r="W6" s="11" t="s">
        <v>11</v>
      </c>
      <c r="X6" s="11" t="s">
        <v>12</v>
      </c>
      <c r="Y6" s="11" t="s">
        <v>13</v>
      </c>
      <c r="Z6" s="11" t="s">
        <v>14</v>
      </c>
      <c r="AA6" s="11" t="s">
        <v>15</v>
      </c>
      <c r="AB6" s="11" t="s">
        <v>16</v>
      </c>
      <c r="AC6" s="11" t="s">
        <v>17</v>
      </c>
      <c r="AD6" s="11" t="s">
        <v>18</v>
      </c>
      <c r="AE6" s="11" t="s">
        <v>19</v>
      </c>
      <c r="AF6" s="11" t="s">
        <v>20</v>
      </c>
      <c r="AG6" s="11" t="s">
        <v>21</v>
      </c>
      <c r="AH6" s="11" t="s">
        <v>22</v>
      </c>
      <c r="AI6" s="11" t="s">
        <v>23</v>
      </c>
      <c r="AJ6" s="11" t="s">
        <v>24</v>
      </c>
      <c r="AK6" s="11" t="s">
        <v>25</v>
      </c>
      <c r="AL6" s="11" t="s">
        <v>26</v>
      </c>
      <c r="AM6" s="11" t="s">
        <v>27</v>
      </c>
      <c r="AN6" s="11" t="s">
        <v>28</v>
      </c>
      <c r="AO6" s="11" t="s">
        <v>29</v>
      </c>
      <c r="AP6" s="11" t="s">
        <v>30</v>
      </c>
      <c r="AQ6" s="11" t="s">
        <v>31</v>
      </c>
      <c r="AR6" s="11" t="s">
        <v>32</v>
      </c>
      <c r="AS6" s="11" t="s">
        <v>33</v>
      </c>
      <c r="AT6" s="11" t="s">
        <v>34</v>
      </c>
      <c r="AU6" s="11" t="s">
        <v>35</v>
      </c>
      <c r="AV6" s="11" t="s">
        <v>36</v>
      </c>
      <c r="AW6" s="11" t="s">
        <v>37</v>
      </c>
      <c r="AX6" s="11" t="s">
        <v>38</v>
      </c>
      <c r="AY6" s="11" t="s">
        <v>39</v>
      </c>
      <c r="AZ6" s="11" t="s">
        <v>40</v>
      </c>
      <c r="BA6" s="11" t="s">
        <v>41</v>
      </c>
      <c r="BB6" s="11" t="s">
        <v>42</v>
      </c>
      <c r="BC6" s="11" t="s">
        <v>43</v>
      </c>
      <c r="BD6" s="11" t="s">
        <v>44</v>
      </c>
      <c r="BE6" s="11" t="s">
        <v>45</v>
      </c>
      <c r="BF6" s="11" t="s">
        <v>46</v>
      </c>
      <c r="BG6" s="11" t="s">
        <v>47</v>
      </c>
      <c r="BH6" s="11" t="s">
        <v>48</v>
      </c>
      <c r="BI6" s="11" t="s">
        <v>49</v>
      </c>
      <c r="BJ6" s="11" t="s">
        <v>50</v>
      </c>
      <c r="BK6" s="11" t="s">
        <v>51</v>
      </c>
      <c r="BL6" s="11" t="s">
        <v>52</v>
      </c>
      <c r="BM6" s="11" t="s">
        <v>53</v>
      </c>
      <c r="BN6" s="11" t="s">
        <v>54</v>
      </c>
      <c r="BO6" s="11" t="s">
        <v>55</v>
      </c>
      <c r="BP6" s="11" t="s">
        <v>56</v>
      </c>
      <c r="BQ6" s="11" t="s">
        <v>57</v>
      </c>
      <c r="BR6" s="11" t="s">
        <v>58</v>
      </c>
      <c r="BS6" s="11" t="s">
        <v>59</v>
      </c>
      <c r="BT6" s="11" t="s">
        <v>60</v>
      </c>
      <c r="BU6" s="11" t="s">
        <v>61</v>
      </c>
      <c r="BV6" s="11" t="s">
        <v>62</v>
      </c>
      <c r="BW6" s="11" t="s">
        <v>63</v>
      </c>
      <c r="BX6" s="11" t="s">
        <v>64</v>
      </c>
      <c r="BY6" s="11" t="s">
        <v>65</v>
      </c>
      <c r="BZ6" s="11" t="s">
        <v>66</v>
      </c>
      <c r="CA6" s="11" t="s">
        <v>67</v>
      </c>
      <c r="CB6" s="11" t="s">
        <v>68</v>
      </c>
      <c r="CC6" s="11" t="s">
        <v>69</v>
      </c>
      <c r="CD6" s="11" t="s">
        <v>70</v>
      </c>
      <c r="CE6" s="11" t="s">
        <v>71</v>
      </c>
      <c r="CF6" s="11" t="s">
        <v>72</v>
      </c>
      <c r="CG6" s="11" t="s">
        <v>73</v>
      </c>
      <c r="CH6" s="11" t="s">
        <v>74</v>
      </c>
      <c r="CI6" s="11" t="s">
        <v>75</v>
      </c>
      <c r="CJ6" s="11" t="s">
        <v>76</v>
      </c>
      <c r="CK6" s="11" t="s">
        <v>77</v>
      </c>
      <c r="CL6" s="11" t="s">
        <v>78</v>
      </c>
      <c r="CM6" s="11" t="s">
        <v>79</v>
      </c>
      <c r="CN6" s="11" t="s">
        <v>80</v>
      </c>
      <c r="CO6" s="11" t="s">
        <v>81</v>
      </c>
      <c r="CP6" s="11" t="s">
        <v>82</v>
      </c>
      <c r="CQ6" s="11" t="s">
        <v>83</v>
      </c>
      <c r="CR6" s="11" t="s">
        <v>84</v>
      </c>
      <c r="CS6" s="11" t="s">
        <v>85</v>
      </c>
      <c r="CT6" s="11" t="s">
        <v>86</v>
      </c>
      <c r="CU6" s="11" t="s">
        <v>1011</v>
      </c>
    </row>
    <row r="7" spans="1:99">
      <c r="A7" t="s">
        <v>994</v>
      </c>
      <c r="B7" t="s">
        <v>97</v>
      </c>
      <c r="C7" t="s">
        <v>97</v>
      </c>
      <c r="D7" t="s">
        <v>97</v>
      </c>
      <c r="E7" t="s">
        <v>97</v>
      </c>
      <c r="F7" t="s">
        <v>97</v>
      </c>
      <c r="G7" t="s">
        <v>97</v>
      </c>
      <c r="H7" t="s">
        <v>97</v>
      </c>
      <c r="I7" t="s">
        <v>97</v>
      </c>
      <c r="J7" t="s">
        <v>97</v>
      </c>
      <c r="K7" t="s">
        <v>97</v>
      </c>
      <c r="L7" t="s">
        <v>97</v>
      </c>
      <c r="M7" t="s">
        <v>97</v>
      </c>
      <c r="N7" t="s">
        <v>97</v>
      </c>
      <c r="O7" t="s">
        <v>97</v>
      </c>
      <c r="P7" t="s">
        <v>97</v>
      </c>
      <c r="Q7" t="s">
        <v>97</v>
      </c>
      <c r="R7" t="s">
        <v>97</v>
      </c>
      <c r="S7" t="s">
        <v>97</v>
      </c>
      <c r="T7" t="s">
        <v>97</v>
      </c>
      <c r="U7" t="s">
        <v>97</v>
      </c>
      <c r="V7" t="s">
        <v>97</v>
      </c>
      <c r="W7" t="s">
        <v>97</v>
      </c>
      <c r="X7" t="s">
        <v>97</v>
      </c>
      <c r="Y7" t="s">
        <v>97</v>
      </c>
      <c r="Z7" t="s">
        <v>97</v>
      </c>
      <c r="AA7" t="s">
        <v>97</v>
      </c>
      <c r="AB7" t="s">
        <v>97</v>
      </c>
      <c r="AC7" t="s">
        <v>97</v>
      </c>
      <c r="AD7" t="s">
        <v>97</v>
      </c>
      <c r="AE7" t="s">
        <v>97</v>
      </c>
      <c r="AF7" t="s">
        <v>97</v>
      </c>
      <c r="AG7" t="s">
        <v>97</v>
      </c>
      <c r="AH7" t="s">
        <v>97</v>
      </c>
      <c r="AI7" t="s">
        <v>97</v>
      </c>
      <c r="AJ7" t="s">
        <v>97</v>
      </c>
      <c r="AK7" t="s">
        <v>97</v>
      </c>
      <c r="AL7" t="s">
        <v>97</v>
      </c>
      <c r="AM7" t="s">
        <v>97</v>
      </c>
      <c r="AN7" t="s">
        <v>97</v>
      </c>
      <c r="AO7" t="s">
        <v>97</v>
      </c>
      <c r="AP7" t="s">
        <v>97</v>
      </c>
      <c r="AQ7" t="s">
        <v>97</v>
      </c>
      <c r="AR7" t="s">
        <v>97</v>
      </c>
      <c r="AS7" t="s">
        <v>97</v>
      </c>
      <c r="AT7" t="s">
        <v>97</v>
      </c>
      <c r="AU7" t="s">
        <v>97</v>
      </c>
      <c r="AV7" t="s">
        <v>97</v>
      </c>
      <c r="AW7" t="s">
        <v>97</v>
      </c>
      <c r="AX7" t="s">
        <v>97</v>
      </c>
      <c r="AY7" t="s">
        <v>97</v>
      </c>
      <c r="AZ7" t="s">
        <v>97</v>
      </c>
      <c r="BA7" t="s">
        <v>97</v>
      </c>
      <c r="BB7" t="s">
        <v>97</v>
      </c>
      <c r="BC7" t="s">
        <v>97</v>
      </c>
      <c r="BD7" t="s">
        <v>97</v>
      </c>
      <c r="BE7" t="s">
        <v>97</v>
      </c>
      <c r="BF7" t="s">
        <v>97</v>
      </c>
      <c r="BG7" t="s">
        <v>97</v>
      </c>
      <c r="BH7" t="s">
        <v>97</v>
      </c>
      <c r="BI7" t="s">
        <v>97</v>
      </c>
      <c r="BJ7" t="s">
        <v>97</v>
      </c>
      <c r="BK7" t="s">
        <v>97</v>
      </c>
      <c r="BL7" t="s">
        <v>97</v>
      </c>
      <c r="BM7" t="s">
        <v>97</v>
      </c>
      <c r="BN7" t="s">
        <v>97</v>
      </c>
      <c r="BO7" t="s">
        <v>97</v>
      </c>
      <c r="BP7" t="s">
        <v>97</v>
      </c>
      <c r="BQ7" t="s">
        <v>97</v>
      </c>
      <c r="BR7" t="s">
        <v>97</v>
      </c>
      <c r="BS7" t="s">
        <v>97</v>
      </c>
      <c r="BT7" t="s">
        <v>97</v>
      </c>
      <c r="BU7" t="s">
        <v>97</v>
      </c>
      <c r="BV7" t="s">
        <v>97</v>
      </c>
      <c r="BW7" t="s">
        <v>97</v>
      </c>
      <c r="BX7" t="s">
        <v>97</v>
      </c>
      <c r="BY7" t="s">
        <v>97</v>
      </c>
      <c r="BZ7" t="s">
        <v>97</v>
      </c>
      <c r="CA7" t="s">
        <v>97</v>
      </c>
      <c r="CB7" t="s">
        <v>97</v>
      </c>
      <c r="CC7" t="s">
        <v>97</v>
      </c>
      <c r="CD7" t="s">
        <v>97</v>
      </c>
      <c r="CE7" t="s">
        <v>97</v>
      </c>
      <c r="CF7" t="s">
        <v>97</v>
      </c>
      <c r="CG7" t="s">
        <v>97</v>
      </c>
      <c r="CH7" t="s">
        <v>97</v>
      </c>
      <c r="CI7" t="s">
        <v>97</v>
      </c>
      <c r="CJ7" t="s">
        <v>97</v>
      </c>
      <c r="CK7" t="s">
        <v>97</v>
      </c>
      <c r="CL7" t="s">
        <v>97</v>
      </c>
      <c r="CM7" t="s">
        <v>97</v>
      </c>
      <c r="CN7" t="s">
        <v>97</v>
      </c>
      <c r="CO7" t="s">
        <v>97</v>
      </c>
      <c r="CP7" t="s">
        <v>97</v>
      </c>
      <c r="CQ7" t="s">
        <v>97</v>
      </c>
      <c r="CR7" t="s">
        <v>97</v>
      </c>
      <c r="CS7" t="s">
        <v>97</v>
      </c>
      <c r="CT7" t="s">
        <v>97</v>
      </c>
      <c r="CU7" t="s">
        <v>97</v>
      </c>
    </row>
    <row r="8" spans="1:99">
      <c r="A8" t="s">
        <v>1012</v>
      </c>
      <c r="B8" s="12" t="s">
        <v>1013</v>
      </c>
      <c r="C8" s="12">
        <v>54806</v>
      </c>
      <c r="D8" s="12">
        <v>48178</v>
      </c>
      <c r="E8" s="12">
        <v>37846</v>
      </c>
      <c r="F8" s="12">
        <v>27861</v>
      </c>
      <c r="G8" s="12">
        <v>26876</v>
      </c>
      <c r="H8" s="12">
        <v>33500</v>
      </c>
      <c r="I8" s="12">
        <v>37147</v>
      </c>
      <c r="J8" s="12">
        <v>42724</v>
      </c>
      <c r="K8" s="12">
        <v>48339</v>
      </c>
      <c r="L8" s="12">
        <v>43000</v>
      </c>
      <c r="M8" s="12">
        <v>47323</v>
      </c>
      <c r="N8" s="12">
        <v>54105</v>
      </c>
      <c r="O8" s="12">
        <v>69955</v>
      </c>
      <c r="P8" s="12">
        <v>87478</v>
      </c>
      <c r="Q8" s="12">
        <v>103482</v>
      </c>
      <c r="R8" s="12">
        <v>107266</v>
      </c>
      <c r="S8" s="12">
        <v>100821</v>
      </c>
      <c r="T8" s="12">
        <v>105807</v>
      </c>
      <c r="U8" s="12">
        <v>127503</v>
      </c>
      <c r="V8" s="12">
        <v>146063</v>
      </c>
      <c r="W8" s="12">
        <v>143022</v>
      </c>
      <c r="X8" s="12">
        <v>162114</v>
      </c>
      <c r="Y8" s="12">
        <v>185791</v>
      </c>
      <c r="Z8" s="12">
        <v>195027</v>
      </c>
      <c r="AA8" s="12">
        <v>209184</v>
      </c>
      <c r="AB8" s="12">
        <v>206865</v>
      </c>
      <c r="AC8" s="12">
        <v>233051</v>
      </c>
      <c r="AD8" s="12">
        <v>250053</v>
      </c>
      <c r="AE8" s="12">
        <v>261661</v>
      </c>
      <c r="AF8" s="12">
        <v>256831</v>
      </c>
      <c r="AG8" s="12">
        <v>287446</v>
      </c>
      <c r="AH8" s="12">
        <v>299879</v>
      </c>
      <c r="AI8" s="12">
        <v>308729</v>
      </c>
      <c r="AJ8" s="12">
        <v>335950</v>
      </c>
      <c r="AK8" s="12">
        <v>357362</v>
      </c>
      <c r="AL8" s="12">
        <v>385982</v>
      </c>
      <c r="AM8" s="12">
        <v>423777</v>
      </c>
      <c r="AN8" s="12">
        <v>465090</v>
      </c>
      <c r="AO8" s="12">
        <v>491172</v>
      </c>
      <c r="AP8" s="12">
        <v>542111</v>
      </c>
      <c r="AQ8" s="12">
        <v>590653</v>
      </c>
      <c r="AR8" s="12">
        <v>612127</v>
      </c>
      <c r="AS8" s="12">
        <v>660922</v>
      </c>
      <c r="AT8" s="12">
        <v>732902</v>
      </c>
      <c r="AU8" s="12">
        <v>820208</v>
      </c>
      <c r="AV8" s="12">
        <v>889579</v>
      </c>
      <c r="AW8" s="12">
        <v>965545</v>
      </c>
      <c r="AX8" s="12">
        <v>1087308</v>
      </c>
      <c r="AY8" s="12">
        <v>1232519</v>
      </c>
      <c r="AZ8" s="12">
        <v>1406890</v>
      </c>
      <c r="BA8" s="12">
        <v>1564355</v>
      </c>
      <c r="BB8" s="12">
        <v>1702381</v>
      </c>
      <c r="BC8" s="12">
        <v>1935130</v>
      </c>
      <c r="BD8" s="12">
        <v>2018565</v>
      </c>
      <c r="BE8" s="12">
        <v>2172454</v>
      </c>
      <c r="BF8" s="12">
        <v>2434777</v>
      </c>
      <c r="BG8" s="12">
        <v>2601493</v>
      </c>
      <c r="BH8" s="12">
        <v>2706772</v>
      </c>
      <c r="BI8" s="12">
        <v>2895133</v>
      </c>
      <c r="BJ8" s="12">
        <v>3142537</v>
      </c>
      <c r="BK8" s="12">
        <v>3320147</v>
      </c>
      <c r="BL8" s="12">
        <v>3467335</v>
      </c>
      <c r="BM8" s="12">
        <v>3554697</v>
      </c>
      <c r="BN8" s="12">
        <v>3742365</v>
      </c>
      <c r="BO8" s="12">
        <v>3918863</v>
      </c>
      <c r="BP8" s="12">
        <v>4210085</v>
      </c>
      <c r="BQ8" s="12">
        <v>4474232</v>
      </c>
      <c r="BR8" s="12">
        <v>4770205</v>
      </c>
      <c r="BS8" s="12">
        <v>5143154</v>
      </c>
      <c r="BT8" s="12">
        <v>5474446</v>
      </c>
      <c r="BU8" s="12">
        <v>5802061</v>
      </c>
      <c r="BV8" s="12">
        <v>6216190</v>
      </c>
      <c r="BW8" s="12">
        <v>6202593</v>
      </c>
      <c r="BX8" s="12">
        <v>6298540</v>
      </c>
      <c r="BY8" s="12">
        <v>6524950</v>
      </c>
      <c r="BZ8" s="12">
        <v>6960008</v>
      </c>
      <c r="CA8" s="12">
        <v>7485433</v>
      </c>
      <c r="CB8" s="12">
        <v>8029316</v>
      </c>
      <c r="CC8" s="12">
        <v>8199258</v>
      </c>
      <c r="CD8" s="12">
        <v>8108788</v>
      </c>
      <c r="CE8" s="12">
        <v>7817337</v>
      </c>
      <c r="CF8" s="12">
        <v>8236992</v>
      </c>
      <c r="CG8" s="12">
        <v>8623024</v>
      </c>
      <c r="CH8" s="12">
        <v>9173994</v>
      </c>
      <c r="CI8" s="12">
        <v>9456941</v>
      </c>
      <c r="CJ8" s="12">
        <v>10046512</v>
      </c>
      <c r="CK8" s="12">
        <v>10489514</v>
      </c>
      <c r="CL8" s="12">
        <v>10684384</v>
      </c>
      <c r="CM8" s="12">
        <v>11132703</v>
      </c>
      <c r="CN8" s="12">
        <v>11796349</v>
      </c>
      <c r="CO8" s="12">
        <v>12332556</v>
      </c>
      <c r="CP8" s="12">
        <v>12095295</v>
      </c>
      <c r="CQ8" s="12">
        <v>13818844</v>
      </c>
      <c r="CR8" s="12">
        <v>15322598</v>
      </c>
      <c r="CS8" s="12">
        <v>16125928</v>
      </c>
      <c r="CT8" s="12">
        <v>16961079</v>
      </c>
      <c r="CU8" s="12" t="s">
        <v>1014</v>
      </c>
    </row>
    <row r="9" spans="1:99">
      <c r="A9" t="s">
        <v>1015</v>
      </c>
      <c r="B9" t="s">
        <v>1016</v>
      </c>
      <c r="C9">
        <v>5228</v>
      </c>
      <c r="D9">
        <v>5080</v>
      </c>
      <c r="E9">
        <v>4752</v>
      </c>
      <c r="F9">
        <v>4240</v>
      </c>
      <c r="G9">
        <v>4008</v>
      </c>
      <c r="H9">
        <v>4104</v>
      </c>
      <c r="I9">
        <v>4184</v>
      </c>
      <c r="J9">
        <v>4248</v>
      </c>
      <c r="K9">
        <v>4744</v>
      </c>
      <c r="L9">
        <v>4820</v>
      </c>
      <c r="M9">
        <v>4824</v>
      </c>
      <c r="N9">
        <v>5040</v>
      </c>
      <c r="O9">
        <v>5584</v>
      </c>
      <c r="P9">
        <v>6388</v>
      </c>
      <c r="Q9">
        <v>6552</v>
      </c>
      <c r="R9">
        <v>6748</v>
      </c>
      <c r="S9">
        <v>6968</v>
      </c>
      <c r="T9">
        <v>8000</v>
      </c>
      <c r="U9">
        <v>9796</v>
      </c>
      <c r="V9">
        <v>11488</v>
      </c>
      <c r="W9">
        <v>12412</v>
      </c>
      <c r="X9">
        <v>13288</v>
      </c>
      <c r="Y9">
        <v>15136</v>
      </c>
      <c r="Z9">
        <v>16116</v>
      </c>
      <c r="AA9">
        <v>17300</v>
      </c>
      <c r="AB9">
        <v>18340</v>
      </c>
      <c r="AC9">
        <v>19560</v>
      </c>
      <c r="AD9">
        <v>22088</v>
      </c>
      <c r="AE9">
        <v>24564</v>
      </c>
      <c r="AF9">
        <v>26396</v>
      </c>
      <c r="AG9">
        <v>27620</v>
      </c>
      <c r="AH9">
        <v>28488</v>
      </c>
      <c r="AI9">
        <v>29524</v>
      </c>
      <c r="AJ9">
        <v>30836</v>
      </c>
      <c r="AK9">
        <v>32416</v>
      </c>
      <c r="AL9">
        <v>34412</v>
      </c>
      <c r="AM9">
        <v>37140</v>
      </c>
      <c r="AN9">
        <v>40860</v>
      </c>
      <c r="AO9">
        <v>45096</v>
      </c>
      <c r="AP9">
        <v>49992</v>
      </c>
      <c r="AQ9">
        <v>55704</v>
      </c>
      <c r="AR9">
        <v>61804</v>
      </c>
      <c r="AS9">
        <v>67620</v>
      </c>
      <c r="AT9">
        <v>73440</v>
      </c>
      <c r="AU9">
        <v>81980</v>
      </c>
      <c r="AV9">
        <v>96040</v>
      </c>
      <c r="AW9">
        <v>113516</v>
      </c>
      <c r="AX9">
        <v>125028</v>
      </c>
      <c r="AY9">
        <v>140456</v>
      </c>
      <c r="AZ9">
        <v>159276</v>
      </c>
      <c r="BA9">
        <v>183352</v>
      </c>
      <c r="BB9">
        <v>212088</v>
      </c>
      <c r="BC9">
        <v>244880</v>
      </c>
      <c r="BD9">
        <v>272520</v>
      </c>
      <c r="BE9">
        <v>285876</v>
      </c>
      <c r="BF9">
        <v>303168</v>
      </c>
      <c r="BG9">
        <v>326864</v>
      </c>
      <c r="BH9">
        <v>349868</v>
      </c>
      <c r="BI9">
        <v>371292</v>
      </c>
      <c r="BJ9">
        <v>399856</v>
      </c>
      <c r="BK9">
        <v>427148</v>
      </c>
      <c r="BL9">
        <v>454688</v>
      </c>
      <c r="BM9">
        <v>479628</v>
      </c>
      <c r="BN9">
        <v>494348</v>
      </c>
      <c r="BO9">
        <v>517188</v>
      </c>
      <c r="BP9">
        <v>547584</v>
      </c>
      <c r="BQ9">
        <v>590428</v>
      </c>
      <c r="BR9">
        <v>626332</v>
      </c>
      <c r="BS9">
        <v>670056</v>
      </c>
      <c r="BT9">
        <v>714988</v>
      </c>
      <c r="BU9">
        <v>769632</v>
      </c>
      <c r="BV9">
        <v>838608</v>
      </c>
      <c r="BW9">
        <v>888584</v>
      </c>
      <c r="BX9">
        <v>914587</v>
      </c>
      <c r="BY9">
        <v>932541</v>
      </c>
      <c r="BZ9">
        <v>973014</v>
      </c>
      <c r="CA9">
        <v>1042069</v>
      </c>
      <c r="CB9">
        <v>1119303</v>
      </c>
      <c r="CC9">
        <v>1188944</v>
      </c>
      <c r="CD9">
        <v>1256741</v>
      </c>
      <c r="CE9">
        <v>1263659</v>
      </c>
      <c r="CF9">
        <v>1270714</v>
      </c>
      <c r="CG9">
        <v>1324537</v>
      </c>
      <c r="CH9">
        <v>1392029</v>
      </c>
      <c r="CI9">
        <v>1447694</v>
      </c>
      <c r="CJ9">
        <v>1524311</v>
      </c>
      <c r="CK9">
        <v>1587221</v>
      </c>
      <c r="CL9">
        <v>1629907</v>
      </c>
      <c r="CM9">
        <v>1709313</v>
      </c>
      <c r="CN9">
        <v>1793566</v>
      </c>
      <c r="CO9">
        <v>1891831</v>
      </c>
      <c r="CP9">
        <v>1968202</v>
      </c>
      <c r="CQ9">
        <v>2070269</v>
      </c>
      <c r="CR9">
        <v>2287902</v>
      </c>
      <c r="CS9">
        <v>2447353</v>
      </c>
      <c r="CT9">
        <v>2583318</v>
      </c>
      <c r="CU9">
        <v>2742823</v>
      </c>
    </row>
    <row r="10" spans="1:99">
      <c r="A10" t="s">
        <v>1017</v>
      </c>
      <c r="B10" t="s">
        <v>1018</v>
      </c>
      <c r="C10">
        <v>49578</v>
      </c>
      <c r="D10">
        <v>43098</v>
      </c>
      <c r="E10">
        <v>33094</v>
      </c>
      <c r="F10">
        <v>23621</v>
      </c>
      <c r="G10">
        <v>22868</v>
      </c>
      <c r="H10">
        <v>29396</v>
      </c>
      <c r="I10">
        <v>32963</v>
      </c>
      <c r="J10">
        <v>38476</v>
      </c>
      <c r="K10">
        <v>43595</v>
      </c>
      <c r="L10">
        <v>38180</v>
      </c>
      <c r="M10">
        <v>42499</v>
      </c>
      <c r="N10">
        <v>49065</v>
      </c>
      <c r="O10">
        <v>64371</v>
      </c>
      <c r="P10">
        <v>81090</v>
      </c>
      <c r="Q10">
        <v>96930</v>
      </c>
      <c r="R10">
        <v>100518</v>
      </c>
      <c r="S10">
        <v>93853</v>
      </c>
      <c r="T10">
        <v>97807</v>
      </c>
      <c r="U10">
        <v>117707</v>
      </c>
      <c r="V10">
        <v>134575</v>
      </c>
      <c r="W10">
        <v>130610</v>
      </c>
      <c r="X10">
        <v>148826</v>
      </c>
      <c r="Y10">
        <v>170655</v>
      </c>
      <c r="Z10">
        <v>178911</v>
      </c>
      <c r="AA10">
        <v>191884</v>
      </c>
      <c r="AB10">
        <v>188525</v>
      </c>
      <c r="AC10">
        <v>213491</v>
      </c>
      <c r="AD10">
        <v>227965</v>
      </c>
      <c r="AE10">
        <v>237097</v>
      </c>
      <c r="AF10">
        <v>230435</v>
      </c>
      <c r="AG10">
        <v>259826</v>
      </c>
      <c r="AH10">
        <v>271391</v>
      </c>
      <c r="AI10">
        <v>279205</v>
      </c>
      <c r="AJ10">
        <v>305114</v>
      </c>
      <c r="AK10">
        <v>324946</v>
      </c>
      <c r="AL10">
        <v>351570</v>
      </c>
      <c r="AM10">
        <v>386637</v>
      </c>
      <c r="AN10">
        <v>424230</v>
      </c>
      <c r="AO10">
        <v>446076</v>
      </c>
      <c r="AP10">
        <v>492119</v>
      </c>
      <c r="AQ10">
        <v>534949</v>
      </c>
      <c r="AR10">
        <v>550323</v>
      </c>
      <c r="AS10">
        <v>593302</v>
      </c>
      <c r="AT10">
        <v>659462</v>
      </c>
      <c r="AU10">
        <v>738228</v>
      </c>
      <c r="AV10">
        <v>793539</v>
      </c>
      <c r="AW10">
        <v>852029</v>
      </c>
      <c r="AX10">
        <v>962280</v>
      </c>
      <c r="AY10">
        <v>1092063</v>
      </c>
      <c r="AZ10">
        <v>1247614</v>
      </c>
      <c r="BA10">
        <v>1381003</v>
      </c>
      <c r="BB10">
        <v>1490293</v>
      </c>
      <c r="BC10">
        <v>1690250</v>
      </c>
      <c r="BD10">
        <v>1746045</v>
      </c>
      <c r="BE10">
        <v>1886578</v>
      </c>
      <c r="BF10">
        <v>2131609</v>
      </c>
      <c r="BG10">
        <v>2274629</v>
      </c>
      <c r="BH10">
        <v>2356904</v>
      </c>
      <c r="BI10">
        <v>2523841</v>
      </c>
      <c r="BJ10">
        <v>2742681</v>
      </c>
      <c r="BK10">
        <v>2892999</v>
      </c>
      <c r="BL10">
        <v>3012647</v>
      </c>
      <c r="BM10">
        <v>3075069</v>
      </c>
      <c r="BN10">
        <v>3248017</v>
      </c>
      <c r="BO10">
        <v>3401675</v>
      </c>
      <c r="BP10">
        <v>3662501</v>
      </c>
      <c r="BQ10">
        <v>3883804</v>
      </c>
      <c r="BR10">
        <v>4143873</v>
      </c>
      <c r="BS10">
        <v>4473098</v>
      </c>
      <c r="BT10">
        <v>4759458</v>
      </c>
      <c r="BU10">
        <v>5032429</v>
      </c>
      <c r="BV10">
        <v>5377582</v>
      </c>
      <c r="BW10">
        <v>5314009</v>
      </c>
      <c r="BX10">
        <v>5383953</v>
      </c>
      <c r="BY10">
        <v>5592409</v>
      </c>
      <c r="BZ10">
        <v>5986994</v>
      </c>
      <c r="CA10">
        <v>6443365</v>
      </c>
      <c r="CB10">
        <v>6910013</v>
      </c>
      <c r="CC10">
        <v>7010314</v>
      </c>
      <c r="CD10">
        <v>6852047</v>
      </c>
      <c r="CE10">
        <v>6553678</v>
      </c>
      <c r="CF10">
        <v>6966278</v>
      </c>
      <c r="CG10">
        <v>7298487</v>
      </c>
      <c r="CH10">
        <v>7781965</v>
      </c>
      <c r="CI10">
        <v>8009247</v>
      </c>
      <c r="CJ10">
        <v>8522202</v>
      </c>
      <c r="CK10">
        <v>8902292</v>
      </c>
      <c r="CL10">
        <v>9054477</v>
      </c>
      <c r="CM10">
        <v>9423390</v>
      </c>
      <c r="CN10">
        <v>10002784</v>
      </c>
      <c r="CO10">
        <v>10440725</v>
      </c>
      <c r="CP10">
        <v>10127094</v>
      </c>
      <c r="CQ10">
        <v>11748575</v>
      </c>
      <c r="CR10">
        <v>13034696</v>
      </c>
      <c r="CS10">
        <v>13678575</v>
      </c>
      <c r="CT10">
        <v>14377761</v>
      </c>
      <c r="CU10" t="s">
        <v>1014</v>
      </c>
    </row>
    <row r="11" spans="1:99">
      <c r="A11" t="s">
        <v>1019</v>
      </c>
      <c r="B11" t="s">
        <v>1020</v>
      </c>
      <c r="C11">
        <v>34242</v>
      </c>
      <c r="D11">
        <v>30808</v>
      </c>
      <c r="E11">
        <v>25369</v>
      </c>
      <c r="F11">
        <v>19013</v>
      </c>
      <c r="G11">
        <v>18002</v>
      </c>
      <c r="H11">
        <v>21045</v>
      </c>
      <c r="I11">
        <v>23056</v>
      </c>
      <c r="J11">
        <v>26274</v>
      </c>
      <c r="K11">
        <v>30548</v>
      </c>
      <c r="L11">
        <v>27266</v>
      </c>
      <c r="M11">
        <v>29816</v>
      </c>
      <c r="N11">
        <v>32856</v>
      </c>
      <c r="O11">
        <v>41598</v>
      </c>
      <c r="P11">
        <v>52849</v>
      </c>
      <c r="Q11">
        <v>64141</v>
      </c>
      <c r="R11">
        <v>67074</v>
      </c>
      <c r="S11">
        <v>64069</v>
      </c>
      <c r="T11">
        <v>69854</v>
      </c>
      <c r="U11">
        <v>82136</v>
      </c>
      <c r="V11">
        <v>91111</v>
      </c>
      <c r="W11">
        <v>88798</v>
      </c>
      <c r="X11">
        <v>98654</v>
      </c>
      <c r="Y11">
        <v>114553</v>
      </c>
      <c r="Z11">
        <v>123015</v>
      </c>
      <c r="AA11">
        <v>133985</v>
      </c>
      <c r="AB11">
        <v>132212</v>
      </c>
      <c r="AC11">
        <v>144625</v>
      </c>
      <c r="AD11">
        <v>158175</v>
      </c>
      <c r="AE11">
        <v>166500</v>
      </c>
      <c r="AF11">
        <v>163977</v>
      </c>
      <c r="AG11">
        <v>180289</v>
      </c>
      <c r="AH11">
        <v>190689</v>
      </c>
      <c r="AI11">
        <v>195554</v>
      </c>
      <c r="AJ11">
        <v>210997</v>
      </c>
      <c r="AK11">
        <v>222667</v>
      </c>
      <c r="AL11">
        <v>239180</v>
      </c>
      <c r="AM11">
        <v>259864</v>
      </c>
      <c r="AN11">
        <v>288528</v>
      </c>
      <c r="AO11">
        <v>308418</v>
      </c>
      <c r="AP11">
        <v>340182</v>
      </c>
      <c r="AQ11">
        <v>377454</v>
      </c>
      <c r="AR11">
        <v>398010</v>
      </c>
      <c r="AS11">
        <v>421650</v>
      </c>
      <c r="AT11">
        <v>468170</v>
      </c>
      <c r="AU11">
        <v>526064</v>
      </c>
      <c r="AV11">
        <v>577322</v>
      </c>
      <c r="AW11">
        <v>607817</v>
      </c>
      <c r="AX11">
        <v>682786</v>
      </c>
      <c r="AY11">
        <v>771696</v>
      </c>
      <c r="AZ11">
        <v>884698</v>
      </c>
      <c r="BA11">
        <v>1004441</v>
      </c>
      <c r="BB11">
        <v>1102003</v>
      </c>
      <c r="BC11">
        <v>1220566</v>
      </c>
      <c r="BD11">
        <v>1275114</v>
      </c>
      <c r="BE11">
        <v>1352980</v>
      </c>
      <c r="BF11">
        <v>1501072</v>
      </c>
      <c r="BG11">
        <v>1615931</v>
      </c>
      <c r="BH11">
        <v>1723353</v>
      </c>
      <c r="BI11">
        <v>1847640</v>
      </c>
      <c r="BJ11">
        <v>2002309</v>
      </c>
      <c r="BK11">
        <v>2119332</v>
      </c>
      <c r="BL11">
        <v>2234926</v>
      </c>
      <c r="BM11">
        <v>2277820</v>
      </c>
      <c r="BN11">
        <v>2420482</v>
      </c>
      <c r="BO11">
        <v>2515738</v>
      </c>
      <c r="BP11">
        <v>2649014</v>
      </c>
      <c r="BQ11">
        <v>2787890</v>
      </c>
      <c r="BR11">
        <v>2953697</v>
      </c>
      <c r="BS11">
        <v>3176578</v>
      </c>
      <c r="BT11">
        <v>3447481</v>
      </c>
      <c r="BU11">
        <v>3684312</v>
      </c>
      <c r="BV11">
        <v>4008927</v>
      </c>
      <c r="BW11">
        <v>4013811</v>
      </c>
      <c r="BX11">
        <v>3972742</v>
      </c>
      <c r="BY11">
        <v>4040875</v>
      </c>
      <c r="BZ11">
        <v>4240204</v>
      </c>
      <c r="CA11">
        <v>4442988</v>
      </c>
      <c r="CB11">
        <v>4681230</v>
      </c>
      <c r="CC11">
        <v>4894238</v>
      </c>
      <c r="CD11">
        <v>4940328</v>
      </c>
      <c r="CE11">
        <v>4607471</v>
      </c>
      <c r="CF11">
        <v>4700760</v>
      </c>
      <c r="CG11">
        <v>4927979</v>
      </c>
      <c r="CH11">
        <v>5182659</v>
      </c>
      <c r="CI11">
        <v>5356731</v>
      </c>
      <c r="CJ11">
        <v>5648214</v>
      </c>
      <c r="CK11">
        <v>5949841</v>
      </c>
      <c r="CL11">
        <v>6109709</v>
      </c>
      <c r="CM11">
        <v>6432103</v>
      </c>
      <c r="CN11">
        <v>6780648</v>
      </c>
      <c r="CO11">
        <v>7108215</v>
      </c>
      <c r="CP11">
        <v>7167961</v>
      </c>
      <c r="CQ11">
        <v>7883565</v>
      </c>
      <c r="CR11">
        <v>8504055</v>
      </c>
      <c r="CS11">
        <v>8960619</v>
      </c>
      <c r="CT11">
        <v>9443321</v>
      </c>
      <c r="CU11">
        <v>9870841</v>
      </c>
    </row>
    <row r="12" spans="1:99">
      <c r="A12" t="s">
        <v>1021</v>
      </c>
      <c r="B12" t="s">
        <v>1022</v>
      </c>
      <c r="C12">
        <v>33818</v>
      </c>
      <c r="D12">
        <v>30399</v>
      </c>
      <c r="E12">
        <v>24996</v>
      </c>
      <c r="F12">
        <v>18690</v>
      </c>
      <c r="G12">
        <v>17706</v>
      </c>
      <c r="H12">
        <v>20714</v>
      </c>
      <c r="I12">
        <v>22697</v>
      </c>
      <c r="J12">
        <v>25645</v>
      </c>
      <c r="K12">
        <v>29256</v>
      </c>
      <c r="L12">
        <v>25848</v>
      </c>
      <c r="M12">
        <v>28288</v>
      </c>
      <c r="N12">
        <v>31218</v>
      </c>
      <c r="O12">
        <v>39612</v>
      </c>
      <c r="P12">
        <v>50520</v>
      </c>
      <c r="Q12">
        <v>61311</v>
      </c>
      <c r="R12">
        <v>63907</v>
      </c>
      <c r="S12">
        <v>60916</v>
      </c>
      <c r="T12">
        <v>66473</v>
      </c>
      <c r="U12">
        <v>77991</v>
      </c>
      <c r="V12">
        <v>86899</v>
      </c>
      <c r="W12">
        <v>84390</v>
      </c>
      <c r="X12">
        <v>92989</v>
      </c>
      <c r="Y12">
        <v>107533</v>
      </c>
      <c r="Z12">
        <v>115490</v>
      </c>
      <c r="AA12">
        <v>125801</v>
      </c>
      <c r="AB12">
        <v>123600</v>
      </c>
      <c r="AC12">
        <v>134819</v>
      </c>
      <c r="AD12">
        <v>147005</v>
      </c>
      <c r="AE12">
        <v>154027</v>
      </c>
      <c r="AF12">
        <v>151393</v>
      </c>
      <c r="AG12">
        <v>165640</v>
      </c>
      <c r="AH12">
        <v>174456</v>
      </c>
      <c r="AI12">
        <v>178685</v>
      </c>
      <c r="AJ12">
        <v>191821</v>
      </c>
      <c r="AK12">
        <v>201917</v>
      </c>
      <c r="AL12">
        <v>216750</v>
      </c>
      <c r="AM12">
        <v>235153</v>
      </c>
      <c r="AN12">
        <v>259249</v>
      </c>
      <c r="AO12">
        <v>277066</v>
      </c>
      <c r="AP12">
        <v>305414</v>
      </c>
      <c r="AQ12">
        <v>338028</v>
      </c>
      <c r="AR12">
        <v>355982</v>
      </c>
      <c r="AS12">
        <v>376191</v>
      </c>
      <c r="AT12">
        <v>414773</v>
      </c>
      <c r="AU12">
        <v>464577</v>
      </c>
      <c r="AV12">
        <v>508899</v>
      </c>
      <c r="AW12">
        <v>528426</v>
      </c>
      <c r="AX12">
        <v>591170</v>
      </c>
      <c r="AY12">
        <v>662696</v>
      </c>
      <c r="AZ12">
        <v>756219</v>
      </c>
      <c r="BA12">
        <v>855631</v>
      </c>
      <c r="BB12">
        <v>935607</v>
      </c>
      <c r="BC12">
        <v>1033425</v>
      </c>
      <c r="BD12">
        <v>1073098</v>
      </c>
      <c r="BE12">
        <v>1132638</v>
      </c>
      <c r="BF12">
        <v>1256796</v>
      </c>
      <c r="BG12">
        <v>1351389</v>
      </c>
      <c r="BH12">
        <v>1432276</v>
      </c>
      <c r="BI12">
        <v>1536556</v>
      </c>
      <c r="BJ12">
        <v>1666051</v>
      </c>
      <c r="BK12">
        <v>1756511</v>
      </c>
      <c r="BL12">
        <v>1849276</v>
      </c>
      <c r="BM12">
        <v>1875310</v>
      </c>
      <c r="BN12">
        <v>1977815</v>
      </c>
      <c r="BO12">
        <v>2049051</v>
      </c>
      <c r="BP12">
        <v>2160314</v>
      </c>
      <c r="BQ12">
        <v>2296100</v>
      </c>
      <c r="BR12">
        <v>2448245</v>
      </c>
      <c r="BS12">
        <v>2650834</v>
      </c>
      <c r="BT12">
        <v>2883173</v>
      </c>
      <c r="BU12">
        <v>3092422</v>
      </c>
      <c r="BV12">
        <v>3363793</v>
      </c>
      <c r="BW12">
        <v>3352267</v>
      </c>
      <c r="BX12">
        <v>3295427</v>
      </c>
      <c r="BY12">
        <v>3335709</v>
      </c>
      <c r="BZ12">
        <v>3502114</v>
      </c>
      <c r="CA12">
        <v>3663800</v>
      </c>
      <c r="CB12">
        <v>3883943</v>
      </c>
      <c r="CC12">
        <v>4069648</v>
      </c>
      <c r="CD12">
        <v>4106365</v>
      </c>
      <c r="CE12">
        <v>3813943</v>
      </c>
      <c r="CF12">
        <v>3896781</v>
      </c>
      <c r="CG12">
        <v>4095854</v>
      </c>
      <c r="CH12">
        <v>4323265</v>
      </c>
      <c r="CI12">
        <v>4461282</v>
      </c>
      <c r="CJ12">
        <v>4722332</v>
      </c>
      <c r="CK12">
        <v>4984286</v>
      </c>
      <c r="CL12">
        <v>5130665</v>
      </c>
      <c r="CM12">
        <v>5395611</v>
      </c>
      <c r="CN12">
        <v>5681782</v>
      </c>
      <c r="CO12">
        <v>5967980</v>
      </c>
      <c r="CP12">
        <v>6049783</v>
      </c>
      <c r="CQ12">
        <v>6678085</v>
      </c>
      <c r="CR12">
        <v>7232466</v>
      </c>
      <c r="CS12">
        <v>7599293</v>
      </c>
      <c r="CT12">
        <v>7993400</v>
      </c>
      <c r="CU12">
        <v>8345241</v>
      </c>
    </row>
    <row r="13" spans="1:99">
      <c r="A13" t="s">
        <v>1023</v>
      </c>
      <c r="B13" t="s">
        <v>1024</v>
      </c>
      <c r="C13">
        <v>424</v>
      </c>
      <c r="D13">
        <v>409</v>
      </c>
      <c r="E13">
        <v>373</v>
      </c>
      <c r="F13">
        <v>323</v>
      </c>
      <c r="G13">
        <v>296</v>
      </c>
      <c r="H13">
        <v>331</v>
      </c>
      <c r="I13">
        <v>359</v>
      </c>
      <c r="J13">
        <v>629</v>
      </c>
      <c r="K13">
        <v>1292</v>
      </c>
      <c r="L13">
        <v>1418</v>
      </c>
      <c r="M13">
        <v>1528</v>
      </c>
      <c r="N13">
        <v>1638</v>
      </c>
      <c r="O13">
        <v>1986</v>
      </c>
      <c r="P13">
        <v>2329</v>
      </c>
      <c r="Q13">
        <v>2830</v>
      </c>
      <c r="R13">
        <v>3167</v>
      </c>
      <c r="S13">
        <v>3153</v>
      </c>
      <c r="T13">
        <v>3381</v>
      </c>
      <c r="U13">
        <v>4145</v>
      </c>
      <c r="V13">
        <v>4212</v>
      </c>
      <c r="W13">
        <v>4408</v>
      </c>
      <c r="X13">
        <v>5665</v>
      </c>
      <c r="Y13">
        <v>7020</v>
      </c>
      <c r="Z13">
        <v>7525</v>
      </c>
      <c r="AA13">
        <v>8184</v>
      </c>
      <c r="AB13">
        <v>8612</v>
      </c>
      <c r="AC13">
        <v>9806</v>
      </c>
      <c r="AD13">
        <v>11170</v>
      </c>
      <c r="AE13">
        <v>12473</v>
      </c>
      <c r="AF13">
        <v>12584</v>
      </c>
      <c r="AG13">
        <v>14649</v>
      </c>
      <c r="AH13">
        <v>16233</v>
      </c>
      <c r="AI13">
        <v>16869</v>
      </c>
      <c r="AJ13">
        <v>19176</v>
      </c>
      <c r="AK13">
        <v>20750</v>
      </c>
      <c r="AL13">
        <v>22430</v>
      </c>
      <c r="AM13">
        <v>24711</v>
      </c>
      <c r="AN13">
        <v>29279</v>
      </c>
      <c r="AO13">
        <v>31352</v>
      </c>
      <c r="AP13">
        <v>34768</v>
      </c>
      <c r="AQ13">
        <v>39426</v>
      </c>
      <c r="AR13">
        <v>42028</v>
      </c>
      <c r="AS13">
        <v>45459</v>
      </c>
      <c r="AT13">
        <v>53397</v>
      </c>
      <c r="AU13">
        <v>61487</v>
      </c>
      <c r="AV13">
        <v>68423</v>
      </c>
      <c r="AW13">
        <v>79391</v>
      </c>
      <c r="AX13">
        <v>91616</v>
      </c>
      <c r="AY13">
        <v>109000</v>
      </c>
      <c r="AZ13">
        <v>128479</v>
      </c>
      <c r="BA13">
        <v>148810</v>
      </c>
      <c r="BB13">
        <v>166396</v>
      </c>
      <c r="BC13">
        <v>187141</v>
      </c>
      <c r="BD13">
        <v>202016</v>
      </c>
      <c r="BE13">
        <v>220342</v>
      </c>
      <c r="BF13">
        <v>244276</v>
      </c>
      <c r="BG13">
        <v>264542</v>
      </c>
      <c r="BH13">
        <v>291077</v>
      </c>
      <c r="BI13">
        <v>311084</v>
      </c>
      <c r="BJ13">
        <v>336258</v>
      </c>
      <c r="BK13">
        <v>362821</v>
      </c>
      <c r="BL13">
        <v>385650</v>
      </c>
      <c r="BM13">
        <v>402510</v>
      </c>
      <c r="BN13">
        <v>442667</v>
      </c>
      <c r="BO13">
        <v>466687</v>
      </c>
      <c r="BP13">
        <v>488700</v>
      </c>
      <c r="BQ13">
        <v>491790</v>
      </c>
      <c r="BR13">
        <v>505452</v>
      </c>
      <c r="BS13">
        <v>525744</v>
      </c>
      <c r="BT13">
        <v>564308</v>
      </c>
      <c r="BU13">
        <v>591890</v>
      </c>
      <c r="BV13">
        <v>645134</v>
      </c>
      <c r="BW13">
        <v>661543</v>
      </c>
      <c r="BX13">
        <v>677315</v>
      </c>
      <c r="BY13">
        <v>705166</v>
      </c>
      <c r="BZ13">
        <v>738090</v>
      </c>
      <c r="CA13">
        <v>779188</v>
      </c>
      <c r="CB13">
        <v>797287</v>
      </c>
      <c r="CC13">
        <v>824590</v>
      </c>
      <c r="CD13">
        <v>833963</v>
      </c>
      <c r="CE13">
        <v>793528</v>
      </c>
      <c r="CF13">
        <v>803979</v>
      </c>
      <c r="CG13">
        <v>832125</v>
      </c>
      <c r="CH13">
        <v>859395</v>
      </c>
      <c r="CI13">
        <v>895449</v>
      </c>
      <c r="CJ13">
        <v>925881</v>
      </c>
      <c r="CK13">
        <v>965555</v>
      </c>
      <c r="CL13">
        <v>979044</v>
      </c>
      <c r="CM13">
        <v>1036492</v>
      </c>
      <c r="CN13">
        <v>1098866</v>
      </c>
      <c r="CO13">
        <v>1140236</v>
      </c>
      <c r="CP13">
        <v>1118178</v>
      </c>
      <c r="CQ13">
        <v>1205480</v>
      </c>
      <c r="CR13">
        <v>1271589</v>
      </c>
      <c r="CS13">
        <v>1361327</v>
      </c>
      <c r="CT13">
        <v>1449921</v>
      </c>
      <c r="CU13">
        <v>1525601</v>
      </c>
    </row>
    <row r="14" spans="1:99">
      <c r="A14" t="s">
        <v>1025</v>
      </c>
      <c r="B14" t="s">
        <v>1026</v>
      </c>
      <c r="C14">
        <v>2999</v>
      </c>
      <c r="D14">
        <v>3037</v>
      </c>
      <c r="E14">
        <v>2842</v>
      </c>
      <c r="F14">
        <v>2942</v>
      </c>
      <c r="G14">
        <v>3467</v>
      </c>
      <c r="H14">
        <v>4090</v>
      </c>
      <c r="I14">
        <v>4155</v>
      </c>
      <c r="J14">
        <v>4364</v>
      </c>
      <c r="K14">
        <v>4621</v>
      </c>
      <c r="L14">
        <v>4575</v>
      </c>
      <c r="M14">
        <v>4751</v>
      </c>
      <c r="N14">
        <v>5136</v>
      </c>
      <c r="O14">
        <v>6052</v>
      </c>
      <c r="P14">
        <v>6421</v>
      </c>
      <c r="Q14">
        <v>6810</v>
      </c>
      <c r="R14">
        <v>7531</v>
      </c>
      <c r="S14">
        <v>8322</v>
      </c>
      <c r="T14">
        <v>9774</v>
      </c>
      <c r="U14">
        <v>11525</v>
      </c>
      <c r="V14">
        <v>12749</v>
      </c>
      <c r="W14">
        <v>13371</v>
      </c>
      <c r="X14">
        <v>14821</v>
      </c>
      <c r="Y14">
        <v>15853</v>
      </c>
      <c r="Z14">
        <v>17331</v>
      </c>
      <c r="AA14">
        <v>18468</v>
      </c>
      <c r="AB14">
        <v>17937</v>
      </c>
      <c r="AC14">
        <v>19818</v>
      </c>
      <c r="AD14">
        <v>21518</v>
      </c>
      <c r="AE14">
        <v>22808</v>
      </c>
      <c r="AF14">
        <v>23137</v>
      </c>
      <c r="AG14">
        <v>25553</v>
      </c>
      <c r="AH14">
        <v>27844</v>
      </c>
      <c r="AI14">
        <v>28940</v>
      </c>
      <c r="AJ14">
        <v>31234</v>
      </c>
      <c r="AK14">
        <v>33170</v>
      </c>
      <c r="AL14">
        <v>35588</v>
      </c>
      <c r="AM14">
        <v>37816</v>
      </c>
      <c r="AN14">
        <v>38913</v>
      </c>
      <c r="AO14">
        <v>41389</v>
      </c>
      <c r="AP14">
        <v>47847</v>
      </c>
      <c r="AQ14">
        <v>52896</v>
      </c>
      <c r="AR14">
        <v>56965</v>
      </c>
      <c r="AS14">
        <v>62805</v>
      </c>
      <c r="AT14">
        <v>67290</v>
      </c>
      <c r="AU14">
        <v>74125</v>
      </c>
      <c r="AV14">
        <v>78624</v>
      </c>
      <c r="AW14">
        <v>84498</v>
      </c>
      <c r="AX14">
        <v>91413</v>
      </c>
      <c r="AY14">
        <v>100018</v>
      </c>
      <c r="AZ14">
        <v>108702</v>
      </c>
      <c r="BA14">
        <v>115009</v>
      </c>
      <c r="BB14">
        <v>128574</v>
      </c>
      <c r="BC14">
        <v>154404</v>
      </c>
      <c r="BD14">
        <v>161301</v>
      </c>
      <c r="BE14">
        <v>177439</v>
      </c>
      <c r="BF14">
        <v>195621</v>
      </c>
      <c r="BG14">
        <v>209049</v>
      </c>
      <c r="BH14">
        <v>219623</v>
      </c>
      <c r="BI14">
        <v>233366</v>
      </c>
      <c r="BJ14">
        <v>252014</v>
      </c>
      <c r="BK14">
        <v>267544</v>
      </c>
      <c r="BL14">
        <v>284469</v>
      </c>
      <c r="BM14">
        <v>307936</v>
      </c>
      <c r="BN14">
        <v>325895</v>
      </c>
      <c r="BO14">
        <v>343758</v>
      </c>
      <c r="BP14">
        <v>376108</v>
      </c>
      <c r="BQ14">
        <v>384752</v>
      </c>
      <c r="BR14">
        <v>398416</v>
      </c>
      <c r="BS14">
        <v>416929</v>
      </c>
      <c r="BT14">
        <v>430775</v>
      </c>
      <c r="BU14">
        <v>453905</v>
      </c>
      <c r="BV14">
        <v>479695</v>
      </c>
      <c r="BW14">
        <v>469410</v>
      </c>
      <c r="BX14">
        <v>497529</v>
      </c>
      <c r="BY14">
        <v>524274</v>
      </c>
      <c r="BZ14">
        <v>569371</v>
      </c>
      <c r="CA14">
        <v>616267</v>
      </c>
      <c r="CB14">
        <v>654523</v>
      </c>
      <c r="CC14">
        <v>676292</v>
      </c>
      <c r="CD14">
        <v>684959</v>
      </c>
      <c r="CE14">
        <v>655455</v>
      </c>
      <c r="CF14">
        <v>684947</v>
      </c>
      <c r="CG14">
        <v>718673</v>
      </c>
      <c r="CH14">
        <v>743190</v>
      </c>
      <c r="CI14">
        <v>776657</v>
      </c>
      <c r="CJ14">
        <v>812932</v>
      </c>
      <c r="CK14">
        <v>834841</v>
      </c>
      <c r="CL14">
        <v>851727</v>
      </c>
      <c r="CM14">
        <v>884628</v>
      </c>
      <c r="CN14">
        <v>948175</v>
      </c>
      <c r="CO14">
        <v>993339</v>
      </c>
      <c r="CP14">
        <v>578408</v>
      </c>
      <c r="CQ14">
        <v>764921</v>
      </c>
      <c r="CR14">
        <v>1179906</v>
      </c>
      <c r="CS14">
        <v>1194608</v>
      </c>
      <c r="CT14">
        <v>1250767</v>
      </c>
      <c r="CU14">
        <v>1412375</v>
      </c>
    </row>
    <row r="15" spans="1:99">
      <c r="A15" t="s">
        <v>1027</v>
      </c>
      <c r="B15" t="s">
        <v>1028</v>
      </c>
      <c r="C15">
        <v>12337</v>
      </c>
      <c r="D15">
        <v>9253</v>
      </c>
      <c r="E15">
        <v>4883</v>
      </c>
      <c r="F15">
        <v>1666</v>
      </c>
      <c r="G15">
        <v>1399</v>
      </c>
      <c r="H15">
        <v>4261</v>
      </c>
      <c r="I15">
        <v>5752</v>
      </c>
      <c r="J15">
        <v>7838</v>
      </c>
      <c r="K15">
        <v>8426</v>
      </c>
      <c r="L15">
        <v>6339</v>
      </c>
      <c r="M15">
        <v>7932</v>
      </c>
      <c r="N15">
        <v>11073</v>
      </c>
      <c r="O15">
        <v>16721</v>
      </c>
      <c r="P15">
        <v>21820</v>
      </c>
      <c r="Q15">
        <v>25979</v>
      </c>
      <c r="R15">
        <v>25913</v>
      </c>
      <c r="S15">
        <v>21462</v>
      </c>
      <c r="T15">
        <v>18179</v>
      </c>
      <c r="U15">
        <v>24046</v>
      </c>
      <c r="V15">
        <v>30715</v>
      </c>
      <c r="W15">
        <v>28441</v>
      </c>
      <c r="X15">
        <v>35351</v>
      </c>
      <c r="Y15">
        <v>40249</v>
      </c>
      <c r="Z15">
        <v>38565</v>
      </c>
      <c r="AA15">
        <v>39431</v>
      </c>
      <c r="AB15">
        <v>38376</v>
      </c>
      <c r="AC15">
        <v>49048</v>
      </c>
      <c r="AD15">
        <v>48272</v>
      </c>
      <c r="AE15">
        <v>47789</v>
      </c>
      <c r="AF15">
        <v>43321</v>
      </c>
      <c r="AG15">
        <v>53984</v>
      </c>
      <c r="AH15">
        <v>52858</v>
      </c>
      <c r="AI15">
        <v>54711</v>
      </c>
      <c r="AJ15">
        <v>62883</v>
      </c>
      <c r="AK15">
        <v>69109</v>
      </c>
      <c r="AL15">
        <v>76802</v>
      </c>
      <c r="AM15">
        <v>88957</v>
      </c>
      <c r="AN15">
        <v>96789</v>
      </c>
      <c r="AO15">
        <v>96269</v>
      </c>
      <c r="AP15">
        <v>104090</v>
      </c>
      <c r="AQ15">
        <v>104599</v>
      </c>
      <c r="AR15">
        <v>95348</v>
      </c>
      <c r="AS15">
        <v>108847</v>
      </c>
      <c r="AT15">
        <v>124002</v>
      </c>
      <c r="AU15">
        <v>138039</v>
      </c>
      <c r="AV15">
        <v>137593</v>
      </c>
      <c r="AW15">
        <v>159714</v>
      </c>
      <c r="AX15">
        <v>188081</v>
      </c>
      <c r="AY15">
        <v>220349</v>
      </c>
      <c r="AZ15">
        <v>254214</v>
      </c>
      <c r="BA15">
        <v>261553</v>
      </c>
      <c r="BB15">
        <v>259716</v>
      </c>
      <c r="BC15">
        <v>315280</v>
      </c>
      <c r="BD15">
        <v>309630</v>
      </c>
      <c r="BE15">
        <v>356159</v>
      </c>
      <c r="BF15">
        <v>434916</v>
      </c>
      <c r="BG15">
        <v>449649</v>
      </c>
      <c r="BH15">
        <v>413928</v>
      </c>
      <c r="BI15">
        <v>442835</v>
      </c>
      <c r="BJ15">
        <v>488358</v>
      </c>
      <c r="BK15">
        <v>506123</v>
      </c>
      <c r="BL15">
        <v>493252</v>
      </c>
      <c r="BM15">
        <v>489313</v>
      </c>
      <c r="BN15">
        <v>501640</v>
      </c>
      <c r="BO15">
        <v>542179</v>
      </c>
      <c r="BP15">
        <v>637379</v>
      </c>
      <c r="BQ15">
        <v>711162</v>
      </c>
      <c r="BR15">
        <v>791760</v>
      </c>
      <c r="BS15">
        <v>879591</v>
      </c>
      <c r="BT15">
        <v>881203</v>
      </c>
      <c r="BU15">
        <v>894212</v>
      </c>
      <c r="BV15">
        <v>888960</v>
      </c>
      <c r="BW15">
        <v>830788</v>
      </c>
      <c r="BX15">
        <v>913682</v>
      </c>
      <c r="BY15">
        <v>1027260</v>
      </c>
      <c r="BZ15">
        <v>1177419</v>
      </c>
      <c r="CA15">
        <v>1384109</v>
      </c>
      <c r="CB15">
        <v>1574260</v>
      </c>
      <c r="CC15">
        <v>1439784</v>
      </c>
      <c r="CD15">
        <v>1226760</v>
      </c>
      <c r="CE15">
        <v>1290752</v>
      </c>
      <c r="CF15">
        <v>1580572</v>
      </c>
      <c r="CG15">
        <v>1651835</v>
      </c>
      <c r="CH15">
        <v>1856116</v>
      </c>
      <c r="CI15">
        <v>1875859</v>
      </c>
      <c r="CJ15">
        <v>2061056</v>
      </c>
      <c r="CK15">
        <v>2117610</v>
      </c>
      <c r="CL15">
        <v>2093040</v>
      </c>
      <c r="CM15">
        <v>2106659</v>
      </c>
      <c r="CN15">
        <v>2273961</v>
      </c>
      <c r="CO15">
        <v>2339171</v>
      </c>
      <c r="CP15">
        <v>2380724</v>
      </c>
      <c r="CQ15">
        <v>3100089</v>
      </c>
      <c r="CR15">
        <v>3350735</v>
      </c>
      <c r="CS15">
        <v>3523348</v>
      </c>
      <c r="CT15">
        <v>3683673</v>
      </c>
      <c r="CU15" t="s">
        <v>1014</v>
      </c>
    </row>
    <row r="16" spans="1:99">
      <c r="A16" t="s">
        <v>1029</v>
      </c>
      <c r="B16" t="s">
        <v>1030</v>
      </c>
      <c r="C16">
        <v>1381</v>
      </c>
      <c r="D16">
        <v>1538</v>
      </c>
      <c r="E16">
        <v>1522</v>
      </c>
      <c r="F16">
        <v>1397</v>
      </c>
      <c r="G16">
        <v>1168</v>
      </c>
      <c r="H16">
        <v>1414</v>
      </c>
      <c r="I16">
        <v>1525</v>
      </c>
      <c r="J16">
        <v>1359</v>
      </c>
      <c r="K16">
        <v>1304</v>
      </c>
      <c r="L16">
        <v>1321</v>
      </c>
      <c r="M16">
        <v>1336</v>
      </c>
      <c r="N16">
        <v>1120</v>
      </c>
      <c r="O16">
        <v>1000</v>
      </c>
      <c r="P16">
        <v>981</v>
      </c>
      <c r="Q16">
        <v>925</v>
      </c>
      <c r="R16">
        <v>692</v>
      </c>
      <c r="S16">
        <v>603</v>
      </c>
      <c r="T16">
        <v>54</v>
      </c>
      <c r="U16">
        <v>277</v>
      </c>
      <c r="V16">
        <v>7</v>
      </c>
      <c r="W16">
        <v>-47</v>
      </c>
      <c r="X16">
        <v>-133</v>
      </c>
      <c r="Y16">
        <v>-222</v>
      </c>
      <c r="Z16">
        <v>-249</v>
      </c>
      <c r="AA16">
        <v>-45</v>
      </c>
      <c r="AB16">
        <v>160</v>
      </c>
      <c r="AC16">
        <v>140</v>
      </c>
      <c r="AD16">
        <v>18</v>
      </c>
      <c r="AE16">
        <v>164</v>
      </c>
      <c r="AF16">
        <v>555</v>
      </c>
      <c r="AG16">
        <v>-193</v>
      </c>
      <c r="AH16">
        <v>-187</v>
      </c>
      <c r="AI16">
        <v>432</v>
      </c>
      <c r="AJ16">
        <v>760</v>
      </c>
      <c r="AK16">
        <v>396</v>
      </c>
      <c r="AL16">
        <v>817</v>
      </c>
      <c r="AM16">
        <v>1237</v>
      </c>
      <c r="AN16">
        <v>2321</v>
      </c>
      <c r="AO16">
        <v>4041</v>
      </c>
      <c r="AP16">
        <v>4266</v>
      </c>
      <c r="AQ16">
        <v>8491</v>
      </c>
      <c r="AR16">
        <v>12459</v>
      </c>
      <c r="AS16">
        <v>12642</v>
      </c>
      <c r="AT16">
        <v>12434</v>
      </c>
      <c r="AU16">
        <v>14744</v>
      </c>
      <c r="AV16">
        <v>23076</v>
      </c>
      <c r="AW16">
        <v>27239</v>
      </c>
      <c r="AX16">
        <v>22707</v>
      </c>
      <c r="AY16">
        <v>27672</v>
      </c>
      <c r="AZ16">
        <v>30608</v>
      </c>
      <c r="BA16">
        <v>36126</v>
      </c>
      <c r="BB16">
        <v>60018</v>
      </c>
      <c r="BC16">
        <v>84794</v>
      </c>
      <c r="BD16">
        <v>97829</v>
      </c>
      <c r="BE16">
        <v>93826</v>
      </c>
      <c r="BF16">
        <v>107313</v>
      </c>
      <c r="BG16">
        <v>103791</v>
      </c>
      <c r="BH16">
        <v>100551</v>
      </c>
      <c r="BI16">
        <v>95117</v>
      </c>
      <c r="BJ16">
        <v>102750</v>
      </c>
      <c r="BK16">
        <v>120906</v>
      </c>
      <c r="BL16">
        <v>116018</v>
      </c>
      <c r="BM16">
        <v>83390</v>
      </c>
      <c r="BN16">
        <v>59484</v>
      </c>
      <c r="BO16">
        <v>56643</v>
      </c>
      <c r="BP16">
        <v>49055</v>
      </c>
      <c r="BQ16">
        <v>50534</v>
      </c>
      <c r="BR16">
        <v>46413</v>
      </c>
      <c r="BS16">
        <v>62911</v>
      </c>
      <c r="BT16">
        <v>95975</v>
      </c>
      <c r="BU16">
        <v>95329</v>
      </c>
      <c r="BV16">
        <v>135807</v>
      </c>
      <c r="BW16">
        <v>127588</v>
      </c>
      <c r="BX16">
        <v>78483</v>
      </c>
      <c r="BY16">
        <v>58798</v>
      </c>
      <c r="BZ16">
        <v>-2596</v>
      </c>
      <c r="CA16">
        <v>24285</v>
      </c>
      <c r="CB16">
        <v>71332</v>
      </c>
      <c r="CC16">
        <v>113396</v>
      </c>
      <c r="CD16">
        <v>176513</v>
      </c>
      <c r="CE16">
        <v>117315</v>
      </c>
      <c r="CF16">
        <v>93221</v>
      </c>
      <c r="CG16">
        <v>95115</v>
      </c>
      <c r="CH16">
        <v>150590</v>
      </c>
      <c r="CI16">
        <v>128425</v>
      </c>
      <c r="CJ16">
        <v>156103</v>
      </c>
      <c r="CK16">
        <v>218459</v>
      </c>
      <c r="CL16">
        <v>231573</v>
      </c>
      <c r="CM16">
        <v>268838</v>
      </c>
      <c r="CN16">
        <v>302183</v>
      </c>
      <c r="CO16">
        <v>264641</v>
      </c>
      <c r="CP16">
        <v>288979</v>
      </c>
      <c r="CQ16">
        <v>250238</v>
      </c>
      <c r="CR16">
        <v>240968</v>
      </c>
      <c r="CS16">
        <v>168012</v>
      </c>
      <c r="CT16">
        <v>88225</v>
      </c>
      <c r="CU16" t="s">
        <v>1014</v>
      </c>
    </row>
    <row r="17" spans="1:99">
      <c r="A17" t="s">
        <v>1031</v>
      </c>
      <c r="B17" t="s">
        <v>1032</v>
      </c>
      <c r="C17">
        <v>355</v>
      </c>
      <c r="D17">
        <v>354</v>
      </c>
      <c r="E17">
        <v>406</v>
      </c>
      <c r="F17">
        <v>425</v>
      </c>
      <c r="G17">
        <v>404</v>
      </c>
      <c r="H17">
        <v>390</v>
      </c>
      <c r="I17">
        <v>368</v>
      </c>
      <c r="J17">
        <v>353</v>
      </c>
      <c r="K17">
        <v>342</v>
      </c>
      <c r="L17">
        <v>311</v>
      </c>
      <c r="M17">
        <v>328</v>
      </c>
      <c r="N17">
        <v>347</v>
      </c>
      <c r="O17">
        <v>419</v>
      </c>
      <c r="P17">
        <v>428</v>
      </c>
      <c r="Q17">
        <v>526</v>
      </c>
      <c r="R17">
        <v>672</v>
      </c>
      <c r="S17">
        <v>749</v>
      </c>
      <c r="T17">
        <v>572</v>
      </c>
      <c r="U17">
        <v>591</v>
      </c>
      <c r="V17">
        <v>577</v>
      </c>
      <c r="W17">
        <v>555</v>
      </c>
      <c r="X17">
        <v>694</v>
      </c>
      <c r="Y17">
        <v>1017</v>
      </c>
      <c r="Z17">
        <v>1038</v>
      </c>
      <c r="AA17">
        <v>981</v>
      </c>
      <c r="AB17">
        <v>719</v>
      </c>
      <c r="AC17">
        <v>1095</v>
      </c>
      <c r="AD17">
        <v>1428</v>
      </c>
      <c r="AE17">
        <v>1577</v>
      </c>
      <c r="AF17">
        <v>1432</v>
      </c>
      <c r="AG17">
        <v>1381</v>
      </c>
      <c r="AH17">
        <v>1502</v>
      </c>
      <c r="AI17">
        <v>1650</v>
      </c>
      <c r="AJ17">
        <v>1852</v>
      </c>
      <c r="AK17">
        <v>2286</v>
      </c>
      <c r="AL17">
        <v>2747</v>
      </c>
      <c r="AM17">
        <v>3138</v>
      </c>
      <c r="AN17">
        <v>2874</v>
      </c>
      <c r="AO17">
        <v>3137</v>
      </c>
      <c r="AP17">
        <v>3713</v>
      </c>
      <c r="AQ17">
        <v>4287</v>
      </c>
      <c r="AR17">
        <v>3745</v>
      </c>
      <c r="AS17">
        <v>3413</v>
      </c>
      <c r="AT17">
        <v>3890</v>
      </c>
      <c r="AU17">
        <v>4804</v>
      </c>
      <c r="AV17">
        <v>6282</v>
      </c>
      <c r="AW17">
        <v>8247</v>
      </c>
      <c r="AX17">
        <v>7584</v>
      </c>
      <c r="AY17">
        <v>6006</v>
      </c>
      <c r="AZ17">
        <v>7906</v>
      </c>
      <c r="BA17">
        <v>10823</v>
      </c>
      <c r="BB17">
        <v>12044</v>
      </c>
      <c r="BC17">
        <v>14271</v>
      </c>
      <c r="BD17">
        <v>16632</v>
      </c>
      <c r="BE17">
        <v>19486</v>
      </c>
      <c r="BF17">
        <v>26904</v>
      </c>
      <c r="BG17">
        <v>30878</v>
      </c>
      <c r="BH17">
        <v>29286</v>
      </c>
      <c r="BI17">
        <v>24915</v>
      </c>
      <c r="BJ17">
        <v>26350</v>
      </c>
      <c r="BK17">
        <v>33630</v>
      </c>
      <c r="BL17">
        <v>33991</v>
      </c>
      <c r="BM17">
        <v>33652</v>
      </c>
      <c r="BN17">
        <v>33956</v>
      </c>
      <c r="BO17">
        <v>31750</v>
      </c>
      <c r="BP17">
        <v>32199</v>
      </c>
      <c r="BQ17">
        <v>36897</v>
      </c>
      <c r="BR17">
        <v>43745</v>
      </c>
      <c r="BS17">
        <v>34368</v>
      </c>
      <c r="BT17">
        <v>52822</v>
      </c>
      <c r="BU17">
        <v>53845</v>
      </c>
      <c r="BV17">
        <v>72406</v>
      </c>
      <c r="BW17">
        <v>84817</v>
      </c>
      <c r="BX17">
        <v>61611</v>
      </c>
      <c r="BY17">
        <v>50318</v>
      </c>
      <c r="BZ17">
        <v>54603</v>
      </c>
      <c r="CA17">
        <v>55496</v>
      </c>
      <c r="CB17">
        <v>46542</v>
      </c>
      <c r="CC17">
        <v>68360</v>
      </c>
      <c r="CD17">
        <v>94819</v>
      </c>
      <c r="CE17">
        <v>96549</v>
      </c>
      <c r="CF17">
        <v>98666</v>
      </c>
      <c r="CG17">
        <v>106842</v>
      </c>
      <c r="CH17">
        <v>53156</v>
      </c>
      <c r="CI17">
        <v>65135</v>
      </c>
      <c r="CJ17">
        <v>96997</v>
      </c>
      <c r="CK17">
        <v>121223</v>
      </c>
      <c r="CL17">
        <v>137067</v>
      </c>
      <c r="CM17">
        <v>111478</v>
      </c>
      <c r="CN17">
        <v>127201</v>
      </c>
      <c r="CO17">
        <v>136233</v>
      </c>
      <c r="CP17">
        <v>125481</v>
      </c>
      <c r="CQ17">
        <v>152062</v>
      </c>
      <c r="CR17">
        <v>196648</v>
      </c>
      <c r="CS17">
        <v>211086</v>
      </c>
      <c r="CT17">
        <v>251287</v>
      </c>
      <c r="CU17">
        <v>243361</v>
      </c>
    </row>
    <row r="18" spans="1:99">
      <c r="A18" t="s">
        <v>1033</v>
      </c>
      <c r="B18" t="s">
        <v>1034</v>
      </c>
      <c r="C18">
        <v>10601</v>
      </c>
      <c r="D18">
        <v>7361</v>
      </c>
      <c r="E18">
        <v>2955</v>
      </c>
      <c r="F18">
        <v>-156</v>
      </c>
      <c r="G18">
        <v>-173</v>
      </c>
      <c r="H18">
        <v>2457</v>
      </c>
      <c r="I18">
        <v>3859</v>
      </c>
      <c r="J18">
        <v>6126</v>
      </c>
      <c r="K18">
        <v>6780</v>
      </c>
      <c r="L18">
        <v>4707</v>
      </c>
      <c r="M18">
        <v>6268</v>
      </c>
      <c r="N18">
        <v>9606</v>
      </c>
      <c r="O18">
        <v>15302</v>
      </c>
      <c r="P18">
        <v>20411</v>
      </c>
      <c r="Q18">
        <v>24528</v>
      </c>
      <c r="R18">
        <v>24549</v>
      </c>
      <c r="S18">
        <v>20110</v>
      </c>
      <c r="T18">
        <v>17552</v>
      </c>
      <c r="U18">
        <v>23178</v>
      </c>
      <c r="V18">
        <v>30132</v>
      </c>
      <c r="W18">
        <v>27933</v>
      </c>
      <c r="X18">
        <v>34790</v>
      </c>
      <c r="Y18">
        <v>39454</v>
      </c>
      <c r="Z18">
        <v>37777</v>
      </c>
      <c r="AA18">
        <v>38496</v>
      </c>
      <c r="AB18">
        <v>37498</v>
      </c>
      <c r="AC18">
        <v>47814</v>
      </c>
      <c r="AD18">
        <v>46825</v>
      </c>
      <c r="AE18">
        <v>46048</v>
      </c>
      <c r="AF18">
        <v>41334</v>
      </c>
      <c r="AG18">
        <v>52796</v>
      </c>
      <c r="AH18">
        <v>51543</v>
      </c>
      <c r="AI18">
        <v>52629</v>
      </c>
      <c r="AJ18">
        <v>60271</v>
      </c>
      <c r="AK18">
        <v>66427</v>
      </c>
      <c r="AL18">
        <v>73239</v>
      </c>
      <c r="AM18">
        <v>84583</v>
      </c>
      <c r="AN18">
        <v>91594</v>
      </c>
      <c r="AO18">
        <v>89091</v>
      </c>
      <c r="AP18">
        <v>96111</v>
      </c>
      <c r="AQ18">
        <v>91821</v>
      </c>
      <c r="AR18">
        <v>79144</v>
      </c>
      <c r="AS18">
        <v>92792</v>
      </c>
      <c r="AT18">
        <v>107678</v>
      </c>
      <c r="AU18">
        <v>118492</v>
      </c>
      <c r="AV18">
        <v>108236</v>
      </c>
      <c r="AW18">
        <v>124228</v>
      </c>
      <c r="AX18">
        <v>157790</v>
      </c>
      <c r="AY18">
        <v>186670</v>
      </c>
      <c r="AZ18">
        <v>215700</v>
      </c>
      <c r="BA18">
        <v>214605</v>
      </c>
      <c r="BB18">
        <v>187655</v>
      </c>
      <c r="BC18">
        <v>216215</v>
      </c>
      <c r="BD18">
        <v>195169</v>
      </c>
      <c r="BE18">
        <v>242847</v>
      </c>
      <c r="BF18">
        <v>300699</v>
      </c>
      <c r="BG18">
        <v>314980</v>
      </c>
      <c r="BH18">
        <v>284091</v>
      </c>
      <c r="BI18">
        <v>322803</v>
      </c>
      <c r="BJ18">
        <v>359258</v>
      </c>
      <c r="BK18">
        <v>351587</v>
      </c>
      <c r="BL18">
        <v>343243</v>
      </c>
      <c r="BM18">
        <v>372271</v>
      </c>
      <c r="BN18">
        <v>408200</v>
      </c>
      <c r="BO18">
        <v>453787</v>
      </c>
      <c r="BP18">
        <v>556125</v>
      </c>
      <c r="BQ18">
        <v>623730</v>
      </c>
      <c r="BR18">
        <v>701602</v>
      </c>
      <c r="BS18">
        <v>782312</v>
      </c>
      <c r="BT18">
        <v>732405</v>
      </c>
      <c r="BU18">
        <v>745039</v>
      </c>
      <c r="BV18">
        <v>680747</v>
      </c>
      <c r="BW18">
        <v>618384</v>
      </c>
      <c r="BX18">
        <v>773589</v>
      </c>
      <c r="BY18">
        <v>918145</v>
      </c>
      <c r="BZ18">
        <v>1125412</v>
      </c>
      <c r="CA18">
        <v>1304329</v>
      </c>
      <c r="CB18">
        <v>1456385</v>
      </c>
      <c r="CC18">
        <v>1258028</v>
      </c>
      <c r="CD18">
        <v>955428</v>
      </c>
      <c r="CE18">
        <v>1076888</v>
      </c>
      <c r="CF18">
        <v>1388685</v>
      </c>
      <c r="CG18">
        <v>1449878</v>
      </c>
      <c r="CH18">
        <v>1652370</v>
      </c>
      <c r="CI18">
        <v>1682298</v>
      </c>
      <c r="CJ18">
        <v>1807956</v>
      </c>
      <c r="CK18">
        <v>1777928</v>
      </c>
      <c r="CL18">
        <v>1724401</v>
      </c>
      <c r="CM18">
        <v>1726343</v>
      </c>
      <c r="CN18">
        <v>1844577</v>
      </c>
      <c r="CO18">
        <v>1938296</v>
      </c>
      <c r="CP18">
        <v>1966263</v>
      </c>
      <c r="CQ18">
        <v>2697790</v>
      </c>
      <c r="CR18">
        <v>2913118</v>
      </c>
      <c r="CS18">
        <v>3144250</v>
      </c>
      <c r="CT18">
        <v>3344161</v>
      </c>
      <c r="CU18" t="s">
        <v>1014</v>
      </c>
    </row>
    <row r="19" spans="1:99">
      <c r="A19" t="s">
        <v>1035</v>
      </c>
      <c r="B19" t="s">
        <v>1036</v>
      </c>
      <c r="C19">
        <v>1365</v>
      </c>
      <c r="D19">
        <v>842</v>
      </c>
      <c r="E19">
        <v>498</v>
      </c>
      <c r="F19">
        <v>383</v>
      </c>
      <c r="G19">
        <v>521</v>
      </c>
      <c r="H19">
        <v>744</v>
      </c>
      <c r="I19">
        <v>951</v>
      </c>
      <c r="J19">
        <v>1409</v>
      </c>
      <c r="K19">
        <v>1502</v>
      </c>
      <c r="L19">
        <v>1029</v>
      </c>
      <c r="M19">
        <v>1441</v>
      </c>
      <c r="N19">
        <v>2834</v>
      </c>
      <c r="O19">
        <v>7610</v>
      </c>
      <c r="P19">
        <v>11415</v>
      </c>
      <c r="Q19">
        <v>14074</v>
      </c>
      <c r="R19">
        <v>12949</v>
      </c>
      <c r="S19">
        <v>10689</v>
      </c>
      <c r="T19">
        <v>9104</v>
      </c>
      <c r="U19">
        <v>11193</v>
      </c>
      <c r="V19">
        <v>12254</v>
      </c>
      <c r="W19">
        <v>10010</v>
      </c>
      <c r="X19">
        <v>17728</v>
      </c>
      <c r="Y19">
        <v>22304</v>
      </c>
      <c r="Z19">
        <v>19107</v>
      </c>
      <c r="AA19">
        <v>19944</v>
      </c>
      <c r="AB19">
        <v>17348</v>
      </c>
      <c r="AC19">
        <v>21789</v>
      </c>
      <c r="AD19">
        <v>21591</v>
      </c>
      <c r="AE19">
        <v>20880</v>
      </c>
      <c r="AF19">
        <v>18440</v>
      </c>
      <c r="AG19">
        <v>22816</v>
      </c>
      <c r="AH19">
        <v>21885</v>
      </c>
      <c r="AI19">
        <v>22203</v>
      </c>
      <c r="AJ19">
        <v>23296</v>
      </c>
      <c r="AK19">
        <v>25491</v>
      </c>
      <c r="AL19">
        <v>26573</v>
      </c>
      <c r="AM19">
        <v>29768</v>
      </c>
      <c r="AN19">
        <v>32232</v>
      </c>
      <c r="AO19">
        <v>30992</v>
      </c>
      <c r="AP19">
        <v>37164</v>
      </c>
      <c r="AQ19">
        <v>36958</v>
      </c>
      <c r="AR19">
        <v>31263</v>
      </c>
      <c r="AS19">
        <v>34808</v>
      </c>
      <c r="AT19">
        <v>39110</v>
      </c>
      <c r="AU19">
        <v>45632</v>
      </c>
      <c r="AV19">
        <v>47235</v>
      </c>
      <c r="AW19">
        <v>46264</v>
      </c>
      <c r="AX19">
        <v>59418</v>
      </c>
      <c r="AY19">
        <v>68504</v>
      </c>
      <c r="AZ19">
        <v>77852</v>
      </c>
      <c r="BA19">
        <v>80737</v>
      </c>
      <c r="BB19">
        <v>75484</v>
      </c>
      <c r="BC19">
        <v>70315</v>
      </c>
      <c r="BD19">
        <v>51294</v>
      </c>
      <c r="BE19">
        <v>66419</v>
      </c>
      <c r="BF19">
        <v>81477</v>
      </c>
      <c r="BG19">
        <v>81610</v>
      </c>
      <c r="BH19">
        <v>91871</v>
      </c>
      <c r="BI19">
        <v>112702</v>
      </c>
      <c r="BJ19">
        <v>124266</v>
      </c>
      <c r="BK19">
        <v>124422</v>
      </c>
      <c r="BL19">
        <v>121816</v>
      </c>
      <c r="BM19">
        <v>117813</v>
      </c>
      <c r="BN19">
        <v>131914</v>
      </c>
      <c r="BO19">
        <v>155047</v>
      </c>
      <c r="BP19">
        <v>172671</v>
      </c>
      <c r="BQ19">
        <v>194449</v>
      </c>
      <c r="BR19">
        <v>211386</v>
      </c>
      <c r="BS19">
        <v>224762</v>
      </c>
      <c r="BT19">
        <v>221805</v>
      </c>
      <c r="BU19">
        <v>227386</v>
      </c>
      <c r="BV19">
        <v>233448</v>
      </c>
      <c r="BW19">
        <v>170148</v>
      </c>
      <c r="BX19">
        <v>160674</v>
      </c>
      <c r="BY19">
        <v>213763</v>
      </c>
      <c r="BZ19">
        <v>278512</v>
      </c>
      <c r="CA19">
        <v>379749</v>
      </c>
      <c r="CB19">
        <v>430147</v>
      </c>
      <c r="CC19">
        <v>391782</v>
      </c>
      <c r="CD19">
        <v>255918</v>
      </c>
      <c r="CE19">
        <v>203933</v>
      </c>
      <c r="CF19">
        <v>272267</v>
      </c>
      <c r="CG19">
        <v>280763</v>
      </c>
      <c r="CH19">
        <v>334589</v>
      </c>
      <c r="CI19">
        <v>362418</v>
      </c>
      <c r="CJ19">
        <v>406890</v>
      </c>
      <c r="CK19">
        <v>396125</v>
      </c>
      <c r="CL19">
        <v>376034</v>
      </c>
      <c r="CM19">
        <v>297156</v>
      </c>
      <c r="CN19">
        <v>297423</v>
      </c>
      <c r="CO19">
        <v>297195</v>
      </c>
      <c r="CP19">
        <v>311059</v>
      </c>
      <c r="CQ19">
        <v>468876</v>
      </c>
      <c r="CR19">
        <v>600568</v>
      </c>
      <c r="CS19">
        <v>613010</v>
      </c>
      <c r="CT19">
        <v>680341</v>
      </c>
      <c r="CU19" t="s">
        <v>1014</v>
      </c>
    </row>
    <row r="20" spans="1:99">
      <c r="A20" t="s">
        <v>1037</v>
      </c>
      <c r="B20" t="s">
        <v>1038</v>
      </c>
      <c r="C20">
        <v>9236</v>
      </c>
      <c r="D20">
        <v>6519</v>
      </c>
      <c r="E20">
        <v>2457</v>
      </c>
      <c r="F20">
        <v>-539</v>
      </c>
      <c r="G20">
        <v>-694</v>
      </c>
      <c r="H20">
        <v>1713</v>
      </c>
      <c r="I20">
        <v>2908</v>
      </c>
      <c r="J20">
        <v>4717</v>
      </c>
      <c r="K20">
        <v>5278</v>
      </c>
      <c r="L20">
        <v>3678</v>
      </c>
      <c r="M20">
        <v>4827</v>
      </c>
      <c r="N20">
        <v>6772</v>
      </c>
      <c r="O20">
        <v>7692</v>
      </c>
      <c r="P20">
        <v>8996</v>
      </c>
      <c r="Q20">
        <v>10454</v>
      </c>
      <c r="R20">
        <v>11600</v>
      </c>
      <c r="S20">
        <v>9421</v>
      </c>
      <c r="T20">
        <v>8448</v>
      </c>
      <c r="U20">
        <v>11985</v>
      </c>
      <c r="V20">
        <v>17878</v>
      </c>
      <c r="W20">
        <v>17923</v>
      </c>
      <c r="X20">
        <v>17062</v>
      </c>
      <c r="Y20">
        <v>17150</v>
      </c>
      <c r="Z20">
        <v>18670</v>
      </c>
      <c r="AA20">
        <v>18552</v>
      </c>
      <c r="AB20">
        <v>20150</v>
      </c>
      <c r="AC20">
        <v>26025</v>
      </c>
      <c r="AD20">
        <v>25234</v>
      </c>
      <c r="AE20">
        <v>25168</v>
      </c>
      <c r="AF20">
        <v>22894</v>
      </c>
      <c r="AG20">
        <v>29980</v>
      </c>
      <c r="AH20">
        <v>29658</v>
      </c>
      <c r="AI20">
        <v>30426</v>
      </c>
      <c r="AJ20">
        <v>36975</v>
      </c>
      <c r="AK20">
        <v>40936</v>
      </c>
      <c r="AL20">
        <v>46666</v>
      </c>
      <c r="AM20">
        <v>54815</v>
      </c>
      <c r="AN20">
        <v>59362</v>
      </c>
      <c r="AO20">
        <v>58099</v>
      </c>
      <c r="AP20">
        <v>58947</v>
      </c>
      <c r="AQ20">
        <v>54863</v>
      </c>
      <c r="AR20">
        <v>47881</v>
      </c>
      <c r="AS20">
        <v>57984</v>
      </c>
      <c r="AT20">
        <v>68568</v>
      </c>
      <c r="AU20">
        <v>72860</v>
      </c>
      <c r="AV20">
        <v>61001</v>
      </c>
      <c r="AW20">
        <v>77964</v>
      </c>
      <c r="AX20">
        <v>98372</v>
      </c>
      <c r="AY20">
        <v>118166</v>
      </c>
      <c r="AZ20">
        <v>137848</v>
      </c>
      <c r="BA20">
        <v>133868</v>
      </c>
      <c r="BB20">
        <v>112171</v>
      </c>
      <c r="BC20">
        <v>145900</v>
      </c>
      <c r="BD20">
        <v>143875</v>
      </c>
      <c r="BE20">
        <v>176428</v>
      </c>
      <c r="BF20">
        <v>219222</v>
      </c>
      <c r="BG20">
        <v>233370</v>
      </c>
      <c r="BH20">
        <v>192220</v>
      </c>
      <c r="BI20">
        <v>210101</v>
      </c>
      <c r="BJ20">
        <v>234992</v>
      </c>
      <c r="BK20">
        <v>227165</v>
      </c>
      <c r="BL20">
        <v>221427</v>
      </c>
      <c r="BM20">
        <v>254458</v>
      </c>
      <c r="BN20">
        <v>276286</v>
      </c>
      <c r="BO20">
        <v>298740</v>
      </c>
      <c r="BP20">
        <v>383454</v>
      </c>
      <c r="BQ20">
        <v>429281</v>
      </c>
      <c r="BR20">
        <v>490216</v>
      </c>
      <c r="BS20">
        <v>557550</v>
      </c>
      <c r="BT20">
        <v>510600</v>
      </c>
      <c r="BU20">
        <v>517653</v>
      </c>
      <c r="BV20">
        <v>447299</v>
      </c>
      <c r="BW20">
        <v>448236</v>
      </c>
      <c r="BX20">
        <v>612915</v>
      </c>
      <c r="BY20">
        <v>704381</v>
      </c>
      <c r="BZ20">
        <v>846901</v>
      </c>
      <c r="CA20">
        <v>924580</v>
      </c>
      <c r="CB20">
        <v>1026238</v>
      </c>
      <c r="CC20">
        <v>866246</v>
      </c>
      <c r="CD20">
        <v>699509</v>
      </c>
      <c r="CE20">
        <v>872955</v>
      </c>
      <c r="CF20">
        <v>1116418</v>
      </c>
      <c r="CG20">
        <v>1169115</v>
      </c>
      <c r="CH20">
        <v>1317781</v>
      </c>
      <c r="CI20">
        <v>1319880</v>
      </c>
      <c r="CJ20">
        <v>1401066</v>
      </c>
      <c r="CK20">
        <v>1381803</v>
      </c>
      <c r="CL20">
        <v>1348367</v>
      </c>
      <c r="CM20">
        <v>1429187</v>
      </c>
      <c r="CN20">
        <v>1547154</v>
      </c>
      <c r="CO20">
        <v>1641101</v>
      </c>
      <c r="CP20">
        <v>1655204</v>
      </c>
      <c r="CQ20">
        <v>2228914</v>
      </c>
      <c r="CR20">
        <v>2312550</v>
      </c>
      <c r="CS20">
        <v>2531240</v>
      </c>
      <c r="CT20">
        <v>2663820</v>
      </c>
      <c r="CU20" t="s">
        <v>1014</v>
      </c>
    </row>
    <row r="21" spans="1:99">
      <c r="A21" t="s">
        <v>1039</v>
      </c>
      <c r="B21" t="s">
        <v>1040</v>
      </c>
      <c r="C21">
        <v>5573</v>
      </c>
      <c r="D21">
        <v>5331</v>
      </c>
      <c r="E21">
        <v>4070</v>
      </c>
      <c r="F21">
        <v>2580</v>
      </c>
      <c r="G21">
        <v>2040</v>
      </c>
      <c r="H21">
        <v>2507</v>
      </c>
      <c r="I21">
        <v>2685</v>
      </c>
      <c r="J21">
        <v>4419</v>
      </c>
      <c r="K21">
        <v>4538</v>
      </c>
      <c r="L21">
        <v>2918</v>
      </c>
      <c r="M21">
        <v>3582</v>
      </c>
      <c r="N21">
        <v>3782</v>
      </c>
      <c r="O21">
        <v>4200</v>
      </c>
      <c r="P21">
        <v>4029</v>
      </c>
      <c r="Q21">
        <v>4208</v>
      </c>
      <c r="R21">
        <v>4324</v>
      </c>
      <c r="S21">
        <v>4372</v>
      </c>
      <c r="T21">
        <v>5149</v>
      </c>
      <c r="U21">
        <v>5707</v>
      </c>
      <c r="V21">
        <v>6367</v>
      </c>
      <c r="W21">
        <v>6599</v>
      </c>
      <c r="X21">
        <v>8051</v>
      </c>
      <c r="Y21">
        <v>7663</v>
      </c>
      <c r="Z21">
        <v>7753</v>
      </c>
      <c r="AA21">
        <v>8094</v>
      </c>
      <c r="AB21">
        <v>8136</v>
      </c>
      <c r="AC21">
        <v>9151</v>
      </c>
      <c r="AD21">
        <v>9869</v>
      </c>
      <c r="AE21">
        <v>10399</v>
      </c>
      <c r="AF21">
        <v>10356</v>
      </c>
      <c r="AG21">
        <v>11619</v>
      </c>
      <c r="AH21">
        <v>12307</v>
      </c>
      <c r="AI21">
        <v>12193</v>
      </c>
      <c r="AJ21">
        <v>13155</v>
      </c>
      <c r="AK21">
        <v>14442</v>
      </c>
      <c r="AL21">
        <v>16573</v>
      </c>
      <c r="AM21">
        <v>18171</v>
      </c>
      <c r="AN21">
        <v>19477</v>
      </c>
      <c r="AO21">
        <v>20237</v>
      </c>
      <c r="AP21">
        <v>22631</v>
      </c>
      <c r="AQ21">
        <v>23422</v>
      </c>
      <c r="AR21">
        <v>23865</v>
      </c>
      <c r="AS21">
        <v>23694</v>
      </c>
      <c r="AT21">
        <v>25173</v>
      </c>
      <c r="AU21">
        <v>27448</v>
      </c>
      <c r="AV21">
        <v>29004</v>
      </c>
      <c r="AW21">
        <v>31786</v>
      </c>
      <c r="AX21">
        <v>35925</v>
      </c>
      <c r="AY21">
        <v>39627</v>
      </c>
      <c r="AZ21">
        <v>46615</v>
      </c>
      <c r="BA21">
        <v>50978</v>
      </c>
      <c r="BB21">
        <v>59251</v>
      </c>
      <c r="BC21">
        <v>68438</v>
      </c>
      <c r="BD21">
        <v>72098</v>
      </c>
      <c r="BE21">
        <v>84246</v>
      </c>
      <c r="BF21">
        <v>89736</v>
      </c>
      <c r="BG21">
        <v>99909</v>
      </c>
      <c r="BH21">
        <v>103192</v>
      </c>
      <c r="BI21">
        <v>103163</v>
      </c>
      <c r="BJ21">
        <v>113617</v>
      </c>
      <c r="BK21">
        <v>147709</v>
      </c>
      <c r="BL21">
        <v>168590</v>
      </c>
      <c r="BM21">
        <v>177803</v>
      </c>
      <c r="BN21">
        <v>178473</v>
      </c>
      <c r="BO21">
        <v>201111</v>
      </c>
      <c r="BP21">
        <v>220391</v>
      </c>
      <c r="BQ21">
        <v>250774</v>
      </c>
      <c r="BR21">
        <v>283461</v>
      </c>
      <c r="BS21">
        <v>312727</v>
      </c>
      <c r="BT21">
        <v>344361</v>
      </c>
      <c r="BU21">
        <v>333669</v>
      </c>
      <c r="BV21">
        <v>383651</v>
      </c>
      <c r="BW21">
        <v>362060</v>
      </c>
      <c r="BX21">
        <v>379443</v>
      </c>
      <c r="BY21">
        <v>422953</v>
      </c>
      <c r="BZ21">
        <v>517519</v>
      </c>
      <c r="CA21">
        <v>318392</v>
      </c>
      <c r="CB21">
        <v>637938</v>
      </c>
      <c r="CC21">
        <v>677861</v>
      </c>
      <c r="CD21">
        <v>660852</v>
      </c>
      <c r="CE21">
        <v>516582</v>
      </c>
      <c r="CF21">
        <v>514546</v>
      </c>
      <c r="CG21">
        <v>633083</v>
      </c>
      <c r="CH21">
        <v>765393</v>
      </c>
      <c r="CI21">
        <v>858891</v>
      </c>
      <c r="CJ21">
        <v>898271</v>
      </c>
      <c r="CK21">
        <v>965924</v>
      </c>
      <c r="CL21">
        <v>953732</v>
      </c>
      <c r="CM21">
        <v>1043492</v>
      </c>
      <c r="CN21">
        <v>418955</v>
      </c>
      <c r="CO21">
        <v>937773</v>
      </c>
      <c r="CP21">
        <v>1167415</v>
      </c>
      <c r="CQ21">
        <v>1544530</v>
      </c>
      <c r="CR21">
        <v>1644556</v>
      </c>
      <c r="CS21">
        <v>1741153</v>
      </c>
      <c r="CT21">
        <v>1880004</v>
      </c>
      <c r="CU21" t="s">
        <v>1014</v>
      </c>
    </row>
    <row r="22" spans="1:99">
      <c r="A22" t="s">
        <v>1041</v>
      </c>
      <c r="B22" t="s">
        <v>1042</v>
      </c>
      <c r="C22">
        <v>3663</v>
      </c>
      <c r="D22">
        <v>1188</v>
      </c>
      <c r="E22">
        <v>-1613</v>
      </c>
      <c r="F22">
        <v>-3119</v>
      </c>
      <c r="G22">
        <v>-2734</v>
      </c>
      <c r="H22">
        <v>-794</v>
      </c>
      <c r="I22">
        <v>223</v>
      </c>
      <c r="J22">
        <v>298</v>
      </c>
      <c r="K22">
        <v>740</v>
      </c>
      <c r="L22">
        <v>760</v>
      </c>
      <c r="M22">
        <v>1245</v>
      </c>
      <c r="N22">
        <v>2990</v>
      </c>
      <c r="O22">
        <v>3492</v>
      </c>
      <c r="P22">
        <v>4967</v>
      </c>
      <c r="Q22">
        <v>6246</v>
      </c>
      <c r="R22">
        <v>7276</v>
      </c>
      <c r="S22">
        <v>5049</v>
      </c>
      <c r="T22">
        <v>3299</v>
      </c>
      <c r="U22">
        <v>6278</v>
      </c>
      <c r="V22">
        <v>11511</v>
      </c>
      <c r="W22">
        <v>11324</v>
      </c>
      <c r="X22">
        <v>9011</v>
      </c>
      <c r="Y22">
        <v>9487</v>
      </c>
      <c r="Z22">
        <v>10917</v>
      </c>
      <c r="AA22">
        <v>10458</v>
      </c>
      <c r="AB22">
        <v>12014</v>
      </c>
      <c r="AC22">
        <v>16874</v>
      </c>
      <c r="AD22">
        <v>15365</v>
      </c>
      <c r="AE22">
        <v>14769</v>
      </c>
      <c r="AF22">
        <v>12538</v>
      </c>
      <c r="AG22">
        <v>18361</v>
      </c>
      <c r="AH22">
        <v>17351</v>
      </c>
      <c r="AI22">
        <v>18233</v>
      </c>
      <c r="AJ22">
        <v>23820</v>
      </c>
      <c r="AK22">
        <v>26494</v>
      </c>
      <c r="AL22">
        <v>30093</v>
      </c>
      <c r="AM22">
        <v>36644</v>
      </c>
      <c r="AN22">
        <v>39885</v>
      </c>
      <c r="AO22">
        <v>37862</v>
      </c>
      <c r="AP22">
        <v>36316</v>
      </c>
      <c r="AQ22">
        <v>31441</v>
      </c>
      <c r="AR22">
        <v>24016</v>
      </c>
      <c r="AS22">
        <v>34290</v>
      </c>
      <c r="AT22">
        <v>43395</v>
      </c>
      <c r="AU22">
        <v>45412</v>
      </c>
      <c r="AV22">
        <v>31997</v>
      </c>
      <c r="AW22">
        <v>46178</v>
      </c>
      <c r="AX22">
        <v>62447</v>
      </c>
      <c r="AY22">
        <v>78539</v>
      </c>
      <c r="AZ22">
        <v>91233</v>
      </c>
      <c r="BA22">
        <v>82890</v>
      </c>
      <c r="BB22">
        <v>52920</v>
      </c>
      <c r="BC22">
        <v>77462</v>
      </c>
      <c r="BD22">
        <v>71777</v>
      </c>
      <c r="BE22">
        <v>92182</v>
      </c>
      <c r="BF22">
        <v>129486</v>
      </c>
      <c r="BG22">
        <v>133461</v>
      </c>
      <c r="BH22">
        <v>89028</v>
      </c>
      <c r="BI22">
        <v>106938</v>
      </c>
      <c r="BJ22">
        <v>121375</v>
      </c>
      <c r="BK22">
        <v>79456</v>
      </c>
      <c r="BL22">
        <v>52837</v>
      </c>
      <c r="BM22">
        <v>76655</v>
      </c>
      <c r="BN22">
        <v>97813</v>
      </c>
      <c r="BO22">
        <v>97629</v>
      </c>
      <c r="BP22">
        <v>163063</v>
      </c>
      <c r="BQ22">
        <v>178507</v>
      </c>
      <c r="BR22">
        <v>206755</v>
      </c>
      <c r="BS22">
        <v>244823</v>
      </c>
      <c r="BT22">
        <v>166239</v>
      </c>
      <c r="BU22">
        <v>183984</v>
      </c>
      <c r="BV22">
        <v>63648</v>
      </c>
      <c r="BW22">
        <v>86176</v>
      </c>
      <c r="BX22">
        <v>233472</v>
      </c>
      <c r="BY22">
        <v>281428</v>
      </c>
      <c r="BZ22">
        <v>329382</v>
      </c>
      <c r="CA22">
        <v>606188</v>
      </c>
      <c r="CB22">
        <v>388300</v>
      </c>
      <c r="CC22">
        <v>188385</v>
      </c>
      <c r="CD22">
        <v>38657</v>
      </c>
      <c r="CE22">
        <v>356373</v>
      </c>
      <c r="CF22">
        <v>601872</v>
      </c>
      <c r="CG22">
        <v>536032</v>
      </c>
      <c r="CH22">
        <v>552388</v>
      </c>
      <c r="CI22">
        <v>460989</v>
      </c>
      <c r="CJ22">
        <v>502795</v>
      </c>
      <c r="CK22">
        <v>415878</v>
      </c>
      <c r="CL22">
        <v>394636</v>
      </c>
      <c r="CM22">
        <v>385695</v>
      </c>
      <c r="CN22">
        <v>1128198</v>
      </c>
      <c r="CO22">
        <v>703328</v>
      </c>
      <c r="CP22">
        <v>487789</v>
      </c>
      <c r="CQ22">
        <v>684384</v>
      </c>
      <c r="CR22">
        <v>667994</v>
      </c>
      <c r="CS22">
        <v>790086</v>
      </c>
      <c r="CT22">
        <v>783816</v>
      </c>
      <c r="CU22" t="s">
        <v>1014</v>
      </c>
    </row>
    <row r="23" spans="1:99">
      <c r="A23" t="s">
        <v>1043</v>
      </c>
      <c r="B23" s="12" t="s">
        <v>1044</v>
      </c>
      <c r="C23" s="12">
        <v>3980</v>
      </c>
      <c r="D23" s="12">
        <v>2918</v>
      </c>
      <c r="E23" s="12">
        <v>2415</v>
      </c>
      <c r="F23" s="12">
        <v>2139</v>
      </c>
      <c r="G23" s="12">
        <v>1899</v>
      </c>
      <c r="H23" s="12">
        <v>2015</v>
      </c>
      <c r="I23" s="12">
        <v>2216</v>
      </c>
      <c r="J23" s="12">
        <v>2541</v>
      </c>
      <c r="K23" s="12">
        <v>2589</v>
      </c>
      <c r="L23" s="12">
        <v>2758</v>
      </c>
      <c r="M23" s="12">
        <v>2880</v>
      </c>
      <c r="N23" s="12">
        <v>3027</v>
      </c>
      <c r="O23" s="12">
        <v>3275</v>
      </c>
      <c r="P23" s="12">
        <v>3445</v>
      </c>
      <c r="Q23" s="12">
        <v>3802</v>
      </c>
      <c r="R23" s="12">
        <v>4022</v>
      </c>
      <c r="S23" s="12">
        <v>4245</v>
      </c>
      <c r="T23" s="12">
        <v>5036</v>
      </c>
      <c r="U23" s="12">
        <v>5292</v>
      </c>
      <c r="V23" s="12">
        <v>6022</v>
      </c>
      <c r="W23" s="12">
        <v>6730</v>
      </c>
      <c r="X23" s="12">
        <v>7248</v>
      </c>
      <c r="Y23" s="12">
        <v>8148</v>
      </c>
      <c r="Z23" s="12">
        <v>9144</v>
      </c>
      <c r="AA23" s="12">
        <v>10141</v>
      </c>
      <c r="AB23" s="12">
        <v>10702</v>
      </c>
      <c r="AC23" s="12">
        <v>11675</v>
      </c>
      <c r="AD23" s="12">
        <v>12820</v>
      </c>
      <c r="AE23" s="12">
        <v>13740</v>
      </c>
      <c r="AF23" s="12">
        <v>14582</v>
      </c>
      <c r="AG23" s="12">
        <v>15791</v>
      </c>
      <c r="AH23" s="12">
        <v>17396</v>
      </c>
      <c r="AI23" s="12">
        <v>18306</v>
      </c>
      <c r="AJ23" s="12">
        <v>19143</v>
      </c>
      <c r="AK23" s="12">
        <v>19534</v>
      </c>
      <c r="AL23" s="12">
        <v>21459</v>
      </c>
      <c r="AM23" s="12">
        <v>23036</v>
      </c>
      <c r="AN23" s="12">
        <v>25010</v>
      </c>
      <c r="AO23" s="12">
        <v>27980</v>
      </c>
      <c r="AP23" s="12">
        <v>31166</v>
      </c>
      <c r="AQ23" s="12">
        <v>36028</v>
      </c>
      <c r="AR23" s="12">
        <v>39237</v>
      </c>
      <c r="AS23" s="12">
        <v>42825</v>
      </c>
      <c r="AT23" s="12">
        <v>46953</v>
      </c>
      <c r="AU23" s="12">
        <v>51370</v>
      </c>
      <c r="AV23" s="12">
        <v>59539</v>
      </c>
      <c r="AW23" s="12">
        <v>67265</v>
      </c>
      <c r="AX23" s="12">
        <v>72642</v>
      </c>
      <c r="AY23" s="12">
        <v>85117</v>
      </c>
      <c r="AZ23" s="12">
        <v>102959</v>
      </c>
      <c r="BA23" s="12">
        <v>114030</v>
      </c>
      <c r="BB23" s="12">
        <v>127854</v>
      </c>
      <c r="BC23" s="12">
        <v>146063</v>
      </c>
      <c r="BD23" s="12">
        <v>163704</v>
      </c>
      <c r="BE23" s="12">
        <v>186555</v>
      </c>
      <c r="BF23" s="12">
        <v>208777</v>
      </c>
      <c r="BG23" s="12">
        <v>232328</v>
      </c>
      <c r="BH23" s="12">
        <v>241865</v>
      </c>
      <c r="BI23" s="12">
        <v>253231</v>
      </c>
      <c r="BJ23" s="12">
        <v>268629</v>
      </c>
      <c r="BK23" s="12">
        <v>299933</v>
      </c>
      <c r="BL23" s="12">
        <v>306638</v>
      </c>
      <c r="BM23" s="12">
        <v>323459</v>
      </c>
      <c r="BN23" s="12">
        <v>365868</v>
      </c>
      <c r="BO23" s="12">
        <v>383927</v>
      </c>
      <c r="BP23" s="12">
        <v>393510</v>
      </c>
      <c r="BQ23" s="12">
        <v>432745</v>
      </c>
      <c r="BR23" s="12">
        <v>473849</v>
      </c>
      <c r="BS23" s="12">
        <v>533801</v>
      </c>
      <c r="BT23" s="12">
        <v>599270</v>
      </c>
      <c r="BU23" s="12">
        <v>633881</v>
      </c>
      <c r="BV23" s="12">
        <v>705515</v>
      </c>
      <c r="BW23" s="12">
        <v>732436</v>
      </c>
      <c r="BX23" s="12">
        <v>754988</v>
      </c>
      <c r="BY23" s="12">
        <v>791207</v>
      </c>
      <c r="BZ23" s="12">
        <v>826366</v>
      </c>
      <c r="CA23" s="12">
        <v>909905</v>
      </c>
      <c r="CB23" s="12">
        <v>1007744</v>
      </c>
      <c r="CC23" s="12">
        <v>941891</v>
      </c>
      <c r="CD23" s="12">
        <v>781085</v>
      </c>
      <c r="CE23" s="12">
        <v>913302</v>
      </c>
      <c r="CF23" s="12">
        <v>949802</v>
      </c>
      <c r="CG23" s="12">
        <v>961961</v>
      </c>
      <c r="CH23" s="12">
        <v>1063050</v>
      </c>
      <c r="CI23" s="12">
        <v>1039178</v>
      </c>
      <c r="CJ23" s="12">
        <v>1194813</v>
      </c>
      <c r="CK23" s="12">
        <v>1267184</v>
      </c>
      <c r="CL23" s="12">
        <v>1337996</v>
      </c>
      <c r="CM23" s="12">
        <v>1361255</v>
      </c>
      <c r="CN23" s="12">
        <v>1458545</v>
      </c>
      <c r="CO23" s="12">
        <v>1532744</v>
      </c>
      <c r="CP23" s="12">
        <v>1596633</v>
      </c>
      <c r="CQ23" s="12">
        <v>1746120</v>
      </c>
      <c r="CR23" s="12">
        <v>1877170</v>
      </c>
      <c r="CS23" s="12">
        <v>1962570</v>
      </c>
      <c r="CT23" s="12">
        <v>2111882</v>
      </c>
      <c r="CU23" s="12" t="s">
        <v>1014</v>
      </c>
    </row>
    <row r="24" spans="1:99">
      <c r="A24" t="s">
        <v>1045</v>
      </c>
      <c r="B24" s="12" t="s">
        <v>1046</v>
      </c>
      <c r="C24" s="12">
        <v>50825</v>
      </c>
      <c r="D24" s="12">
        <v>45259</v>
      </c>
      <c r="E24" s="12">
        <v>35431</v>
      </c>
      <c r="F24" s="12">
        <v>25721</v>
      </c>
      <c r="G24" s="12">
        <v>24976</v>
      </c>
      <c r="H24" s="12">
        <v>31484</v>
      </c>
      <c r="I24" s="12">
        <v>34931</v>
      </c>
      <c r="J24" s="12">
        <v>40184</v>
      </c>
      <c r="K24" s="12">
        <v>45751</v>
      </c>
      <c r="L24" s="12">
        <v>40242</v>
      </c>
      <c r="M24" s="12">
        <v>44443</v>
      </c>
      <c r="N24" s="12">
        <v>51078</v>
      </c>
      <c r="O24" s="12">
        <v>66680</v>
      </c>
      <c r="P24" s="12">
        <v>84033</v>
      </c>
      <c r="Q24" s="12">
        <v>99680</v>
      </c>
      <c r="R24" s="12">
        <v>103244</v>
      </c>
      <c r="S24" s="12">
        <v>96576</v>
      </c>
      <c r="T24" s="12">
        <v>100771</v>
      </c>
      <c r="U24" s="12">
        <v>122211</v>
      </c>
      <c r="V24" s="12">
        <v>140041</v>
      </c>
      <c r="W24" s="12">
        <v>136291</v>
      </c>
      <c r="X24" s="12">
        <v>154866</v>
      </c>
      <c r="Y24" s="12">
        <v>177643</v>
      </c>
      <c r="Z24" s="12">
        <v>185883</v>
      </c>
      <c r="AA24" s="12">
        <v>199043</v>
      </c>
      <c r="AB24" s="12">
        <v>196164</v>
      </c>
      <c r="AC24" s="12">
        <v>221376</v>
      </c>
      <c r="AD24" s="12">
        <v>237233</v>
      </c>
      <c r="AE24" s="12">
        <v>247921</v>
      </c>
      <c r="AF24" s="12">
        <v>242248</v>
      </c>
      <c r="AG24" s="12">
        <v>271655</v>
      </c>
      <c r="AH24" s="12">
        <v>282484</v>
      </c>
      <c r="AI24" s="12">
        <v>290423</v>
      </c>
      <c r="AJ24" s="12">
        <v>316808</v>
      </c>
      <c r="AK24" s="12">
        <v>337829</v>
      </c>
      <c r="AL24" s="12">
        <v>364523</v>
      </c>
      <c r="AM24" s="12">
        <v>400741</v>
      </c>
      <c r="AN24" s="12">
        <v>440080</v>
      </c>
      <c r="AO24" s="12">
        <v>463191</v>
      </c>
      <c r="AP24" s="12">
        <v>510944</v>
      </c>
      <c r="AQ24" s="12">
        <v>554625</v>
      </c>
      <c r="AR24" s="12">
        <v>572890</v>
      </c>
      <c r="AS24" s="12">
        <v>618097</v>
      </c>
      <c r="AT24" s="12">
        <v>685949</v>
      </c>
      <c r="AU24" s="12">
        <v>768838</v>
      </c>
      <c r="AV24" s="12">
        <v>830040</v>
      </c>
      <c r="AW24" s="12">
        <v>898280</v>
      </c>
      <c r="AX24" s="12">
        <v>1014666</v>
      </c>
      <c r="AY24" s="12">
        <v>1147401</v>
      </c>
      <c r="AZ24" s="12">
        <v>1303931</v>
      </c>
      <c r="BA24" s="12">
        <v>1450326</v>
      </c>
      <c r="BB24" s="12">
        <v>1574527</v>
      </c>
      <c r="BC24" s="12">
        <v>1789067</v>
      </c>
      <c r="BD24" s="12">
        <v>1854861</v>
      </c>
      <c r="BE24" s="12">
        <v>1985899</v>
      </c>
      <c r="BF24" s="12">
        <v>2226000</v>
      </c>
      <c r="BG24" s="12">
        <v>2369165</v>
      </c>
      <c r="BH24" s="12">
        <v>2464907</v>
      </c>
      <c r="BI24" s="12">
        <v>2641902</v>
      </c>
      <c r="BJ24" s="12">
        <v>2873908</v>
      </c>
      <c r="BK24" s="12">
        <v>3020213</v>
      </c>
      <c r="BL24" s="12">
        <v>3160697</v>
      </c>
      <c r="BM24" s="12">
        <v>3231237</v>
      </c>
      <c r="BN24" s="12">
        <v>3376497</v>
      </c>
      <c r="BO24" s="12">
        <v>3534936</v>
      </c>
      <c r="BP24" s="12">
        <v>3816575</v>
      </c>
      <c r="BQ24" s="12">
        <v>4041486</v>
      </c>
      <c r="BR24" s="12">
        <v>4296356</v>
      </c>
      <c r="BS24" s="12">
        <v>4609353</v>
      </c>
      <c r="BT24" s="12">
        <v>4875176</v>
      </c>
      <c r="BU24" s="12">
        <v>5168284</v>
      </c>
      <c r="BV24" s="12">
        <v>5510787</v>
      </c>
      <c r="BW24" s="12">
        <v>5470157</v>
      </c>
      <c r="BX24" s="12">
        <v>5543551</v>
      </c>
      <c r="BY24" s="12">
        <v>5733743</v>
      </c>
      <c r="BZ24" s="12">
        <v>6133641</v>
      </c>
      <c r="CA24" s="12">
        <v>6575529</v>
      </c>
      <c r="CB24" s="12">
        <v>7021572</v>
      </c>
      <c r="CC24" s="12">
        <v>7257367</v>
      </c>
      <c r="CD24" s="12">
        <v>7327703</v>
      </c>
      <c r="CE24" s="12">
        <v>6904035</v>
      </c>
      <c r="CF24" s="12">
        <v>7287190</v>
      </c>
      <c r="CG24" s="12">
        <v>7661063</v>
      </c>
      <c r="CH24" s="12">
        <v>8110944</v>
      </c>
      <c r="CI24" s="12">
        <v>8417763</v>
      </c>
      <c r="CJ24" s="12">
        <v>8851699</v>
      </c>
      <c r="CK24" s="12">
        <v>9222330</v>
      </c>
      <c r="CL24" s="12">
        <v>9346389</v>
      </c>
      <c r="CM24" s="12">
        <v>9771449</v>
      </c>
      <c r="CN24" s="12">
        <v>10337804</v>
      </c>
      <c r="CO24" s="12">
        <v>10799812</v>
      </c>
      <c r="CP24" s="12">
        <v>10498662</v>
      </c>
      <c r="CQ24" s="12">
        <v>12072724</v>
      </c>
      <c r="CR24" s="12">
        <v>13445428</v>
      </c>
      <c r="CS24" s="12">
        <v>14163359</v>
      </c>
      <c r="CT24" s="12">
        <v>14849197</v>
      </c>
      <c r="CU24" s="12" t="s">
        <v>1014</v>
      </c>
    </row>
    <row r="25" spans="1:99">
      <c r="A25" t="s">
        <v>1047</v>
      </c>
      <c r="B25" t="s">
        <v>1016</v>
      </c>
      <c r="C25">
        <v>5016</v>
      </c>
      <c r="D25">
        <v>4872</v>
      </c>
      <c r="E25">
        <v>4560</v>
      </c>
      <c r="F25">
        <v>4076</v>
      </c>
      <c r="G25">
        <v>3860</v>
      </c>
      <c r="H25">
        <v>3944</v>
      </c>
      <c r="I25">
        <v>4020</v>
      </c>
      <c r="J25">
        <v>4080</v>
      </c>
      <c r="K25">
        <v>4556</v>
      </c>
      <c r="L25">
        <v>4632</v>
      </c>
      <c r="M25">
        <v>4636</v>
      </c>
      <c r="N25">
        <v>4844</v>
      </c>
      <c r="O25">
        <v>5364</v>
      </c>
      <c r="P25">
        <v>6124</v>
      </c>
      <c r="Q25">
        <v>6304</v>
      </c>
      <c r="R25">
        <v>6496</v>
      </c>
      <c r="S25">
        <v>6736</v>
      </c>
      <c r="T25">
        <v>7752</v>
      </c>
      <c r="U25">
        <v>9476</v>
      </c>
      <c r="V25">
        <v>11120</v>
      </c>
      <c r="W25">
        <v>12008</v>
      </c>
      <c r="X25">
        <v>12848</v>
      </c>
      <c r="Y25">
        <v>14636</v>
      </c>
      <c r="Z25">
        <v>15580</v>
      </c>
      <c r="AA25">
        <v>16728</v>
      </c>
      <c r="AB25">
        <v>17724</v>
      </c>
      <c r="AC25">
        <v>18912</v>
      </c>
      <c r="AD25">
        <v>21356</v>
      </c>
      <c r="AE25">
        <v>23756</v>
      </c>
      <c r="AF25">
        <v>25496</v>
      </c>
      <c r="AG25">
        <v>26688</v>
      </c>
      <c r="AH25">
        <v>27560</v>
      </c>
      <c r="AI25">
        <v>28564</v>
      </c>
      <c r="AJ25">
        <v>29824</v>
      </c>
      <c r="AK25">
        <v>31340</v>
      </c>
      <c r="AL25">
        <v>33252</v>
      </c>
      <c r="AM25">
        <v>35828</v>
      </c>
      <c r="AN25">
        <v>39392</v>
      </c>
      <c r="AO25">
        <v>43452</v>
      </c>
      <c r="AP25">
        <v>48092</v>
      </c>
      <c r="AQ25">
        <v>53484</v>
      </c>
      <c r="AR25">
        <v>59260</v>
      </c>
      <c r="AS25">
        <v>64732</v>
      </c>
      <c r="AT25">
        <v>70188</v>
      </c>
      <c r="AU25">
        <v>78180</v>
      </c>
      <c r="AV25">
        <v>91384</v>
      </c>
      <c r="AW25">
        <v>107724</v>
      </c>
      <c r="AX25">
        <v>118272</v>
      </c>
      <c r="AY25">
        <v>132560</v>
      </c>
      <c r="AZ25">
        <v>150152</v>
      </c>
      <c r="BA25">
        <v>172444</v>
      </c>
      <c r="BB25">
        <v>198860</v>
      </c>
      <c r="BC25">
        <v>229084</v>
      </c>
      <c r="BD25">
        <v>253880</v>
      </c>
      <c r="BE25">
        <v>264616</v>
      </c>
      <c r="BF25">
        <v>278952</v>
      </c>
      <c r="BG25">
        <v>298976</v>
      </c>
      <c r="BH25">
        <v>317872</v>
      </c>
      <c r="BI25">
        <v>334692</v>
      </c>
      <c r="BJ25">
        <v>358200</v>
      </c>
      <c r="BK25">
        <v>380160</v>
      </c>
      <c r="BL25">
        <v>402624</v>
      </c>
      <c r="BM25">
        <v>423556</v>
      </c>
      <c r="BN25">
        <v>436252</v>
      </c>
      <c r="BO25">
        <v>455844</v>
      </c>
      <c r="BP25">
        <v>482344</v>
      </c>
      <c r="BQ25">
        <v>520836</v>
      </c>
      <c r="BR25">
        <v>554164</v>
      </c>
      <c r="BS25">
        <v>594612</v>
      </c>
      <c r="BT25">
        <v>634096</v>
      </c>
      <c r="BU25">
        <v>679076</v>
      </c>
      <c r="BV25">
        <v>737452</v>
      </c>
      <c r="BW25">
        <v>781460</v>
      </c>
      <c r="BX25">
        <v>805024</v>
      </c>
      <c r="BY25">
        <v>818191</v>
      </c>
      <c r="BZ25">
        <v>851954</v>
      </c>
      <c r="CA25">
        <v>913610</v>
      </c>
      <c r="CB25">
        <v>984445</v>
      </c>
      <c r="CC25">
        <v>1047219</v>
      </c>
      <c r="CD25">
        <v>1108750</v>
      </c>
      <c r="CE25">
        <v>1114626</v>
      </c>
      <c r="CF25">
        <v>1123495</v>
      </c>
      <c r="CG25">
        <v>1173463</v>
      </c>
      <c r="CH25">
        <v>1234809</v>
      </c>
      <c r="CI25">
        <v>1282795</v>
      </c>
      <c r="CJ25">
        <v>1352680</v>
      </c>
      <c r="CK25">
        <v>1408263</v>
      </c>
      <c r="CL25">
        <v>1441019</v>
      </c>
      <c r="CM25">
        <v>1509413</v>
      </c>
      <c r="CN25">
        <v>1582147</v>
      </c>
      <c r="CO25">
        <v>1664696</v>
      </c>
      <c r="CP25">
        <v>1728115</v>
      </c>
      <c r="CQ25">
        <v>1815454</v>
      </c>
      <c r="CR25">
        <v>2010486</v>
      </c>
      <c r="CS25">
        <v>2154291</v>
      </c>
      <c r="CT25">
        <v>2274356</v>
      </c>
      <c r="CU25">
        <v>2413869</v>
      </c>
    </row>
    <row r="26" spans="1:99">
      <c r="A26" t="s">
        <v>1048</v>
      </c>
      <c r="B26" t="s">
        <v>1018</v>
      </c>
      <c r="C26">
        <v>45809</v>
      </c>
      <c r="D26">
        <v>40387</v>
      </c>
      <c r="E26">
        <v>30871</v>
      </c>
      <c r="F26">
        <v>21645</v>
      </c>
      <c r="G26">
        <v>21116</v>
      </c>
      <c r="H26">
        <v>27540</v>
      </c>
      <c r="I26">
        <v>30911</v>
      </c>
      <c r="J26">
        <v>36104</v>
      </c>
      <c r="K26">
        <v>41195</v>
      </c>
      <c r="L26">
        <v>35610</v>
      </c>
      <c r="M26">
        <v>39807</v>
      </c>
      <c r="N26">
        <v>46234</v>
      </c>
      <c r="O26">
        <v>61316</v>
      </c>
      <c r="P26">
        <v>77909</v>
      </c>
      <c r="Q26">
        <v>93376</v>
      </c>
      <c r="R26">
        <v>96748</v>
      </c>
      <c r="S26">
        <v>89840</v>
      </c>
      <c r="T26">
        <v>93019</v>
      </c>
      <c r="U26">
        <v>112735</v>
      </c>
      <c r="V26">
        <v>128921</v>
      </c>
      <c r="W26">
        <v>124283</v>
      </c>
      <c r="X26">
        <v>142018</v>
      </c>
      <c r="Y26">
        <v>163007</v>
      </c>
      <c r="Z26">
        <v>170303</v>
      </c>
      <c r="AA26">
        <v>182315</v>
      </c>
      <c r="AB26">
        <v>178440</v>
      </c>
      <c r="AC26">
        <v>202464</v>
      </c>
      <c r="AD26">
        <v>215877</v>
      </c>
      <c r="AE26">
        <v>224165</v>
      </c>
      <c r="AF26">
        <v>216752</v>
      </c>
      <c r="AG26">
        <v>244967</v>
      </c>
      <c r="AH26">
        <v>254924</v>
      </c>
      <c r="AI26">
        <v>261859</v>
      </c>
      <c r="AJ26">
        <v>286984</v>
      </c>
      <c r="AK26">
        <v>306489</v>
      </c>
      <c r="AL26">
        <v>331271</v>
      </c>
      <c r="AM26">
        <v>364913</v>
      </c>
      <c r="AN26">
        <v>400688</v>
      </c>
      <c r="AO26">
        <v>419739</v>
      </c>
      <c r="AP26">
        <v>462852</v>
      </c>
      <c r="AQ26">
        <v>501141</v>
      </c>
      <c r="AR26">
        <v>513630</v>
      </c>
      <c r="AS26">
        <v>553365</v>
      </c>
      <c r="AT26">
        <v>615761</v>
      </c>
      <c r="AU26">
        <v>690658</v>
      </c>
      <c r="AV26">
        <v>738656</v>
      </c>
      <c r="AW26">
        <v>790556</v>
      </c>
      <c r="AX26">
        <v>896394</v>
      </c>
      <c r="AY26">
        <v>1014841</v>
      </c>
      <c r="AZ26">
        <v>1153779</v>
      </c>
      <c r="BA26">
        <v>1277882</v>
      </c>
      <c r="BB26">
        <v>1375667</v>
      </c>
      <c r="BC26">
        <v>1559983</v>
      </c>
      <c r="BD26">
        <v>1600981</v>
      </c>
      <c r="BE26">
        <v>1721283</v>
      </c>
      <c r="BF26">
        <v>1947048</v>
      </c>
      <c r="BG26">
        <v>2070189</v>
      </c>
      <c r="BH26">
        <v>2147035</v>
      </c>
      <c r="BI26">
        <v>2307210</v>
      </c>
      <c r="BJ26">
        <v>2515708</v>
      </c>
      <c r="BK26">
        <v>2640053</v>
      </c>
      <c r="BL26">
        <v>2758073</v>
      </c>
      <c r="BM26">
        <v>2807681</v>
      </c>
      <c r="BN26">
        <v>2940245</v>
      </c>
      <c r="BO26">
        <v>3079092</v>
      </c>
      <c r="BP26">
        <v>3334231</v>
      </c>
      <c r="BQ26">
        <v>3520650</v>
      </c>
      <c r="BR26">
        <v>3742192</v>
      </c>
      <c r="BS26">
        <v>4014741</v>
      </c>
      <c r="BT26">
        <v>4241080</v>
      </c>
      <c r="BU26">
        <v>4489208</v>
      </c>
      <c r="BV26">
        <v>4773335</v>
      </c>
      <c r="BW26">
        <v>4688697</v>
      </c>
      <c r="BX26">
        <v>4738528</v>
      </c>
      <c r="BY26">
        <v>4915552</v>
      </c>
      <c r="BZ26">
        <v>5281688</v>
      </c>
      <c r="CA26">
        <v>5661919</v>
      </c>
      <c r="CB26">
        <v>6037127</v>
      </c>
      <c r="CC26">
        <v>6210148</v>
      </c>
      <c r="CD26">
        <v>6218953</v>
      </c>
      <c r="CE26">
        <v>5789409</v>
      </c>
      <c r="CF26">
        <v>6163695</v>
      </c>
      <c r="CG26">
        <v>6487600</v>
      </c>
      <c r="CH26">
        <v>6876136</v>
      </c>
      <c r="CI26">
        <v>7134968</v>
      </c>
      <c r="CJ26">
        <v>7499019</v>
      </c>
      <c r="CK26">
        <v>7814067</v>
      </c>
      <c r="CL26">
        <v>7905370</v>
      </c>
      <c r="CM26">
        <v>8262036</v>
      </c>
      <c r="CN26">
        <v>8755657</v>
      </c>
      <c r="CO26">
        <v>9135116</v>
      </c>
      <c r="CP26">
        <v>8770547</v>
      </c>
      <c r="CQ26">
        <v>10257270</v>
      </c>
      <c r="CR26">
        <v>11434942</v>
      </c>
      <c r="CS26">
        <v>12009068</v>
      </c>
      <c r="CT26">
        <v>12574841</v>
      </c>
      <c r="CU26" t="s">
        <v>1014</v>
      </c>
    </row>
    <row r="27" spans="1:99">
      <c r="A27" t="s">
        <v>1049</v>
      </c>
      <c r="B27" t="s">
        <v>1020</v>
      </c>
      <c r="C27">
        <v>32147</v>
      </c>
      <c r="D27">
        <v>28791</v>
      </c>
      <c r="E27">
        <v>23522</v>
      </c>
      <c r="F27">
        <v>17432</v>
      </c>
      <c r="G27">
        <v>16597</v>
      </c>
      <c r="H27">
        <v>19585</v>
      </c>
      <c r="I27">
        <v>21537</v>
      </c>
      <c r="J27">
        <v>24641</v>
      </c>
      <c r="K27">
        <v>28781</v>
      </c>
      <c r="L27">
        <v>25513</v>
      </c>
      <c r="M27">
        <v>28023</v>
      </c>
      <c r="N27">
        <v>31010</v>
      </c>
      <c r="O27">
        <v>39642</v>
      </c>
      <c r="P27">
        <v>50790</v>
      </c>
      <c r="Q27">
        <v>61991</v>
      </c>
      <c r="R27">
        <v>64833</v>
      </c>
      <c r="S27">
        <v>61658</v>
      </c>
      <c r="T27">
        <v>66853</v>
      </c>
      <c r="U27">
        <v>78763</v>
      </c>
      <c r="V27">
        <v>87467</v>
      </c>
      <c r="W27">
        <v>84902</v>
      </c>
      <c r="X27">
        <v>94387</v>
      </c>
      <c r="Y27">
        <v>109808</v>
      </c>
      <c r="Z27">
        <v>117770</v>
      </c>
      <c r="AA27">
        <v>128198</v>
      </c>
      <c r="AB27">
        <v>125945</v>
      </c>
      <c r="AC27">
        <v>137886</v>
      </c>
      <c r="AD27">
        <v>150770</v>
      </c>
      <c r="AE27">
        <v>158411</v>
      </c>
      <c r="AF27">
        <v>155209</v>
      </c>
      <c r="AG27">
        <v>170794</v>
      </c>
      <c r="AH27">
        <v>180409</v>
      </c>
      <c r="AI27">
        <v>184516</v>
      </c>
      <c r="AJ27">
        <v>199256</v>
      </c>
      <c r="AK27">
        <v>210106</v>
      </c>
      <c r="AL27">
        <v>225657</v>
      </c>
      <c r="AM27">
        <v>245400</v>
      </c>
      <c r="AN27">
        <v>272851</v>
      </c>
      <c r="AO27">
        <v>291064</v>
      </c>
      <c r="AP27">
        <v>320869</v>
      </c>
      <c r="AQ27">
        <v>356064</v>
      </c>
      <c r="AR27">
        <v>374485</v>
      </c>
      <c r="AS27">
        <v>396190</v>
      </c>
      <c r="AT27">
        <v>439924</v>
      </c>
      <c r="AU27">
        <v>495100</v>
      </c>
      <c r="AV27">
        <v>542933</v>
      </c>
      <c r="AW27">
        <v>569021</v>
      </c>
      <c r="AX27">
        <v>640004</v>
      </c>
      <c r="AY27">
        <v>723326</v>
      </c>
      <c r="AZ27">
        <v>829499</v>
      </c>
      <c r="BA27">
        <v>942400</v>
      </c>
      <c r="BB27">
        <v>1030690</v>
      </c>
      <c r="BC27">
        <v>1139850</v>
      </c>
      <c r="BD27">
        <v>1183260</v>
      </c>
      <c r="BE27">
        <v>1250110</v>
      </c>
      <c r="BF27">
        <v>1388207</v>
      </c>
      <c r="BG27">
        <v>1490088</v>
      </c>
      <c r="BH27">
        <v>1578176</v>
      </c>
      <c r="BI27">
        <v>1685458</v>
      </c>
      <c r="BJ27">
        <v>1825308</v>
      </c>
      <c r="BK27">
        <v>1934822</v>
      </c>
      <c r="BL27">
        <v>2037523</v>
      </c>
      <c r="BM27">
        <v>2071121</v>
      </c>
      <c r="BN27">
        <v>2188674</v>
      </c>
      <c r="BO27">
        <v>2271015</v>
      </c>
      <c r="BP27">
        <v>2398673</v>
      </c>
      <c r="BQ27">
        <v>2524557</v>
      </c>
      <c r="BR27">
        <v>2667703</v>
      </c>
      <c r="BS27">
        <v>2862551</v>
      </c>
      <c r="BT27">
        <v>3093832</v>
      </c>
      <c r="BU27">
        <v>3309975</v>
      </c>
      <c r="BV27">
        <v>3597328</v>
      </c>
      <c r="BW27">
        <v>3582304</v>
      </c>
      <c r="BX27">
        <v>3540451</v>
      </c>
      <c r="BY27">
        <v>3594306</v>
      </c>
      <c r="BZ27">
        <v>3761333</v>
      </c>
      <c r="CA27">
        <v>3928746</v>
      </c>
      <c r="CB27">
        <v>4127501</v>
      </c>
      <c r="CC27">
        <v>4307101</v>
      </c>
      <c r="CD27">
        <v>4364267</v>
      </c>
      <c r="CE27">
        <v>4094885</v>
      </c>
      <c r="CF27">
        <v>4166597</v>
      </c>
      <c r="CG27">
        <v>4372725</v>
      </c>
      <c r="CH27">
        <v>4608338</v>
      </c>
      <c r="CI27">
        <v>4773788</v>
      </c>
      <c r="CJ27">
        <v>5032917</v>
      </c>
      <c r="CK27">
        <v>5303853</v>
      </c>
      <c r="CL27">
        <v>5448417</v>
      </c>
      <c r="CM27">
        <v>5727599</v>
      </c>
      <c r="CN27">
        <v>6047036</v>
      </c>
      <c r="CO27">
        <v>6344263</v>
      </c>
      <c r="CP27">
        <v>6350094</v>
      </c>
      <c r="CQ27">
        <v>6998733</v>
      </c>
      <c r="CR27">
        <v>7593396</v>
      </c>
      <c r="CS27">
        <v>8015626</v>
      </c>
      <c r="CT27">
        <v>8451105</v>
      </c>
      <c r="CU27">
        <v>8825706</v>
      </c>
    </row>
    <row r="28" spans="1:99">
      <c r="A28" t="s">
        <v>1050</v>
      </c>
      <c r="B28" t="s">
        <v>1022</v>
      </c>
      <c r="C28">
        <v>31763</v>
      </c>
      <c r="D28">
        <v>28419</v>
      </c>
      <c r="E28">
        <v>23183</v>
      </c>
      <c r="F28">
        <v>17139</v>
      </c>
      <c r="G28">
        <v>16324</v>
      </c>
      <c r="H28">
        <v>19277</v>
      </c>
      <c r="I28">
        <v>21207</v>
      </c>
      <c r="J28">
        <v>24059</v>
      </c>
      <c r="K28">
        <v>27562</v>
      </c>
      <c r="L28">
        <v>24183</v>
      </c>
      <c r="M28">
        <v>26588</v>
      </c>
      <c r="N28">
        <v>29469</v>
      </c>
      <c r="O28">
        <v>37755</v>
      </c>
      <c r="P28">
        <v>48561</v>
      </c>
      <c r="Q28">
        <v>59278</v>
      </c>
      <c r="R28">
        <v>61781</v>
      </c>
      <c r="S28">
        <v>58611</v>
      </c>
      <c r="T28">
        <v>63608</v>
      </c>
      <c r="U28">
        <v>74759</v>
      </c>
      <c r="V28">
        <v>83441</v>
      </c>
      <c r="W28">
        <v>80689</v>
      </c>
      <c r="X28">
        <v>88948</v>
      </c>
      <c r="Y28">
        <v>103053</v>
      </c>
      <c r="Z28">
        <v>110547</v>
      </c>
      <c r="AA28">
        <v>120353</v>
      </c>
      <c r="AB28">
        <v>117730</v>
      </c>
      <c r="AC28">
        <v>128511</v>
      </c>
      <c r="AD28">
        <v>140085</v>
      </c>
      <c r="AE28">
        <v>146487</v>
      </c>
      <c r="AF28">
        <v>143301</v>
      </c>
      <c r="AG28">
        <v>156935</v>
      </c>
      <c r="AH28">
        <v>165053</v>
      </c>
      <c r="AI28">
        <v>168575</v>
      </c>
      <c r="AJ28">
        <v>181160</v>
      </c>
      <c r="AK28">
        <v>190566</v>
      </c>
      <c r="AL28">
        <v>204546</v>
      </c>
      <c r="AM28">
        <v>222158</v>
      </c>
      <c r="AN28">
        <v>245240</v>
      </c>
      <c r="AO28">
        <v>261618</v>
      </c>
      <c r="AP28">
        <v>288123</v>
      </c>
      <c r="AQ28">
        <v>318844</v>
      </c>
      <c r="AR28">
        <v>334938</v>
      </c>
      <c r="AS28">
        <v>353485</v>
      </c>
      <c r="AT28">
        <v>389878</v>
      </c>
      <c r="AU28">
        <v>437318</v>
      </c>
      <c r="AV28">
        <v>478533</v>
      </c>
      <c r="AW28">
        <v>495060</v>
      </c>
      <c r="AX28">
        <v>554586</v>
      </c>
      <c r="AY28">
        <v>621569</v>
      </c>
      <c r="AZ28">
        <v>708962</v>
      </c>
      <c r="BA28">
        <v>802507</v>
      </c>
      <c r="BB28">
        <v>874674</v>
      </c>
      <c r="BC28">
        <v>964258</v>
      </c>
      <c r="BD28">
        <v>994953</v>
      </c>
      <c r="BE28">
        <v>1044744</v>
      </c>
      <c r="BF28">
        <v>1160091</v>
      </c>
      <c r="BG28">
        <v>1243009</v>
      </c>
      <c r="BH28">
        <v>1307314</v>
      </c>
      <c r="BI28">
        <v>1397010</v>
      </c>
      <c r="BJ28">
        <v>1514866</v>
      </c>
      <c r="BK28">
        <v>1600102</v>
      </c>
      <c r="BL28">
        <v>1682877</v>
      </c>
      <c r="BM28">
        <v>1701726</v>
      </c>
      <c r="BN28">
        <v>1783873</v>
      </c>
      <c r="BO28">
        <v>1845450</v>
      </c>
      <c r="BP28">
        <v>1952818</v>
      </c>
      <c r="BQ28">
        <v>2076881</v>
      </c>
      <c r="BR28">
        <v>2206889</v>
      </c>
      <c r="BS28">
        <v>2384239</v>
      </c>
      <c r="BT28">
        <v>2582623</v>
      </c>
      <c r="BU28">
        <v>2771099</v>
      </c>
      <c r="BV28">
        <v>3008384</v>
      </c>
      <c r="BW28">
        <v>2991458</v>
      </c>
      <c r="BX28">
        <v>2937442</v>
      </c>
      <c r="BY28">
        <v>2960800</v>
      </c>
      <c r="BZ28">
        <v>3098330</v>
      </c>
      <c r="CA28">
        <v>3236296</v>
      </c>
      <c r="CB28">
        <v>3418905</v>
      </c>
      <c r="CC28">
        <v>3573381</v>
      </c>
      <c r="CD28">
        <v>3624655</v>
      </c>
      <c r="CE28">
        <v>3382810</v>
      </c>
      <c r="CF28">
        <v>3452256</v>
      </c>
      <c r="CG28">
        <v>3630646</v>
      </c>
      <c r="CH28">
        <v>3839249</v>
      </c>
      <c r="CI28">
        <v>3971081</v>
      </c>
      <c r="CJ28">
        <v>4202500</v>
      </c>
      <c r="CK28">
        <v>4439667</v>
      </c>
      <c r="CL28">
        <v>4574390</v>
      </c>
      <c r="CM28">
        <v>4804918</v>
      </c>
      <c r="CN28">
        <v>5068451</v>
      </c>
      <c r="CO28">
        <v>5323469</v>
      </c>
      <c r="CP28">
        <v>5351749</v>
      </c>
      <c r="CQ28">
        <v>5919114</v>
      </c>
      <c r="CR28">
        <v>6451907</v>
      </c>
      <c r="CS28">
        <v>6796351</v>
      </c>
      <c r="CT28">
        <v>7152832</v>
      </c>
      <c r="CU28">
        <v>7460865</v>
      </c>
    </row>
    <row r="29" spans="1:99">
      <c r="A29" t="s">
        <v>1051</v>
      </c>
      <c r="B29" t="s">
        <v>1024</v>
      </c>
      <c r="C29">
        <v>384</v>
      </c>
      <c r="D29">
        <v>372</v>
      </c>
      <c r="E29">
        <v>339</v>
      </c>
      <c r="F29">
        <v>293</v>
      </c>
      <c r="G29">
        <v>273</v>
      </c>
      <c r="H29">
        <v>308</v>
      </c>
      <c r="I29">
        <v>330</v>
      </c>
      <c r="J29">
        <v>582</v>
      </c>
      <c r="K29">
        <v>1219</v>
      </c>
      <c r="L29">
        <v>1330</v>
      </c>
      <c r="M29">
        <v>1435</v>
      </c>
      <c r="N29">
        <v>1541</v>
      </c>
      <c r="O29">
        <v>1887</v>
      </c>
      <c r="P29">
        <v>2229</v>
      </c>
      <c r="Q29">
        <v>2713</v>
      </c>
      <c r="R29">
        <v>3052</v>
      </c>
      <c r="S29">
        <v>3047</v>
      </c>
      <c r="T29">
        <v>3245</v>
      </c>
      <c r="U29">
        <v>4004</v>
      </c>
      <c r="V29">
        <v>4026</v>
      </c>
      <c r="W29">
        <v>4213</v>
      </c>
      <c r="X29">
        <v>5439</v>
      </c>
      <c r="Y29">
        <v>6755</v>
      </c>
      <c r="Z29">
        <v>7223</v>
      </c>
      <c r="AA29">
        <v>7845</v>
      </c>
      <c r="AB29">
        <v>8215</v>
      </c>
      <c r="AC29">
        <v>9375</v>
      </c>
      <c r="AD29">
        <v>10685</v>
      </c>
      <c r="AE29">
        <v>11924</v>
      </c>
      <c r="AF29">
        <v>11908</v>
      </c>
      <c r="AG29">
        <v>13859</v>
      </c>
      <c r="AH29">
        <v>15356</v>
      </c>
      <c r="AI29">
        <v>15941</v>
      </c>
      <c r="AJ29">
        <v>18096</v>
      </c>
      <c r="AK29">
        <v>19540</v>
      </c>
      <c r="AL29">
        <v>21111</v>
      </c>
      <c r="AM29">
        <v>23242</v>
      </c>
      <c r="AN29">
        <v>27611</v>
      </c>
      <c r="AO29">
        <v>29446</v>
      </c>
      <c r="AP29">
        <v>32746</v>
      </c>
      <c r="AQ29">
        <v>37220</v>
      </c>
      <c r="AR29">
        <v>39547</v>
      </c>
      <c r="AS29">
        <v>42705</v>
      </c>
      <c r="AT29">
        <v>50046</v>
      </c>
      <c r="AU29">
        <v>57782</v>
      </c>
      <c r="AV29">
        <v>64400</v>
      </c>
      <c r="AW29">
        <v>73961</v>
      </c>
      <c r="AX29">
        <v>85418</v>
      </c>
      <c r="AY29">
        <v>101757</v>
      </c>
      <c r="AZ29">
        <v>120537</v>
      </c>
      <c r="BA29">
        <v>139893</v>
      </c>
      <c r="BB29">
        <v>156016</v>
      </c>
      <c r="BC29">
        <v>175592</v>
      </c>
      <c r="BD29">
        <v>188307</v>
      </c>
      <c r="BE29">
        <v>205366</v>
      </c>
      <c r="BF29">
        <v>228116</v>
      </c>
      <c r="BG29">
        <v>247079</v>
      </c>
      <c r="BH29">
        <v>270862</v>
      </c>
      <c r="BI29">
        <v>288448</v>
      </c>
      <c r="BJ29">
        <v>310442</v>
      </c>
      <c r="BK29">
        <v>334720</v>
      </c>
      <c r="BL29">
        <v>354646</v>
      </c>
      <c r="BM29">
        <v>369395</v>
      </c>
      <c r="BN29">
        <v>404801</v>
      </c>
      <c r="BO29">
        <v>425565</v>
      </c>
      <c r="BP29">
        <v>445855</v>
      </c>
      <c r="BQ29">
        <v>447676</v>
      </c>
      <c r="BR29">
        <v>460814</v>
      </c>
      <c r="BS29">
        <v>478312</v>
      </c>
      <c r="BT29">
        <v>511209</v>
      </c>
      <c r="BU29">
        <v>538876</v>
      </c>
      <c r="BV29">
        <v>588944</v>
      </c>
      <c r="BW29">
        <v>590846</v>
      </c>
      <c r="BX29">
        <v>603009</v>
      </c>
      <c r="BY29">
        <v>633506</v>
      </c>
      <c r="BZ29">
        <v>663003</v>
      </c>
      <c r="CA29">
        <v>692450</v>
      </c>
      <c r="CB29">
        <v>708596</v>
      </c>
      <c r="CC29">
        <v>733720</v>
      </c>
      <c r="CD29">
        <v>739611</v>
      </c>
      <c r="CE29">
        <v>712075</v>
      </c>
      <c r="CF29">
        <v>714341</v>
      </c>
      <c r="CG29">
        <v>742079</v>
      </c>
      <c r="CH29">
        <v>769089</v>
      </c>
      <c r="CI29">
        <v>802707</v>
      </c>
      <c r="CJ29">
        <v>830417</v>
      </c>
      <c r="CK29">
        <v>864186</v>
      </c>
      <c r="CL29">
        <v>874027</v>
      </c>
      <c r="CM29">
        <v>922681</v>
      </c>
      <c r="CN29">
        <v>978585</v>
      </c>
      <c r="CO29">
        <v>1020794</v>
      </c>
      <c r="CP29">
        <v>998344</v>
      </c>
      <c r="CQ29">
        <v>1079619</v>
      </c>
      <c r="CR29">
        <v>1141490</v>
      </c>
      <c r="CS29">
        <v>1219275</v>
      </c>
      <c r="CT29">
        <v>1298274</v>
      </c>
      <c r="CU29">
        <v>1364841</v>
      </c>
    </row>
    <row r="30" spans="1:99">
      <c r="A30" t="s">
        <v>1052</v>
      </c>
      <c r="B30" t="s">
        <v>1026</v>
      </c>
      <c r="C30">
        <v>2953</v>
      </c>
      <c r="D30">
        <v>2991</v>
      </c>
      <c r="E30">
        <v>2796</v>
      </c>
      <c r="F30">
        <v>2894</v>
      </c>
      <c r="G30">
        <v>3405</v>
      </c>
      <c r="H30">
        <v>4017</v>
      </c>
      <c r="I30">
        <v>4076</v>
      </c>
      <c r="J30">
        <v>4282</v>
      </c>
      <c r="K30">
        <v>4529</v>
      </c>
      <c r="L30">
        <v>4484</v>
      </c>
      <c r="M30">
        <v>4652</v>
      </c>
      <c r="N30">
        <v>5027</v>
      </c>
      <c r="O30">
        <v>5918</v>
      </c>
      <c r="P30">
        <v>6277</v>
      </c>
      <c r="Q30">
        <v>6641</v>
      </c>
      <c r="R30">
        <v>7338</v>
      </c>
      <c r="S30">
        <v>8098</v>
      </c>
      <c r="T30">
        <v>9525</v>
      </c>
      <c r="U30">
        <v>11192</v>
      </c>
      <c r="V30">
        <v>12378</v>
      </c>
      <c r="W30">
        <v>12955</v>
      </c>
      <c r="X30">
        <v>14363</v>
      </c>
      <c r="Y30">
        <v>15365</v>
      </c>
      <c r="Z30">
        <v>16797</v>
      </c>
      <c r="AA30">
        <v>17885</v>
      </c>
      <c r="AB30">
        <v>17317</v>
      </c>
      <c r="AC30">
        <v>19160</v>
      </c>
      <c r="AD30">
        <v>20803</v>
      </c>
      <c r="AE30">
        <v>22049</v>
      </c>
      <c r="AF30">
        <v>22306</v>
      </c>
      <c r="AG30">
        <v>24397</v>
      </c>
      <c r="AH30">
        <v>26600</v>
      </c>
      <c r="AI30">
        <v>27620</v>
      </c>
      <c r="AJ30">
        <v>29869</v>
      </c>
      <c r="AK30">
        <v>31667</v>
      </c>
      <c r="AL30">
        <v>33878</v>
      </c>
      <c r="AM30">
        <v>36022</v>
      </c>
      <c r="AN30">
        <v>36973</v>
      </c>
      <c r="AO30">
        <v>39311</v>
      </c>
      <c r="AP30">
        <v>45535</v>
      </c>
      <c r="AQ30">
        <v>50181</v>
      </c>
      <c r="AR30">
        <v>54249</v>
      </c>
      <c r="AS30">
        <v>59516</v>
      </c>
      <c r="AT30">
        <v>63665</v>
      </c>
      <c r="AU30">
        <v>70075</v>
      </c>
      <c r="AV30">
        <v>74430</v>
      </c>
      <c r="AW30">
        <v>80194</v>
      </c>
      <c r="AX30">
        <v>86668</v>
      </c>
      <c r="AY30">
        <v>94631</v>
      </c>
      <c r="AZ30">
        <v>102726</v>
      </c>
      <c r="BA30">
        <v>108757</v>
      </c>
      <c r="BB30">
        <v>121536</v>
      </c>
      <c r="BC30">
        <v>146651</v>
      </c>
      <c r="BD30">
        <v>152915</v>
      </c>
      <c r="BE30">
        <v>168018</v>
      </c>
      <c r="BF30">
        <v>185003</v>
      </c>
      <c r="BG30">
        <v>196579</v>
      </c>
      <c r="BH30">
        <v>204565</v>
      </c>
      <c r="BI30">
        <v>216840</v>
      </c>
      <c r="BJ30">
        <v>233839</v>
      </c>
      <c r="BK30">
        <v>248156</v>
      </c>
      <c r="BL30">
        <v>263528</v>
      </c>
      <c r="BM30">
        <v>285729</v>
      </c>
      <c r="BN30">
        <v>302501</v>
      </c>
      <c r="BO30">
        <v>319322</v>
      </c>
      <c r="BP30">
        <v>350747</v>
      </c>
      <c r="BQ30">
        <v>358667</v>
      </c>
      <c r="BR30">
        <v>371681</v>
      </c>
      <c r="BS30">
        <v>388899</v>
      </c>
      <c r="BT30">
        <v>402904</v>
      </c>
      <c r="BU30">
        <v>424636</v>
      </c>
      <c r="BV30">
        <v>449868</v>
      </c>
      <c r="BW30">
        <v>441507</v>
      </c>
      <c r="BX30">
        <v>467032</v>
      </c>
      <c r="BY30">
        <v>491120</v>
      </c>
      <c r="BZ30">
        <v>531742</v>
      </c>
      <c r="CA30">
        <v>575663</v>
      </c>
      <c r="CB30">
        <v>611790</v>
      </c>
      <c r="CC30">
        <v>631279</v>
      </c>
      <c r="CD30">
        <v>637442</v>
      </c>
      <c r="CE30">
        <v>608503</v>
      </c>
      <c r="CF30">
        <v>638215</v>
      </c>
      <c r="CG30">
        <v>670848</v>
      </c>
      <c r="CH30">
        <v>695082</v>
      </c>
      <c r="CI30">
        <v>726674</v>
      </c>
      <c r="CJ30">
        <v>754668</v>
      </c>
      <c r="CK30">
        <v>771216</v>
      </c>
      <c r="CL30">
        <v>785159</v>
      </c>
      <c r="CM30">
        <v>825905</v>
      </c>
      <c r="CN30">
        <v>873481</v>
      </c>
      <c r="CO30">
        <v>928990</v>
      </c>
      <c r="CP30">
        <v>507876</v>
      </c>
      <c r="CQ30">
        <v>702594</v>
      </c>
      <c r="CR30">
        <v>1104840</v>
      </c>
      <c r="CS30">
        <v>1115707</v>
      </c>
      <c r="CT30">
        <v>1165975</v>
      </c>
      <c r="CU30">
        <v>1316638</v>
      </c>
    </row>
    <row r="31" spans="1:99">
      <c r="A31" t="s">
        <v>1053</v>
      </c>
      <c r="B31" t="s">
        <v>1028</v>
      </c>
      <c r="C31">
        <v>10709</v>
      </c>
      <c r="D31">
        <v>8605</v>
      </c>
      <c r="E31">
        <v>4553</v>
      </c>
      <c r="F31">
        <v>1319</v>
      </c>
      <c r="G31">
        <v>1114</v>
      </c>
      <c r="H31">
        <v>3938</v>
      </c>
      <c r="I31">
        <v>5298</v>
      </c>
      <c r="J31">
        <v>7181</v>
      </c>
      <c r="K31">
        <v>7885</v>
      </c>
      <c r="L31">
        <v>5613</v>
      </c>
      <c r="M31">
        <v>7132</v>
      </c>
      <c r="N31">
        <v>10197</v>
      </c>
      <c r="O31">
        <v>15756</v>
      </c>
      <c r="P31">
        <v>20842</v>
      </c>
      <c r="Q31">
        <v>24744</v>
      </c>
      <c r="R31">
        <v>24577</v>
      </c>
      <c r="S31">
        <v>20084</v>
      </c>
      <c r="T31">
        <v>16641</v>
      </c>
      <c r="U31">
        <v>22780</v>
      </c>
      <c r="V31">
        <v>29076</v>
      </c>
      <c r="W31">
        <v>26426</v>
      </c>
      <c r="X31">
        <v>33268</v>
      </c>
      <c r="Y31">
        <v>37834</v>
      </c>
      <c r="Z31">
        <v>35736</v>
      </c>
      <c r="AA31">
        <v>36232</v>
      </c>
      <c r="AB31">
        <v>35178</v>
      </c>
      <c r="AC31">
        <v>45418</v>
      </c>
      <c r="AD31">
        <v>44304</v>
      </c>
      <c r="AE31">
        <v>43705</v>
      </c>
      <c r="AF31">
        <v>39237</v>
      </c>
      <c r="AG31">
        <v>49776</v>
      </c>
      <c r="AH31">
        <v>47915</v>
      </c>
      <c r="AI31">
        <v>49723</v>
      </c>
      <c r="AJ31">
        <v>57859</v>
      </c>
      <c r="AK31">
        <v>64716</v>
      </c>
      <c r="AL31">
        <v>71736</v>
      </c>
      <c r="AM31">
        <v>83491</v>
      </c>
      <c r="AN31">
        <v>90864</v>
      </c>
      <c r="AO31">
        <v>89364</v>
      </c>
      <c r="AP31">
        <v>96448</v>
      </c>
      <c r="AQ31">
        <v>94896</v>
      </c>
      <c r="AR31">
        <v>84896</v>
      </c>
      <c r="AS31">
        <v>97659</v>
      </c>
      <c r="AT31">
        <v>112172</v>
      </c>
      <c r="AU31">
        <v>125483</v>
      </c>
      <c r="AV31">
        <v>121293</v>
      </c>
      <c r="AW31">
        <v>141341</v>
      </c>
      <c r="AX31">
        <v>169722</v>
      </c>
      <c r="AY31">
        <v>196884</v>
      </c>
      <c r="AZ31">
        <v>221554</v>
      </c>
      <c r="BA31">
        <v>226725</v>
      </c>
      <c r="BB31">
        <v>223441</v>
      </c>
      <c r="BC31">
        <v>273482</v>
      </c>
      <c r="BD31">
        <v>264806</v>
      </c>
      <c r="BE31">
        <v>303155</v>
      </c>
      <c r="BF31">
        <v>373838</v>
      </c>
      <c r="BG31">
        <v>383522</v>
      </c>
      <c r="BH31">
        <v>364294</v>
      </c>
      <c r="BI31">
        <v>404912</v>
      </c>
      <c r="BJ31">
        <v>456561</v>
      </c>
      <c r="BK31">
        <v>457075</v>
      </c>
      <c r="BL31">
        <v>457022</v>
      </c>
      <c r="BM31">
        <v>450831</v>
      </c>
      <c r="BN31">
        <v>449070</v>
      </c>
      <c r="BO31">
        <v>488755</v>
      </c>
      <c r="BP31">
        <v>584811</v>
      </c>
      <c r="BQ31">
        <v>637426</v>
      </c>
      <c r="BR31">
        <v>702808</v>
      </c>
      <c r="BS31">
        <v>763291</v>
      </c>
      <c r="BT31">
        <v>744345</v>
      </c>
      <c r="BU31">
        <v>754597</v>
      </c>
      <c r="BV31">
        <v>726139</v>
      </c>
      <c r="BW31">
        <v>664885</v>
      </c>
      <c r="BX31">
        <v>731045</v>
      </c>
      <c r="BY31">
        <v>830127</v>
      </c>
      <c r="BZ31">
        <v>988613</v>
      </c>
      <c r="CA31">
        <v>1157510</v>
      </c>
      <c r="CB31">
        <v>1297836</v>
      </c>
      <c r="CC31">
        <v>1271768</v>
      </c>
      <c r="CD31">
        <v>1217245</v>
      </c>
      <c r="CE31">
        <v>1086020</v>
      </c>
      <c r="CF31">
        <v>1358883</v>
      </c>
      <c r="CG31">
        <v>1444027</v>
      </c>
      <c r="CH31">
        <v>1572715</v>
      </c>
      <c r="CI31">
        <v>1634506</v>
      </c>
      <c r="CJ31">
        <v>1711433</v>
      </c>
      <c r="CK31">
        <v>1738998</v>
      </c>
      <c r="CL31">
        <v>1671794</v>
      </c>
      <c r="CM31">
        <v>1708532</v>
      </c>
      <c r="CN31">
        <v>1835141</v>
      </c>
      <c r="CO31">
        <v>1861862</v>
      </c>
      <c r="CP31">
        <v>1912578</v>
      </c>
      <c r="CQ31">
        <v>2555943</v>
      </c>
      <c r="CR31">
        <v>2736706</v>
      </c>
      <c r="CS31">
        <v>2877736</v>
      </c>
      <c r="CT31">
        <v>2957761</v>
      </c>
      <c r="CU31" t="s">
        <v>1014</v>
      </c>
    </row>
    <row r="32" spans="1:99">
      <c r="A32" t="s">
        <v>1054</v>
      </c>
      <c r="B32" t="s">
        <v>1030</v>
      </c>
      <c r="C32">
        <v>1358</v>
      </c>
      <c r="D32">
        <v>1606</v>
      </c>
      <c r="E32">
        <v>1778</v>
      </c>
      <c r="F32">
        <v>1765</v>
      </c>
      <c r="G32">
        <v>1738</v>
      </c>
      <c r="H32">
        <v>1684</v>
      </c>
      <c r="I32">
        <v>1670</v>
      </c>
      <c r="J32">
        <v>1600</v>
      </c>
      <c r="K32">
        <v>1590</v>
      </c>
      <c r="L32">
        <v>1524</v>
      </c>
      <c r="M32">
        <v>1476</v>
      </c>
      <c r="N32">
        <v>1335</v>
      </c>
      <c r="O32">
        <v>1237</v>
      </c>
      <c r="P32">
        <v>1220</v>
      </c>
      <c r="Q32">
        <v>1060</v>
      </c>
      <c r="R32">
        <v>990</v>
      </c>
      <c r="S32">
        <v>942</v>
      </c>
      <c r="T32">
        <v>660</v>
      </c>
      <c r="U32">
        <v>768</v>
      </c>
      <c r="V32">
        <v>857</v>
      </c>
      <c r="W32">
        <v>999</v>
      </c>
      <c r="X32">
        <v>932</v>
      </c>
      <c r="Y32">
        <v>1096</v>
      </c>
      <c r="Z32">
        <v>1258</v>
      </c>
      <c r="AA32">
        <v>1334</v>
      </c>
      <c r="AB32">
        <v>1650</v>
      </c>
      <c r="AC32">
        <v>1700</v>
      </c>
      <c r="AD32">
        <v>1832</v>
      </c>
      <c r="AE32">
        <v>2262</v>
      </c>
      <c r="AF32">
        <v>2846</v>
      </c>
      <c r="AG32">
        <v>3018</v>
      </c>
      <c r="AH32">
        <v>3313</v>
      </c>
      <c r="AI32">
        <v>3818</v>
      </c>
      <c r="AJ32">
        <v>4470</v>
      </c>
      <c r="AK32">
        <v>4828</v>
      </c>
      <c r="AL32">
        <v>5299</v>
      </c>
      <c r="AM32">
        <v>5966</v>
      </c>
      <c r="AN32">
        <v>7184</v>
      </c>
      <c r="AO32">
        <v>8594</v>
      </c>
      <c r="AP32">
        <v>10148</v>
      </c>
      <c r="AQ32">
        <v>13544</v>
      </c>
      <c r="AR32">
        <v>17851</v>
      </c>
      <c r="AS32">
        <v>18915</v>
      </c>
      <c r="AT32">
        <v>19976</v>
      </c>
      <c r="AU32">
        <v>23733</v>
      </c>
      <c r="AV32">
        <v>30142</v>
      </c>
      <c r="AW32">
        <v>32355</v>
      </c>
      <c r="AX32">
        <v>29977</v>
      </c>
      <c r="AY32">
        <v>33041</v>
      </c>
      <c r="AZ32">
        <v>36599</v>
      </c>
      <c r="BA32">
        <v>43665</v>
      </c>
      <c r="BB32">
        <v>58147</v>
      </c>
      <c r="BC32">
        <v>72914</v>
      </c>
      <c r="BD32">
        <v>83413</v>
      </c>
      <c r="BE32">
        <v>82656</v>
      </c>
      <c r="BF32">
        <v>93991</v>
      </c>
      <c r="BG32">
        <v>97093</v>
      </c>
      <c r="BH32">
        <v>107170</v>
      </c>
      <c r="BI32">
        <v>115901</v>
      </c>
      <c r="BJ32">
        <v>135568</v>
      </c>
      <c r="BK32">
        <v>159563</v>
      </c>
      <c r="BL32">
        <v>169679</v>
      </c>
      <c r="BM32">
        <v>156685</v>
      </c>
      <c r="BN32">
        <v>131318</v>
      </c>
      <c r="BO32">
        <v>117538</v>
      </c>
      <c r="BP32">
        <v>116971</v>
      </c>
      <c r="BQ32">
        <v>126463</v>
      </c>
      <c r="BR32">
        <v>119960</v>
      </c>
      <c r="BS32">
        <v>127945</v>
      </c>
      <c r="BT32">
        <v>148275</v>
      </c>
      <c r="BU32">
        <v>158279</v>
      </c>
      <c r="BV32">
        <v>196220</v>
      </c>
      <c r="BW32">
        <v>224069</v>
      </c>
      <c r="BX32">
        <v>200347</v>
      </c>
      <c r="BY32">
        <v>174198</v>
      </c>
      <c r="BZ32">
        <v>162335</v>
      </c>
      <c r="CA32">
        <v>174978</v>
      </c>
      <c r="CB32">
        <v>183070</v>
      </c>
      <c r="CC32">
        <v>261873</v>
      </c>
      <c r="CD32">
        <v>325645</v>
      </c>
      <c r="CE32">
        <v>301527</v>
      </c>
      <c r="CF32">
        <v>303977</v>
      </c>
      <c r="CG32">
        <v>301801</v>
      </c>
      <c r="CH32">
        <v>307917</v>
      </c>
      <c r="CI32">
        <v>301337</v>
      </c>
      <c r="CJ32">
        <v>310655</v>
      </c>
      <c r="CK32">
        <v>324537</v>
      </c>
      <c r="CL32">
        <v>343885</v>
      </c>
      <c r="CM32">
        <v>351963</v>
      </c>
      <c r="CN32">
        <v>358281</v>
      </c>
      <c r="CO32">
        <v>372810</v>
      </c>
      <c r="CP32">
        <v>324369</v>
      </c>
      <c r="CQ32">
        <v>326392</v>
      </c>
      <c r="CR32">
        <v>307810</v>
      </c>
      <c r="CS32">
        <v>218873</v>
      </c>
      <c r="CT32">
        <v>199330</v>
      </c>
      <c r="CU32" t="s">
        <v>1014</v>
      </c>
    </row>
    <row r="33" spans="1:99">
      <c r="A33" t="s">
        <v>1055</v>
      </c>
      <c r="B33" t="s">
        <v>1032</v>
      </c>
      <c r="C33">
        <v>310</v>
      </c>
      <c r="D33">
        <v>306</v>
      </c>
      <c r="E33">
        <v>337</v>
      </c>
      <c r="F33">
        <v>352</v>
      </c>
      <c r="G33">
        <v>331</v>
      </c>
      <c r="H33">
        <v>319</v>
      </c>
      <c r="I33">
        <v>312</v>
      </c>
      <c r="J33">
        <v>318</v>
      </c>
      <c r="K33">
        <v>326</v>
      </c>
      <c r="L33">
        <v>297</v>
      </c>
      <c r="M33">
        <v>306</v>
      </c>
      <c r="N33">
        <v>317</v>
      </c>
      <c r="O33">
        <v>367</v>
      </c>
      <c r="P33">
        <v>419</v>
      </c>
      <c r="Q33">
        <v>494</v>
      </c>
      <c r="R33">
        <v>630</v>
      </c>
      <c r="S33">
        <v>667</v>
      </c>
      <c r="T33">
        <v>475</v>
      </c>
      <c r="U33">
        <v>572</v>
      </c>
      <c r="V33">
        <v>605</v>
      </c>
      <c r="W33">
        <v>588</v>
      </c>
      <c r="X33">
        <v>601</v>
      </c>
      <c r="Y33">
        <v>727</v>
      </c>
      <c r="Z33">
        <v>824</v>
      </c>
      <c r="AA33">
        <v>959</v>
      </c>
      <c r="AB33">
        <v>851</v>
      </c>
      <c r="AC33">
        <v>979</v>
      </c>
      <c r="AD33">
        <v>1035</v>
      </c>
      <c r="AE33">
        <v>1098</v>
      </c>
      <c r="AF33">
        <v>1173</v>
      </c>
      <c r="AG33">
        <v>1255</v>
      </c>
      <c r="AH33">
        <v>1266</v>
      </c>
      <c r="AI33">
        <v>1421</v>
      </c>
      <c r="AJ33">
        <v>1579</v>
      </c>
      <c r="AK33">
        <v>1595</v>
      </c>
      <c r="AL33">
        <v>1871</v>
      </c>
      <c r="AM33">
        <v>2102</v>
      </c>
      <c r="AN33">
        <v>2617</v>
      </c>
      <c r="AO33">
        <v>2703</v>
      </c>
      <c r="AP33">
        <v>2937</v>
      </c>
      <c r="AQ33">
        <v>3047</v>
      </c>
      <c r="AR33">
        <v>3182</v>
      </c>
      <c r="AS33">
        <v>3592</v>
      </c>
      <c r="AT33">
        <v>3885</v>
      </c>
      <c r="AU33">
        <v>4504</v>
      </c>
      <c r="AV33">
        <v>3739</v>
      </c>
      <c r="AW33">
        <v>4716</v>
      </c>
      <c r="AX33">
        <v>6700</v>
      </c>
      <c r="AY33">
        <v>8706</v>
      </c>
      <c r="AZ33">
        <v>9203</v>
      </c>
      <c r="BA33">
        <v>9028</v>
      </c>
      <c r="BB33">
        <v>9636</v>
      </c>
      <c r="BC33">
        <v>10659</v>
      </c>
      <c r="BD33">
        <v>8119</v>
      </c>
      <c r="BE33">
        <v>9953</v>
      </c>
      <c r="BF33">
        <v>10934</v>
      </c>
      <c r="BG33">
        <v>15362</v>
      </c>
      <c r="BH33">
        <v>26919</v>
      </c>
      <c r="BI33">
        <v>29655</v>
      </c>
      <c r="BJ33">
        <v>27036</v>
      </c>
      <c r="BK33">
        <v>23481</v>
      </c>
      <c r="BL33">
        <v>24867</v>
      </c>
      <c r="BM33">
        <v>26093</v>
      </c>
      <c r="BN33">
        <v>30693</v>
      </c>
      <c r="BO33">
        <v>29521</v>
      </c>
      <c r="BP33">
        <v>34651</v>
      </c>
      <c r="BQ33">
        <v>30162</v>
      </c>
      <c r="BR33">
        <v>37319</v>
      </c>
      <c r="BS33">
        <v>38487</v>
      </c>
      <c r="BT33">
        <v>34106</v>
      </c>
      <c r="BU33">
        <v>45602</v>
      </c>
      <c r="BV33">
        <v>45439</v>
      </c>
      <c r="BW33">
        <v>55199</v>
      </c>
      <c r="BX33">
        <v>51994</v>
      </c>
      <c r="BY33">
        <v>61635</v>
      </c>
      <c r="BZ33">
        <v>62538</v>
      </c>
      <c r="CA33">
        <v>79314</v>
      </c>
      <c r="CB33">
        <v>68525</v>
      </c>
      <c r="CC33">
        <v>59077</v>
      </c>
      <c r="CD33">
        <v>46320</v>
      </c>
      <c r="CE33">
        <v>60532</v>
      </c>
      <c r="CF33">
        <v>71808</v>
      </c>
      <c r="CG33">
        <v>79885</v>
      </c>
      <c r="CH33">
        <v>82372</v>
      </c>
      <c r="CI33">
        <v>84166</v>
      </c>
      <c r="CJ33">
        <v>82241</v>
      </c>
      <c r="CK33">
        <v>99763</v>
      </c>
      <c r="CL33">
        <v>73341</v>
      </c>
      <c r="CM33">
        <v>92900</v>
      </c>
      <c r="CN33">
        <v>97765</v>
      </c>
      <c r="CO33">
        <v>89471</v>
      </c>
      <c r="CP33">
        <v>90877</v>
      </c>
      <c r="CQ33">
        <v>122876</v>
      </c>
      <c r="CR33">
        <v>119058</v>
      </c>
      <c r="CS33">
        <v>97823</v>
      </c>
      <c r="CT33">
        <v>111445</v>
      </c>
      <c r="CU33">
        <v>98273</v>
      </c>
    </row>
    <row r="34" spans="1:99">
      <c r="A34" t="s">
        <v>1056</v>
      </c>
      <c r="B34" t="s">
        <v>1034</v>
      </c>
      <c r="C34">
        <v>9041</v>
      </c>
      <c r="D34">
        <v>6693</v>
      </c>
      <c r="E34">
        <v>2438</v>
      </c>
      <c r="F34">
        <v>-798</v>
      </c>
      <c r="G34">
        <v>-955</v>
      </c>
      <c r="H34">
        <v>1935</v>
      </c>
      <c r="I34">
        <v>3316</v>
      </c>
      <c r="J34">
        <v>5263</v>
      </c>
      <c r="K34">
        <v>5969</v>
      </c>
      <c r="L34">
        <v>3792</v>
      </c>
      <c r="M34">
        <v>5350</v>
      </c>
      <c r="N34">
        <v>8545</v>
      </c>
      <c r="O34">
        <v>14152</v>
      </c>
      <c r="P34">
        <v>19203</v>
      </c>
      <c r="Q34">
        <v>23190</v>
      </c>
      <c r="R34">
        <v>22957</v>
      </c>
      <c r="S34">
        <v>18475</v>
      </c>
      <c r="T34">
        <v>15506</v>
      </c>
      <c r="U34">
        <v>21441</v>
      </c>
      <c r="V34">
        <v>27614</v>
      </c>
      <c r="W34">
        <v>24840</v>
      </c>
      <c r="X34">
        <v>31735</v>
      </c>
      <c r="Y34">
        <v>36011</v>
      </c>
      <c r="Z34">
        <v>33654</v>
      </c>
      <c r="AA34">
        <v>33939</v>
      </c>
      <c r="AB34">
        <v>32676</v>
      </c>
      <c r="AC34">
        <v>42739</v>
      </c>
      <c r="AD34">
        <v>41437</v>
      </c>
      <c r="AE34">
        <v>40345</v>
      </c>
      <c r="AF34">
        <v>35217</v>
      </c>
      <c r="AG34">
        <v>45503</v>
      </c>
      <c r="AH34">
        <v>43335</v>
      </c>
      <c r="AI34">
        <v>44484</v>
      </c>
      <c r="AJ34">
        <v>51810</v>
      </c>
      <c r="AK34">
        <v>58293</v>
      </c>
      <c r="AL34">
        <v>64566</v>
      </c>
      <c r="AM34">
        <v>75423</v>
      </c>
      <c r="AN34">
        <v>81063</v>
      </c>
      <c r="AO34">
        <v>78068</v>
      </c>
      <c r="AP34">
        <v>83364</v>
      </c>
      <c r="AQ34">
        <v>78306</v>
      </c>
      <c r="AR34">
        <v>63863</v>
      </c>
      <c r="AS34">
        <v>75152</v>
      </c>
      <c r="AT34">
        <v>88311</v>
      </c>
      <c r="AU34">
        <v>97246</v>
      </c>
      <c r="AV34">
        <v>87413</v>
      </c>
      <c r="AW34">
        <v>104270</v>
      </c>
      <c r="AX34">
        <v>133045</v>
      </c>
      <c r="AY34">
        <v>155137</v>
      </c>
      <c r="AZ34">
        <v>175752</v>
      </c>
      <c r="BA34">
        <v>174032</v>
      </c>
      <c r="BB34">
        <v>155658</v>
      </c>
      <c r="BC34">
        <v>189910</v>
      </c>
      <c r="BD34">
        <v>173273</v>
      </c>
      <c r="BE34">
        <v>210547</v>
      </c>
      <c r="BF34">
        <v>268913</v>
      </c>
      <c r="BG34">
        <v>271067</v>
      </c>
      <c r="BH34">
        <v>230205</v>
      </c>
      <c r="BI34">
        <v>259356</v>
      </c>
      <c r="BJ34">
        <v>293957</v>
      </c>
      <c r="BK34">
        <v>274031</v>
      </c>
      <c r="BL34">
        <v>262476</v>
      </c>
      <c r="BM34">
        <v>268053</v>
      </c>
      <c r="BN34">
        <v>287059</v>
      </c>
      <c r="BO34">
        <v>341696</v>
      </c>
      <c r="BP34">
        <v>433190</v>
      </c>
      <c r="BQ34">
        <v>480800</v>
      </c>
      <c r="BR34">
        <v>545529</v>
      </c>
      <c r="BS34">
        <v>596858</v>
      </c>
      <c r="BT34">
        <v>561964</v>
      </c>
      <c r="BU34">
        <v>550717</v>
      </c>
      <c r="BV34">
        <v>484479</v>
      </c>
      <c r="BW34">
        <v>385618</v>
      </c>
      <c r="BX34">
        <v>478705</v>
      </c>
      <c r="BY34">
        <v>594294</v>
      </c>
      <c r="BZ34">
        <v>763740</v>
      </c>
      <c r="CA34">
        <v>903218</v>
      </c>
      <c r="CB34">
        <v>1046240</v>
      </c>
      <c r="CC34">
        <v>950818</v>
      </c>
      <c r="CD34">
        <v>845280</v>
      </c>
      <c r="CE34">
        <v>723962</v>
      </c>
      <c r="CF34">
        <v>983098</v>
      </c>
      <c r="CG34">
        <v>1062341</v>
      </c>
      <c r="CH34">
        <v>1182426</v>
      </c>
      <c r="CI34">
        <v>1249003</v>
      </c>
      <c r="CJ34">
        <v>1318538</v>
      </c>
      <c r="CK34">
        <v>1314698</v>
      </c>
      <c r="CL34">
        <v>1254568</v>
      </c>
      <c r="CM34">
        <v>1263670</v>
      </c>
      <c r="CN34">
        <v>1379096</v>
      </c>
      <c r="CO34">
        <v>1399581</v>
      </c>
      <c r="CP34">
        <v>1497331</v>
      </c>
      <c r="CQ34">
        <v>2106675</v>
      </c>
      <c r="CR34">
        <v>2309838</v>
      </c>
      <c r="CS34">
        <v>2561040</v>
      </c>
      <c r="CT34">
        <v>2646986</v>
      </c>
      <c r="CU34" t="s">
        <v>1014</v>
      </c>
    </row>
    <row r="35" spans="1:99">
      <c r="A35" t="s">
        <v>1057</v>
      </c>
      <c r="B35" t="s">
        <v>1036</v>
      </c>
      <c r="C35">
        <v>1149</v>
      </c>
      <c r="D35">
        <v>740</v>
      </c>
      <c r="E35">
        <v>450</v>
      </c>
      <c r="F35">
        <v>345</v>
      </c>
      <c r="G35">
        <v>488</v>
      </c>
      <c r="H35">
        <v>681</v>
      </c>
      <c r="I35">
        <v>863</v>
      </c>
      <c r="J35">
        <v>1257</v>
      </c>
      <c r="K35">
        <v>1359</v>
      </c>
      <c r="L35">
        <v>912</v>
      </c>
      <c r="M35">
        <v>1330</v>
      </c>
      <c r="N35">
        <v>2675</v>
      </c>
      <c r="O35">
        <v>7352</v>
      </c>
      <c r="P35">
        <v>11112</v>
      </c>
      <c r="Q35">
        <v>13732</v>
      </c>
      <c r="R35">
        <v>12557</v>
      </c>
      <c r="S35">
        <v>10184</v>
      </c>
      <c r="T35">
        <v>8573</v>
      </c>
      <c r="U35">
        <v>10777</v>
      </c>
      <c r="V35">
        <v>11681</v>
      </c>
      <c r="W35">
        <v>9262</v>
      </c>
      <c r="X35">
        <v>16764</v>
      </c>
      <c r="Y35">
        <v>21104</v>
      </c>
      <c r="Z35">
        <v>17677</v>
      </c>
      <c r="AA35">
        <v>18369</v>
      </c>
      <c r="AB35">
        <v>15528</v>
      </c>
      <c r="AC35">
        <v>20115</v>
      </c>
      <c r="AD35">
        <v>19919</v>
      </c>
      <c r="AE35">
        <v>18981</v>
      </c>
      <c r="AF35">
        <v>16064</v>
      </c>
      <c r="AG35">
        <v>20682</v>
      </c>
      <c r="AH35">
        <v>19142</v>
      </c>
      <c r="AI35">
        <v>19419</v>
      </c>
      <c r="AJ35">
        <v>20591</v>
      </c>
      <c r="AK35">
        <v>22754</v>
      </c>
      <c r="AL35">
        <v>23888</v>
      </c>
      <c r="AM35">
        <v>27137</v>
      </c>
      <c r="AN35">
        <v>29492</v>
      </c>
      <c r="AO35">
        <v>27828</v>
      </c>
      <c r="AP35">
        <v>33534</v>
      </c>
      <c r="AQ35">
        <v>33344</v>
      </c>
      <c r="AR35">
        <v>27286</v>
      </c>
      <c r="AS35">
        <v>29995</v>
      </c>
      <c r="AT35">
        <v>33795</v>
      </c>
      <c r="AU35">
        <v>40409</v>
      </c>
      <c r="AV35">
        <v>42849</v>
      </c>
      <c r="AW35">
        <v>41908</v>
      </c>
      <c r="AX35">
        <v>53495</v>
      </c>
      <c r="AY35">
        <v>60578</v>
      </c>
      <c r="AZ35">
        <v>67556</v>
      </c>
      <c r="BA35">
        <v>70619</v>
      </c>
      <c r="BB35">
        <v>68203</v>
      </c>
      <c r="BC35">
        <v>65994</v>
      </c>
      <c r="BD35">
        <v>48763</v>
      </c>
      <c r="BE35">
        <v>61721</v>
      </c>
      <c r="BF35">
        <v>75940</v>
      </c>
      <c r="BG35">
        <v>71083</v>
      </c>
      <c r="BH35">
        <v>76238</v>
      </c>
      <c r="BI35">
        <v>94230</v>
      </c>
      <c r="BJ35">
        <v>103953</v>
      </c>
      <c r="BK35">
        <v>101208</v>
      </c>
      <c r="BL35">
        <v>98453</v>
      </c>
      <c r="BM35">
        <v>88598</v>
      </c>
      <c r="BN35">
        <v>94429</v>
      </c>
      <c r="BO35">
        <v>108041</v>
      </c>
      <c r="BP35">
        <v>132356</v>
      </c>
      <c r="BQ35">
        <v>140323</v>
      </c>
      <c r="BR35">
        <v>152928</v>
      </c>
      <c r="BS35">
        <v>161359</v>
      </c>
      <c r="BT35">
        <v>158668</v>
      </c>
      <c r="BU35">
        <v>166463</v>
      </c>
      <c r="BV35">
        <v>165085</v>
      </c>
      <c r="BW35">
        <v>106211</v>
      </c>
      <c r="BX35">
        <v>91076</v>
      </c>
      <c r="BY35">
        <v>126492</v>
      </c>
      <c r="BZ35">
        <v>179234</v>
      </c>
      <c r="CA35">
        <v>262541</v>
      </c>
      <c r="CB35">
        <v>296082</v>
      </c>
      <c r="CC35">
        <v>277620</v>
      </c>
      <c r="CD35">
        <v>207206</v>
      </c>
      <c r="CE35">
        <v>161436</v>
      </c>
      <c r="CF35">
        <v>203784</v>
      </c>
      <c r="CG35">
        <v>209219</v>
      </c>
      <c r="CH35">
        <v>245803</v>
      </c>
      <c r="CI35">
        <v>263956</v>
      </c>
      <c r="CJ35">
        <v>290629</v>
      </c>
      <c r="CK35">
        <v>283948</v>
      </c>
      <c r="CL35">
        <v>262059</v>
      </c>
      <c r="CM35">
        <v>213815</v>
      </c>
      <c r="CN35">
        <v>212944</v>
      </c>
      <c r="CO35">
        <v>196788</v>
      </c>
      <c r="CP35">
        <v>211997</v>
      </c>
      <c r="CQ35">
        <v>343781</v>
      </c>
      <c r="CR35">
        <v>471821</v>
      </c>
      <c r="CS35">
        <v>486859</v>
      </c>
      <c r="CT35">
        <v>540201</v>
      </c>
      <c r="CU35" t="s">
        <v>1014</v>
      </c>
    </row>
    <row r="36" spans="1:99">
      <c r="A36" t="s">
        <v>1058</v>
      </c>
      <c r="B36" t="s">
        <v>1038</v>
      </c>
      <c r="C36">
        <v>7892</v>
      </c>
      <c r="D36">
        <v>5953</v>
      </c>
      <c r="E36">
        <v>1988</v>
      </c>
      <c r="F36">
        <v>-1143</v>
      </c>
      <c r="G36">
        <v>-1443</v>
      </c>
      <c r="H36">
        <v>1254</v>
      </c>
      <c r="I36">
        <v>2453</v>
      </c>
      <c r="J36">
        <v>4006</v>
      </c>
      <c r="K36">
        <v>4610</v>
      </c>
      <c r="L36">
        <v>2880</v>
      </c>
      <c r="M36">
        <v>4020</v>
      </c>
      <c r="N36">
        <v>5870</v>
      </c>
      <c r="O36">
        <v>6800</v>
      </c>
      <c r="P36">
        <v>8091</v>
      </c>
      <c r="Q36">
        <v>9458</v>
      </c>
      <c r="R36">
        <v>10400</v>
      </c>
      <c r="S36">
        <v>8291</v>
      </c>
      <c r="T36">
        <v>6933</v>
      </c>
      <c r="U36">
        <v>10664</v>
      </c>
      <c r="V36">
        <v>15933</v>
      </c>
      <c r="W36">
        <v>15578</v>
      </c>
      <c r="X36">
        <v>14971</v>
      </c>
      <c r="Y36">
        <v>14907</v>
      </c>
      <c r="Z36">
        <v>15977</v>
      </c>
      <c r="AA36">
        <v>15570</v>
      </c>
      <c r="AB36">
        <v>17148</v>
      </c>
      <c r="AC36">
        <v>22624</v>
      </c>
      <c r="AD36">
        <v>21518</v>
      </c>
      <c r="AE36">
        <v>21364</v>
      </c>
      <c r="AF36">
        <v>19153</v>
      </c>
      <c r="AG36">
        <v>24821</v>
      </c>
      <c r="AH36">
        <v>24193</v>
      </c>
      <c r="AI36">
        <v>25065</v>
      </c>
      <c r="AJ36">
        <v>31219</v>
      </c>
      <c r="AK36">
        <v>35539</v>
      </c>
      <c r="AL36">
        <v>40678</v>
      </c>
      <c r="AM36">
        <v>48286</v>
      </c>
      <c r="AN36">
        <v>51571</v>
      </c>
      <c r="AO36">
        <v>50240</v>
      </c>
      <c r="AP36">
        <v>49830</v>
      </c>
      <c r="AQ36">
        <v>44962</v>
      </c>
      <c r="AR36">
        <v>36577</v>
      </c>
      <c r="AS36">
        <v>45157</v>
      </c>
      <c r="AT36">
        <v>54516</v>
      </c>
      <c r="AU36">
        <v>56837</v>
      </c>
      <c r="AV36">
        <v>44564</v>
      </c>
      <c r="AW36">
        <v>62362</v>
      </c>
      <c r="AX36">
        <v>79550</v>
      </c>
      <c r="AY36">
        <v>94559</v>
      </c>
      <c r="AZ36">
        <v>108196</v>
      </c>
      <c r="BA36">
        <v>103413</v>
      </c>
      <c r="BB36">
        <v>87455</v>
      </c>
      <c r="BC36">
        <v>123916</v>
      </c>
      <c r="BD36">
        <v>124510</v>
      </c>
      <c r="BE36">
        <v>148826</v>
      </c>
      <c r="BF36">
        <v>192973</v>
      </c>
      <c r="BG36">
        <v>199984</v>
      </c>
      <c r="BH36">
        <v>153967</v>
      </c>
      <c r="BI36">
        <v>165126</v>
      </c>
      <c r="BJ36">
        <v>190004</v>
      </c>
      <c r="BK36">
        <v>172823</v>
      </c>
      <c r="BL36">
        <v>164023</v>
      </c>
      <c r="BM36">
        <v>179455</v>
      </c>
      <c r="BN36">
        <v>192629</v>
      </c>
      <c r="BO36">
        <v>233655</v>
      </c>
      <c r="BP36">
        <v>300834</v>
      </c>
      <c r="BQ36">
        <v>340477</v>
      </c>
      <c r="BR36">
        <v>392601</v>
      </c>
      <c r="BS36">
        <v>435499</v>
      </c>
      <c r="BT36">
        <v>403296</v>
      </c>
      <c r="BU36">
        <v>384253</v>
      </c>
      <c r="BV36">
        <v>319394</v>
      </c>
      <c r="BW36">
        <v>279407</v>
      </c>
      <c r="BX36">
        <v>387629</v>
      </c>
      <c r="BY36">
        <v>467801</v>
      </c>
      <c r="BZ36">
        <v>584506</v>
      </c>
      <c r="CA36">
        <v>640677</v>
      </c>
      <c r="CB36">
        <v>750159</v>
      </c>
      <c r="CC36">
        <v>673199</v>
      </c>
      <c r="CD36">
        <v>638075</v>
      </c>
      <c r="CE36">
        <v>562526</v>
      </c>
      <c r="CF36">
        <v>779315</v>
      </c>
      <c r="CG36">
        <v>853122</v>
      </c>
      <c r="CH36">
        <v>936623</v>
      </c>
      <c r="CI36">
        <v>985047</v>
      </c>
      <c r="CJ36">
        <v>1027909</v>
      </c>
      <c r="CK36">
        <v>1030750</v>
      </c>
      <c r="CL36">
        <v>992509</v>
      </c>
      <c r="CM36">
        <v>1049855</v>
      </c>
      <c r="CN36">
        <v>1166151</v>
      </c>
      <c r="CO36">
        <v>1202793</v>
      </c>
      <c r="CP36">
        <v>1285334</v>
      </c>
      <c r="CQ36">
        <v>1762893</v>
      </c>
      <c r="CR36">
        <v>1838017</v>
      </c>
      <c r="CS36">
        <v>2074181</v>
      </c>
      <c r="CT36">
        <v>2106785</v>
      </c>
      <c r="CU36" t="s">
        <v>1014</v>
      </c>
    </row>
    <row r="37" spans="1:99">
      <c r="A37" t="s">
        <v>1059</v>
      </c>
      <c r="B37" t="s">
        <v>1040</v>
      </c>
      <c r="C37">
        <v>5077</v>
      </c>
      <c r="D37">
        <v>4957</v>
      </c>
      <c r="E37">
        <v>3757</v>
      </c>
      <c r="F37">
        <v>2396</v>
      </c>
      <c r="G37">
        <v>1981</v>
      </c>
      <c r="H37">
        <v>2677</v>
      </c>
      <c r="I37">
        <v>3170</v>
      </c>
      <c r="J37">
        <v>4298</v>
      </c>
      <c r="K37">
        <v>4424</v>
      </c>
      <c r="L37">
        <v>2745</v>
      </c>
      <c r="M37">
        <v>3425</v>
      </c>
      <c r="N37">
        <v>3710</v>
      </c>
      <c r="O37">
        <v>4144</v>
      </c>
      <c r="P37">
        <v>3761</v>
      </c>
      <c r="Q37">
        <v>3943</v>
      </c>
      <c r="R37">
        <v>4055</v>
      </c>
      <c r="S37">
        <v>4068</v>
      </c>
      <c r="T37">
        <v>4856</v>
      </c>
      <c r="U37">
        <v>5359</v>
      </c>
      <c r="V37">
        <v>5877</v>
      </c>
      <c r="W37">
        <v>6040</v>
      </c>
      <c r="X37">
        <v>7375</v>
      </c>
      <c r="Y37">
        <v>7042</v>
      </c>
      <c r="Z37">
        <v>7053</v>
      </c>
      <c r="AA37">
        <v>7243</v>
      </c>
      <c r="AB37">
        <v>7357</v>
      </c>
      <c r="AC37">
        <v>8415</v>
      </c>
      <c r="AD37">
        <v>9007</v>
      </c>
      <c r="AE37">
        <v>9226</v>
      </c>
      <c r="AF37">
        <v>9115</v>
      </c>
      <c r="AG37">
        <v>9816</v>
      </c>
      <c r="AH37">
        <v>10455</v>
      </c>
      <c r="AI37">
        <v>10576</v>
      </c>
      <c r="AJ37">
        <v>11590</v>
      </c>
      <c r="AK37">
        <v>12444</v>
      </c>
      <c r="AL37">
        <v>13996</v>
      </c>
      <c r="AM37">
        <v>16195</v>
      </c>
      <c r="AN37">
        <v>16751</v>
      </c>
      <c r="AO37">
        <v>17273</v>
      </c>
      <c r="AP37">
        <v>19038</v>
      </c>
      <c r="AQ37">
        <v>19026</v>
      </c>
      <c r="AR37">
        <v>18295</v>
      </c>
      <c r="AS37">
        <v>18145</v>
      </c>
      <c r="AT37">
        <v>19672</v>
      </c>
      <c r="AU37">
        <v>20750</v>
      </c>
      <c r="AV37">
        <v>21532</v>
      </c>
      <c r="AW37">
        <v>24571</v>
      </c>
      <c r="AX37">
        <v>27775</v>
      </c>
      <c r="AY37">
        <v>30911</v>
      </c>
      <c r="AZ37">
        <v>35926</v>
      </c>
      <c r="BA37">
        <v>37639</v>
      </c>
      <c r="BB37">
        <v>44651</v>
      </c>
      <c r="BC37">
        <v>52502</v>
      </c>
      <c r="BD37">
        <v>54057</v>
      </c>
      <c r="BE37">
        <v>63249</v>
      </c>
      <c r="BF37">
        <v>67204</v>
      </c>
      <c r="BG37">
        <v>72006</v>
      </c>
      <c r="BH37">
        <v>72854</v>
      </c>
      <c r="BI37">
        <v>76251</v>
      </c>
      <c r="BJ37">
        <v>82165</v>
      </c>
      <c r="BK37">
        <v>105361</v>
      </c>
      <c r="BL37">
        <v>118299</v>
      </c>
      <c r="BM37">
        <v>125492</v>
      </c>
      <c r="BN37">
        <v>134266</v>
      </c>
      <c r="BO37">
        <v>149182</v>
      </c>
      <c r="BP37">
        <v>157976</v>
      </c>
      <c r="BQ37">
        <v>178025</v>
      </c>
      <c r="BR37">
        <v>197550</v>
      </c>
      <c r="BS37">
        <v>215946</v>
      </c>
      <c r="BT37">
        <v>241033</v>
      </c>
      <c r="BU37">
        <v>224667</v>
      </c>
      <c r="BV37">
        <v>251327</v>
      </c>
      <c r="BW37">
        <v>245419</v>
      </c>
      <c r="BX37">
        <v>254719</v>
      </c>
      <c r="BY37">
        <v>294880</v>
      </c>
      <c r="BZ37">
        <v>367055</v>
      </c>
      <c r="CA37">
        <v>175995</v>
      </c>
      <c r="CB37">
        <v>472789</v>
      </c>
      <c r="CC37">
        <v>483318</v>
      </c>
      <c r="CD37">
        <v>491168</v>
      </c>
      <c r="CE37">
        <v>367793</v>
      </c>
      <c r="CF37">
        <v>382167</v>
      </c>
      <c r="CG37">
        <v>460831</v>
      </c>
      <c r="CH37">
        <v>539890</v>
      </c>
      <c r="CI37">
        <v>550095</v>
      </c>
      <c r="CJ37">
        <v>626369</v>
      </c>
      <c r="CK37">
        <v>683656</v>
      </c>
      <c r="CL37">
        <v>729527</v>
      </c>
      <c r="CM37">
        <v>769578</v>
      </c>
      <c r="CN37">
        <v>282406</v>
      </c>
      <c r="CO37">
        <v>667792</v>
      </c>
      <c r="CP37">
        <v>828245</v>
      </c>
      <c r="CQ37">
        <v>1158014</v>
      </c>
      <c r="CR37">
        <v>1268698</v>
      </c>
      <c r="CS37">
        <v>1385640</v>
      </c>
      <c r="CT37">
        <v>1539583</v>
      </c>
      <c r="CU37" t="s">
        <v>1014</v>
      </c>
    </row>
    <row r="38" spans="1:99">
      <c r="A38" t="s">
        <v>1060</v>
      </c>
      <c r="B38" t="s">
        <v>1042</v>
      </c>
      <c r="C38">
        <v>2815</v>
      </c>
      <c r="D38">
        <v>996</v>
      </c>
      <c r="E38">
        <v>-1769</v>
      </c>
      <c r="F38">
        <v>-3539</v>
      </c>
      <c r="G38">
        <v>-3424</v>
      </c>
      <c r="H38">
        <v>-1423</v>
      </c>
      <c r="I38">
        <v>-717</v>
      </c>
      <c r="J38">
        <v>-292</v>
      </c>
      <c r="K38">
        <v>186</v>
      </c>
      <c r="L38">
        <v>135</v>
      </c>
      <c r="M38">
        <v>595</v>
      </c>
      <c r="N38">
        <v>2160</v>
      </c>
      <c r="O38">
        <v>2656</v>
      </c>
      <c r="P38">
        <v>4330</v>
      </c>
      <c r="Q38">
        <v>5515</v>
      </c>
      <c r="R38">
        <v>6345</v>
      </c>
      <c r="S38">
        <v>4223</v>
      </c>
      <c r="T38">
        <v>2077</v>
      </c>
      <c r="U38">
        <v>5305</v>
      </c>
      <c r="V38">
        <v>10056</v>
      </c>
      <c r="W38">
        <v>9538</v>
      </c>
      <c r="X38">
        <v>7596</v>
      </c>
      <c r="Y38">
        <v>7865</v>
      </c>
      <c r="Z38">
        <v>8924</v>
      </c>
      <c r="AA38">
        <v>8327</v>
      </c>
      <c r="AB38">
        <v>9791</v>
      </c>
      <c r="AC38">
        <v>14209</v>
      </c>
      <c r="AD38">
        <v>12511</v>
      </c>
      <c r="AE38">
        <v>12138</v>
      </c>
      <c r="AF38">
        <v>10038</v>
      </c>
      <c r="AG38">
        <v>15005</v>
      </c>
      <c r="AH38">
        <v>13738</v>
      </c>
      <c r="AI38">
        <v>14489</v>
      </c>
      <c r="AJ38">
        <v>19629</v>
      </c>
      <c r="AK38">
        <v>23095</v>
      </c>
      <c r="AL38">
        <v>26682</v>
      </c>
      <c r="AM38">
        <v>32091</v>
      </c>
      <c r="AN38">
        <v>34820</v>
      </c>
      <c r="AO38">
        <v>32967</v>
      </c>
      <c r="AP38">
        <v>30792</v>
      </c>
      <c r="AQ38">
        <v>25936</v>
      </c>
      <c r="AR38">
        <v>18282</v>
      </c>
      <c r="AS38">
        <v>27012</v>
      </c>
      <c r="AT38">
        <v>34844</v>
      </c>
      <c r="AU38">
        <v>36087</v>
      </c>
      <c r="AV38">
        <v>23032</v>
      </c>
      <c r="AW38">
        <v>37791</v>
      </c>
      <c r="AX38">
        <v>51775</v>
      </c>
      <c r="AY38">
        <v>63648</v>
      </c>
      <c r="AZ38">
        <v>72270</v>
      </c>
      <c r="BA38">
        <v>65774</v>
      </c>
      <c r="BB38">
        <v>42804</v>
      </c>
      <c r="BC38">
        <v>71414</v>
      </c>
      <c r="BD38">
        <v>70453</v>
      </c>
      <c r="BE38">
        <v>85577</v>
      </c>
      <c r="BF38">
        <v>125769</v>
      </c>
      <c r="BG38">
        <v>127978</v>
      </c>
      <c r="BH38">
        <v>81112</v>
      </c>
      <c r="BI38">
        <v>88875</v>
      </c>
      <c r="BJ38">
        <v>107839</v>
      </c>
      <c r="BK38">
        <v>67461</v>
      </c>
      <c r="BL38">
        <v>45724</v>
      </c>
      <c r="BM38">
        <v>53963</v>
      </c>
      <c r="BN38">
        <v>58363</v>
      </c>
      <c r="BO38">
        <v>84474</v>
      </c>
      <c r="BP38">
        <v>142858</v>
      </c>
      <c r="BQ38">
        <v>162453</v>
      </c>
      <c r="BR38">
        <v>195052</v>
      </c>
      <c r="BS38">
        <v>219553</v>
      </c>
      <c r="BT38">
        <v>162263</v>
      </c>
      <c r="BU38">
        <v>159586</v>
      </c>
      <c r="BV38">
        <v>68067</v>
      </c>
      <c r="BW38">
        <v>33988</v>
      </c>
      <c r="BX38">
        <v>132910</v>
      </c>
      <c r="BY38">
        <v>172921</v>
      </c>
      <c r="BZ38">
        <v>217451</v>
      </c>
      <c r="CA38">
        <v>464682</v>
      </c>
      <c r="CB38">
        <v>277370</v>
      </c>
      <c r="CC38">
        <v>189881</v>
      </c>
      <c r="CD38">
        <v>146906</v>
      </c>
      <c r="CE38">
        <v>194733</v>
      </c>
      <c r="CF38">
        <v>397148</v>
      </c>
      <c r="CG38">
        <v>392291</v>
      </c>
      <c r="CH38">
        <v>396733</v>
      </c>
      <c r="CI38">
        <v>434953</v>
      </c>
      <c r="CJ38">
        <v>401539</v>
      </c>
      <c r="CK38">
        <v>347094</v>
      </c>
      <c r="CL38">
        <v>262982</v>
      </c>
      <c r="CM38">
        <v>280276</v>
      </c>
      <c r="CN38">
        <v>883746</v>
      </c>
      <c r="CO38">
        <v>535001</v>
      </c>
      <c r="CP38">
        <v>457089</v>
      </c>
      <c r="CQ38">
        <v>604880</v>
      </c>
      <c r="CR38">
        <v>569319</v>
      </c>
      <c r="CS38">
        <v>688541</v>
      </c>
      <c r="CT38">
        <v>567202</v>
      </c>
      <c r="CU38" t="s">
        <v>1014</v>
      </c>
    </row>
    <row r="39" spans="1:99">
      <c r="A39" t="s">
        <v>97</v>
      </c>
      <c r="B39" t="s">
        <v>1061</v>
      </c>
      <c r="C39" t="s">
        <v>97</v>
      </c>
      <c r="D39" t="s">
        <v>97</v>
      </c>
      <c r="E39" t="s">
        <v>97</v>
      </c>
      <c r="F39" t="s">
        <v>97</v>
      </c>
      <c r="G39" t="s">
        <v>97</v>
      </c>
      <c r="H39" t="s">
        <v>97</v>
      </c>
      <c r="I39" t="s">
        <v>97</v>
      </c>
      <c r="J39" t="s">
        <v>97</v>
      </c>
      <c r="K39" t="s">
        <v>97</v>
      </c>
      <c r="L39" t="s">
        <v>97</v>
      </c>
      <c r="M39" t="s">
        <v>97</v>
      </c>
      <c r="N39" t="s">
        <v>97</v>
      </c>
      <c r="O39" t="s">
        <v>97</v>
      </c>
      <c r="P39" t="s">
        <v>97</v>
      </c>
      <c r="Q39" t="s">
        <v>97</v>
      </c>
      <c r="R39" t="s">
        <v>97</v>
      </c>
      <c r="S39" t="s">
        <v>97</v>
      </c>
      <c r="T39" t="s">
        <v>97</v>
      </c>
      <c r="U39" t="s">
        <v>97</v>
      </c>
      <c r="V39" t="s">
        <v>97</v>
      </c>
      <c r="W39" t="s">
        <v>97</v>
      </c>
      <c r="X39" t="s">
        <v>97</v>
      </c>
      <c r="Y39" t="s">
        <v>97</v>
      </c>
      <c r="Z39" t="s">
        <v>97</v>
      </c>
      <c r="AA39" t="s">
        <v>97</v>
      </c>
      <c r="AB39" t="s">
        <v>97</v>
      </c>
      <c r="AC39" t="s">
        <v>97</v>
      </c>
      <c r="AD39" t="s">
        <v>97</v>
      </c>
      <c r="AE39" t="s">
        <v>97</v>
      </c>
      <c r="AF39" t="s">
        <v>97</v>
      </c>
      <c r="AG39" t="s">
        <v>97</v>
      </c>
      <c r="AH39" t="s">
        <v>97</v>
      </c>
      <c r="AI39" t="s">
        <v>97</v>
      </c>
      <c r="AJ39" t="s">
        <v>97</v>
      </c>
      <c r="AK39" t="s">
        <v>97</v>
      </c>
      <c r="AL39" t="s">
        <v>97</v>
      </c>
      <c r="AM39" t="s">
        <v>97</v>
      </c>
      <c r="AN39" t="s">
        <v>97</v>
      </c>
      <c r="AO39" t="s">
        <v>97</v>
      </c>
      <c r="AP39" t="s">
        <v>97</v>
      </c>
      <c r="AQ39" t="s">
        <v>97</v>
      </c>
      <c r="AR39" t="s">
        <v>97</v>
      </c>
      <c r="AS39" t="s">
        <v>97</v>
      </c>
      <c r="AT39" t="s">
        <v>97</v>
      </c>
      <c r="AU39" t="s">
        <v>97</v>
      </c>
      <c r="AV39" t="s">
        <v>97</v>
      </c>
      <c r="AW39" t="s">
        <v>97</v>
      </c>
      <c r="AX39" t="s">
        <v>97</v>
      </c>
      <c r="AY39" t="s">
        <v>97</v>
      </c>
      <c r="AZ39" t="s">
        <v>97</v>
      </c>
      <c r="BA39" t="s">
        <v>97</v>
      </c>
      <c r="BB39" t="s">
        <v>97</v>
      </c>
      <c r="BC39" t="s">
        <v>97</v>
      </c>
      <c r="BD39" t="s">
        <v>97</v>
      </c>
      <c r="BE39" t="s">
        <v>97</v>
      </c>
      <c r="BF39" t="s">
        <v>97</v>
      </c>
      <c r="BG39" t="s">
        <v>97</v>
      </c>
      <c r="BH39" t="s">
        <v>97</v>
      </c>
      <c r="BI39" t="s">
        <v>97</v>
      </c>
      <c r="BJ39" t="s">
        <v>97</v>
      </c>
      <c r="BK39" t="s">
        <v>97</v>
      </c>
      <c r="BL39" t="s">
        <v>97</v>
      </c>
      <c r="BM39" t="s">
        <v>97</v>
      </c>
      <c r="BN39" t="s">
        <v>97</v>
      </c>
      <c r="BO39" t="s">
        <v>97</v>
      </c>
      <c r="BP39" t="s">
        <v>97</v>
      </c>
      <c r="BQ39" t="s">
        <v>97</v>
      </c>
      <c r="BR39" t="s">
        <v>97</v>
      </c>
      <c r="BS39" t="s">
        <v>97</v>
      </c>
      <c r="BT39" t="s">
        <v>97</v>
      </c>
      <c r="BU39" t="s">
        <v>97</v>
      </c>
      <c r="BV39" t="s">
        <v>97</v>
      </c>
      <c r="BW39" t="s">
        <v>97</v>
      </c>
      <c r="BX39" t="s">
        <v>97</v>
      </c>
      <c r="BY39" t="s">
        <v>97</v>
      </c>
      <c r="BZ39" t="s">
        <v>97</v>
      </c>
      <c r="CA39" t="s">
        <v>97</v>
      </c>
      <c r="CB39" t="s">
        <v>97</v>
      </c>
      <c r="CC39" t="s">
        <v>97</v>
      </c>
      <c r="CD39" t="s">
        <v>97</v>
      </c>
      <c r="CE39" t="s">
        <v>97</v>
      </c>
      <c r="CF39" t="s">
        <v>97</v>
      </c>
      <c r="CG39" t="s">
        <v>97</v>
      </c>
      <c r="CH39" t="s">
        <v>97</v>
      </c>
      <c r="CI39" t="s">
        <v>97</v>
      </c>
      <c r="CJ39" t="s">
        <v>97</v>
      </c>
      <c r="CK39" t="s">
        <v>97</v>
      </c>
      <c r="CL39" t="s">
        <v>97</v>
      </c>
      <c r="CM39" t="s">
        <v>97</v>
      </c>
      <c r="CN39" t="s">
        <v>97</v>
      </c>
      <c r="CO39" t="s">
        <v>97</v>
      </c>
      <c r="CP39" t="s">
        <v>97</v>
      </c>
      <c r="CQ39" t="s">
        <v>97</v>
      </c>
      <c r="CR39" t="s">
        <v>97</v>
      </c>
      <c r="CS39" t="s">
        <v>97</v>
      </c>
      <c r="CT39" t="s">
        <v>97</v>
      </c>
      <c r="CU39" t="s">
        <v>97</v>
      </c>
    </row>
    <row r="40" spans="1:99">
      <c r="A40" t="s">
        <v>97</v>
      </c>
      <c r="B40" t="s">
        <v>1062</v>
      </c>
      <c r="C40" t="s">
        <v>97</v>
      </c>
      <c r="D40" t="s">
        <v>97</v>
      </c>
      <c r="E40" t="s">
        <v>97</v>
      </c>
      <c r="F40" t="s">
        <v>97</v>
      </c>
      <c r="G40" t="s">
        <v>97</v>
      </c>
      <c r="H40" t="s">
        <v>97</v>
      </c>
      <c r="I40" t="s">
        <v>97</v>
      </c>
      <c r="J40" t="s">
        <v>97</v>
      </c>
      <c r="K40" t="s">
        <v>97</v>
      </c>
      <c r="L40" t="s">
        <v>97</v>
      </c>
      <c r="M40" t="s">
        <v>97</v>
      </c>
      <c r="N40" t="s">
        <v>97</v>
      </c>
      <c r="O40" t="s">
        <v>97</v>
      </c>
      <c r="P40" t="s">
        <v>97</v>
      </c>
      <c r="Q40" t="s">
        <v>97</v>
      </c>
      <c r="R40" t="s">
        <v>97</v>
      </c>
      <c r="S40" t="s">
        <v>97</v>
      </c>
      <c r="T40" t="s">
        <v>97</v>
      </c>
      <c r="U40" t="s">
        <v>97</v>
      </c>
      <c r="V40" t="s">
        <v>97</v>
      </c>
      <c r="W40" t="s">
        <v>97</v>
      </c>
      <c r="X40" t="s">
        <v>97</v>
      </c>
      <c r="Y40" t="s">
        <v>97</v>
      </c>
      <c r="Z40" t="s">
        <v>97</v>
      </c>
      <c r="AA40" t="s">
        <v>97</v>
      </c>
      <c r="AB40" t="s">
        <v>97</v>
      </c>
      <c r="AC40" t="s">
        <v>97</v>
      </c>
      <c r="AD40" t="s">
        <v>97</v>
      </c>
      <c r="AE40" t="s">
        <v>97</v>
      </c>
      <c r="AF40" t="s">
        <v>97</v>
      </c>
      <c r="AG40" t="s">
        <v>97</v>
      </c>
      <c r="AH40" t="s">
        <v>97</v>
      </c>
      <c r="AI40" t="s">
        <v>97</v>
      </c>
      <c r="AJ40" t="s">
        <v>97</v>
      </c>
      <c r="AK40" t="s">
        <v>97</v>
      </c>
      <c r="AL40" t="s">
        <v>97</v>
      </c>
      <c r="AM40" t="s">
        <v>97</v>
      </c>
      <c r="AN40" t="s">
        <v>97</v>
      </c>
      <c r="AO40" t="s">
        <v>97</v>
      </c>
      <c r="AP40" t="s">
        <v>97</v>
      </c>
      <c r="AQ40" t="s">
        <v>97</v>
      </c>
      <c r="AR40" t="s">
        <v>97</v>
      </c>
      <c r="AS40" t="s">
        <v>97</v>
      </c>
      <c r="AT40" t="s">
        <v>97</v>
      </c>
      <c r="AU40" t="s">
        <v>97</v>
      </c>
      <c r="AV40" t="s">
        <v>97</v>
      </c>
      <c r="AW40" t="s">
        <v>97</v>
      </c>
      <c r="AX40" t="s">
        <v>97</v>
      </c>
      <c r="AY40" t="s">
        <v>97</v>
      </c>
      <c r="AZ40" t="s">
        <v>97</v>
      </c>
      <c r="BA40" t="s">
        <v>97</v>
      </c>
      <c r="BB40" t="s">
        <v>97</v>
      </c>
      <c r="BC40" t="s">
        <v>97</v>
      </c>
      <c r="BD40" t="s">
        <v>97</v>
      </c>
      <c r="BE40" t="s">
        <v>97</v>
      </c>
      <c r="BF40" t="s">
        <v>97</v>
      </c>
      <c r="BG40" t="s">
        <v>97</v>
      </c>
      <c r="BH40" t="s">
        <v>97</v>
      </c>
      <c r="BI40" t="s">
        <v>97</v>
      </c>
      <c r="BJ40" t="s">
        <v>97</v>
      </c>
      <c r="BK40" t="s">
        <v>97</v>
      </c>
      <c r="BL40" t="s">
        <v>97</v>
      </c>
      <c r="BM40" t="s">
        <v>97</v>
      </c>
      <c r="BN40" t="s">
        <v>97</v>
      </c>
      <c r="BO40" t="s">
        <v>97</v>
      </c>
      <c r="BP40" t="s">
        <v>97</v>
      </c>
      <c r="BQ40" t="s">
        <v>97</v>
      </c>
      <c r="BR40" t="s">
        <v>97</v>
      </c>
      <c r="BS40" t="s">
        <v>97</v>
      </c>
      <c r="BT40" t="s">
        <v>97</v>
      </c>
      <c r="BU40" t="s">
        <v>97</v>
      </c>
      <c r="BV40" t="s">
        <v>97</v>
      </c>
      <c r="BW40" t="s">
        <v>97</v>
      </c>
      <c r="BX40" t="s">
        <v>97</v>
      </c>
      <c r="BY40" t="s">
        <v>97</v>
      </c>
      <c r="BZ40" t="s">
        <v>97</v>
      </c>
      <c r="CA40" t="s">
        <v>97</v>
      </c>
      <c r="CB40" t="s">
        <v>97</v>
      </c>
      <c r="CC40" t="s">
        <v>97</v>
      </c>
      <c r="CD40" t="s">
        <v>97</v>
      </c>
      <c r="CE40" t="s">
        <v>97</v>
      </c>
      <c r="CF40" t="s">
        <v>97</v>
      </c>
      <c r="CG40" t="s">
        <v>97</v>
      </c>
      <c r="CH40" t="s">
        <v>97</v>
      </c>
      <c r="CI40" t="s">
        <v>97</v>
      </c>
      <c r="CJ40" t="s">
        <v>97</v>
      </c>
      <c r="CK40" t="s">
        <v>97</v>
      </c>
      <c r="CL40" t="s">
        <v>97</v>
      </c>
      <c r="CM40" t="s">
        <v>97</v>
      </c>
      <c r="CN40" t="s">
        <v>97</v>
      </c>
      <c r="CO40" t="s">
        <v>97</v>
      </c>
      <c r="CP40" t="s">
        <v>97</v>
      </c>
      <c r="CQ40" t="s">
        <v>97</v>
      </c>
      <c r="CR40" t="s">
        <v>97</v>
      </c>
      <c r="CS40" t="s">
        <v>97</v>
      </c>
      <c r="CT40" t="s">
        <v>97</v>
      </c>
      <c r="CU40" t="s">
        <v>97</v>
      </c>
    </row>
    <row r="41" spans="1:99">
      <c r="A41" t="s">
        <v>1063</v>
      </c>
      <c r="B41" t="s">
        <v>1064</v>
      </c>
      <c r="C41">
        <v>10679</v>
      </c>
      <c r="D41">
        <v>4422</v>
      </c>
      <c r="E41">
        <v>566</v>
      </c>
      <c r="F41">
        <v>-1312</v>
      </c>
      <c r="G41">
        <v>1834</v>
      </c>
      <c r="H41">
        <v>3155</v>
      </c>
      <c r="I41">
        <v>4212</v>
      </c>
      <c r="J41">
        <v>7003</v>
      </c>
      <c r="K41">
        <v>7357</v>
      </c>
      <c r="L41">
        <v>4302</v>
      </c>
      <c r="M41">
        <v>7454</v>
      </c>
      <c r="N41">
        <v>10370</v>
      </c>
      <c r="O41">
        <v>18371</v>
      </c>
      <c r="P41">
        <v>22098</v>
      </c>
      <c r="Q41">
        <v>25474</v>
      </c>
      <c r="R41">
        <v>24363</v>
      </c>
      <c r="S41">
        <v>20051</v>
      </c>
      <c r="T41">
        <v>24872</v>
      </c>
      <c r="U41">
        <v>31650</v>
      </c>
      <c r="V41">
        <v>35241</v>
      </c>
      <c r="W41">
        <v>28917</v>
      </c>
      <c r="X41">
        <v>42512</v>
      </c>
      <c r="Y41">
        <v>43636</v>
      </c>
      <c r="Z41">
        <v>39394</v>
      </c>
      <c r="AA41">
        <v>41351</v>
      </c>
      <c r="AB41">
        <v>38831</v>
      </c>
      <c r="AC41">
        <v>49087</v>
      </c>
      <c r="AD41">
        <v>49804</v>
      </c>
      <c r="AE41">
        <v>48102</v>
      </c>
      <c r="AF41">
        <v>42507</v>
      </c>
      <c r="AG41">
        <v>53236</v>
      </c>
      <c r="AH41">
        <v>50716</v>
      </c>
      <c r="AI41">
        <v>50588</v>
      </c>
      <c r="AJ41">
        <v>55432</v>
      </c>
      <c r="AK41">
        <v>60335</v>
      </c>
      <c r="AL41">
        <v>66977</v>
      </c>
      <c r="AM41">
        <v>78404</v>
      </c>
      <c r="AN41">
        <v>85856</v>
      </c>
      <c r="AO41">
        <v>82829</v>
      </c>
      <c r="AP41">
        <v>92270</v>
      </c>
      <c r="AQ41">
        <v>90057</v>
      </c>
      <c r="AR41">
        <v>79163</v>
      </c>
      <c r="AS41">
        <v>91416</v>
      </c>
      <c r="AT41">
        <v>106351</v>
      </c>
      <c r="AU41">
        <v>131233</v>
      </c>
      <c r="AV41">
        <v>144058</v>
      </c>
      <c r="AW41">
        <v>140142</v>
      </c>
      <c r="AX41">
        <v>179666</v>
      </c>
      <c r="AY41">
        <v>209380</v>
      </c>
      <c r="AZ41">
        <v>247541</v>
      </c>
      <c r="BA41">
        <v>266767</v>
      </c>
      <c r="BB41">
        <v>246853</v>
      </c>
      <c r="BC41">
        <v>245346</v>
      </c>
      <c r="BD41">
        <v>197639</v>
      </c>
      <c r="BE41">
        <v>226967</v>
      </c>
      <c r="BF41">
        <v>261058</v>
      </c>
      <c r="BG41">
        <v>250141</v>
      </c>
      <c r="BH41">
        <v>225911</v>
      </c>
      <c r="BI41">
        <v>287611</v>
      </c>
      <c r="BJ41">
        <v>333159</v>
      </c>
      <c r="BK41">
        <v>326694</v>
      </c>
      <c r="BL41">
        <v>329566</v>
      </c>
      <c r="BM41">
        <v>348999</v>
      </c>
      <c r="BN41">
        <v>393590</v>
      </c>
      <c r="BO41">
        <v>435165</v>
      </c>
      <c r="BP41">
        <v>533055</v>
      </c>
      <c r="BQ41">
        <v>602781</v>
      </c>
      <c r="BR41">
        <v>650845</v>
      </c>
      <c r="BS41">
        <v>709474</v>
      </c>
      <c r="BT41">
        <v>652032</v>
      </c>
      <c r="BU41">
        <v>675993</v>
      </c>
      <c r="BV41">
        <v>640759</v>
      </c>
      <c r="BW41">
        <v>548712</v>
      </c>
      <c r="BX41">
        <v>650099</v>
      </c>
      <c r="BY41">
        <v>831661</v>
      </c>
      <c r="BZ41">
        <v>1093422</v>
      </c>
      <c r="CA41">
        <v>1480504</v>
      </c>
      <c r="CB41">
        <v>1653895</v>
      </c>
      <c r="CC41">
        <v>1476382</v>
      </c>
      <c r="CD41">
        <v>1048553</v>
      </c>
      <c r="CE41">
        <v>1156900</v>
      </c>
      <c r="CF41">
        <v>1492920</v>
      </c>
      <c r="CG41">
        <v>1457645</v>
      </c>
      <c r="CH41">
        <v>1810004</v>
      </c>
      <c r="CI41">
        <v>1821323</v>
      </c>
      <c r="CJ41">
        <v>1949376</v>
      </c>
      <c r="CK41">
        <v>1842345</v>
      </c>
      <c r="CL41">
        <v>1820049</v>
      </c>
      <c r="CM41">
        <v>1796221</v>
      </c>
      <c r="CN41">
        <v>1796977</v>
      </c>
      <c r="CO41">
        <v>1842457</v>
      </c>
      <c r="CP41">
        <v>2077667</v>
      </c>
      <c r="CQ41">
        <v>2966585</v>
      </c>
      <c r="CR41">
        <v>3157852</v>
      </c>
      <c r="CS41">
        <v>3382161</v>
      </c>
      <c r="CT41">
        <v>3721570</v>
      </c>
      <c r="CU41" t="s">
        <v>1014</v>
      </c>
    </row>
    <row r="42" spans="1:99">
      <c r="A42" t="s">
        <v>1065</v>
      </c>
      <c r="B42" t="s">
        <v>1066</v>
      </c>
      <c r="C42">
        <v>9314</v>
      </c>
      <c r="D42">
        <v>3580</v>
      </c>
      <c r="E42">
        <v>68</v>
      </c>
      <c r="F42">
        <v>-1695</v>
      </c>
      <c r="G42">
        <v>1313</v>
      </c>
      <c r="H42">
        <v>2411</v>
      </c>
      <c r="I42">
        <v>3261</v>
      </c>
      <c r="J42">
        <v>5594</v>
      </c>
      <c r="K42">
        <v>5855</v>
      </c>
      <c r="L42">
        <v>3273</v>
      </c>
      <c r="M42">
        <v>6013</v>
      </c>
      <c r="N42">
        <v>7536</v>
      </c>
      <c r="O42">
        <v>10761</v>
      </c>
      <c r="P42">
        <v>10683</v>
      </c>
      <c r="Q42">
        <v>11400</v>
      </c>
      <c r="R42">
        <v>11414</v>
      </c>
      <c r="S42">
        <v>9362</v>
      </c>
      <c r="T42">
        <v>15768</v>
      </c>
      <c r="U42">
        <v>20457</v>
      </c>
      <c r="V42">
        <v>22987</v>
      </c>
      <c r="W42">
        <v>18907</v>
      </c>
      <c r="X42">
        <v>24784</v>
      </c>
      <c r="Y42">
        <v>21332</v>
      </c>
      <c r="Z42">
        <v>20287</v>
      </c>
      <c r="AA42">
        <v>21407</v>
      </c>
      <c r="AB42">
        <v>21483</v>
      </c>
      <c r="AC42">
        <v>27298</v>
      </c>
      <c r="AD42">
        <v>28213</v>
      </c>
      <c r="AE42">
        <v>27222</v>
      </c>
      <c r="AF42">
        <v>24067</v>
      </c>
      <c r="AG42">
        <v>30420</v>
      </c>
      <c r="AH42">
        <v>28831</v>
      </c>
      <c r="AI42">
        <v>28385</v>
      </c>
      <c r="AJ42">
        <v>32136</v>
      </c>
      <c r="AK42">
        <v>34844</v>
      </c>
      <c r="AL42">
        <v>40404</v>
      </c>
      <c r="AM42">
        <v>48636</v>
      </c>
      <c r="AN42">
        <v>53624</v>
      </c>
      <c r="AO42">
        <v>51837</v>
      </c>
      <c r="AP42">
        <v>55106</v>
      </c>
      <c r="AQ42">
        <v>53099</v>
      </c>
      <c r="AR42">
        <v>47900</v>
      </c>
      <c r="AS42">
        <v>56608</v>
      </c>
      <c r="AT42">
        <v>67241</v>
      </c>
      <c r="AU42">
        <v>85601</v>
      </c>
      <c r="AV42">
        <v>96823</v>
      </c>
      <c r="AW42">
        <v>93878</v>
      </c>
      <c r="AX42">
        <v>120248</v>
      </c>
      <c r="AY42">
        <v>140876</v>
      </c>
      <c r="AZ42">
        <v>169689</v>
      </c>
      <c r="BA42">
        <v>186030</v>
      </c>
      <c r="BB42">
        <v>171369</v>
      </c>
      <c r="BC42">
        <v>175031</v>
      </c>
      <c r="BD42">
        <v>146345</v>
      </c>
      <c r="BE42">
        <v>160548</v>
      </c>
      <c r="BF42">
        <v>179581</v>
      </c>
      <c r="BG42">
        <v>168531</v>
      </c>
      <c r="BH42">
        <v>134040</v>
      </c>
      <c r="BI42">
        <v>174909</v>
      </c>
      <c r="BJ42">
        <v>208893</v>
      </c>
      <c r="BK42">
        <v>202272</v>
      </c>
      <c r="BL42">
        <v>207750</v>
      </c>
      <c r="BM42">
        <v>231186</v>
      </c>
      <c r="BN42">
        <v>261676</v>
      </c>
      <c r="BO42">
        <v>280118</v>
      </c>
      <c r="BP42">
        <v>360384</v>
      </c>
      <c r="BQ42">
        <v>408332</v>
      </c>
      <c r="BR42">
        <v>439459</v>
      </c>
      <c r="BS42">
        <v>484712</v>
      </c>
      <c r="BT42">
        <v>430227</v>
      </c>
      <c r="BU42">
        <v>448607</v>
      </c>
      <c r="BV42">
        <v>407311</v>
      </c>
      <c r="BW42">
        <v>378564</v>
      </c>
      <c r="BX42">
        <v>489425</v>
      </c>
      <c r="BY42">
        <v>617898</v>
      </c>
      <c r="BZ42">
        <v>814910</v>
      </c>
      <c r="CA42">
        <v>1100756</v>
      </c>
      <c r="CB42">
        <v>1223747</v>
      </c>
      <c r="CC42">
        <v>1084600</v>
      </c>
      <c r="CD42">
        <v>792634</v>
      </c>
      <c r="CE42">
        <v>952967</v>
      </c>
      <c r="CF42">
        <v>1220653</v>
      </c>
      <c r="CG42">
        <v>1176882</v>
      </c>
      <c r="CH42">
        <v>1475416</v>
      </c>
      <c r="CI42">
        <v>1458906</v>
      </c>
      <c r="CJ42">
        <v>1542486</v>
      </c>
      <c r="CK42">
        <v>1446219</v>
      </c>
      <c r="CL42">
        <v>1444015</v>
      </c>
      <c r="CM42">
        <v>1499065</v>
      </c>
      <c r="CN42">
        <v>1499553</v>
      </c>
      <c r="CO42">
        <v>1545262</v>
      </c>
      <c r="CP42">
        <v>1766607</v>
      </c>
      <c r="CQ42">
        <v>2497709</v>
      </c>
      <c r="CR42">
        <v>2557284</v>
      </c>
      <c r="CS42">
        <v>2769151</v>
      </c>
      <c r="CT42">
        <v>3041229</v>
      </c>
      <c r="CU42" t="s">
        <v>1014</v>
      </c>
    </row>
    <row r="43" spans="1:99">
      <c r="A43" t="s">
        <v>1067</v>
      </c>
      <c r="B43" t="s">
        <v>1068</v>
      </c>
      <c r="C43">
        <v>3741</v>
      </c>
      <c r="D43">
        <v>-1751</v>
      </c>
      <c r="E43">
        <v>-4002</v>
      </c>
      <c r="F43">
        <v>-4275</v>
      </c>
      <c r="G43">
        <v>-727</v>
      </c>
      <c r="H43">
        <v>-96</v>
      </c>
      <c r="I43">
        <v>576</v>
      </c>
      <c r="J43">
        <v>1175</v>
      </c>
      <c r="K43">
        <v>1317</v>
      </c>
      <c r="L43">
        <v>355</v>
      </c>
      <c r="M43">
        <v>2431</v>
      </c>
      <c r="N43">
        <v>3754</v>
      </c>
      <c r="O43">
        <v>6561</v>
      </c>
      <c r="P43">
        <v>6654</v>
      </c>
      <c r="Q43">
        <v>7192</v>
      </c>
      <c r="R43">
        <v>7090</v>
      </c>
      <c r="S43">
        <v>4990</v>
      </c>
      <c r="T43">
        <v>10619</v>
      </c>
      <c r="U43">
        <v>14750</v>
      </c>
      <c r="V43">
        <v>16620</v>
      </c>
      <c r="W43">
        <v>12308</v>
      </c>
      <c r="X43">
        <v>16733</v>
      </c>
      <c r="Y43">
        <v>13669</v>
      </c>
      <c r="Z43">
        <v>12534</v>
      </c>
      <c r="AA43">
        <v>13313</v>
      </c>
      <c r="AB43">
        <v>13347</v>
      </c>
      <c r="AC43">
        <v>18147</v>
      </c>
      <c r="AD43">
        <v>18344</v>
      </c>
      <c r="AE43">
        <v>16823</v>
      </c>
      <c r="AF43">
        <v>13711</v>
      </c>
      <c r="AG43">
        <v>18801</v>
      </c>
      <c r="AH43">
        <v>16524</v>
      </c>
      <c r="AI43">
        <v>16192</v>
      </c>
      <c r="AJ43">
        <v>18981</v>
      </c>
      <c r="AK43">
        <v>20402</v>
      </c>
      <c r="AL43">
        <v>23831</v>
      </c>
      <c r="AM43">
        <v>30465</v>
      </c>
      <c r="AN43">
        <v>34147</v>
      </c>
      <c r="AO43">
        <v>31600</v>
      </c>
      <c r="AP43">
        <v>32475</v>
      </c>
      <c r="AQ43">
        <v>29677</v>
      </c>
      <c r="AR43">
        <v>24035</v>
      </c>
      <c r="AS43">
        <v>32914</v>
      </c>
      <c r="AT43">
        <v>42068</v>
      </c>
      <c r="AU43">
        <v>58153</v>
      </c>
      <c r="AV43">
        <v>67819</v>
      </c>
      <c r="AW43">
        <v>62092</v>
      </c>
      <c r="AX43">
        <v>84323</v>
      </c>
      <c r="AY43">
        <v>101249</v>
      </c>
      <c r="AZ43">
        <v>123074</v>
      </c>
      <c r="BA43">
        <v>135052</v>
      </c>
      <c r="BB43">
        <v>112118</v>
      </c>
      <c r="BC43">
        <v>106593</v>
      </c>
      <c r="BD43">
        <v>74247</v>
      </c>
      <c r="BE43">
        <v>76302</v>
      </c>
      <c r="BF43">
        <v>89845</v>
      </c>
      <c r="BG43">
        <v>68622</v>
      </c>
      <c r="BH43">
        <v>30848</v>
      </c>
      <c r="BI43">
        <v>71746</v>
      </c>
      <c r="BJ43">
        <v>95276</v>
      </c>
      <c r="BK43">
        <v>54563</v>
      </c>
      <c r="BL43">
        <v>39160</v>
      </c>
      <c r="BM43">
        <v>53383</v>
      </c>
      <c r="BN43">
        <v>83203</v>
      </c>
      <c r="BO43">
        <v>79007</v>
      </c>
      <c r="BP43">
        <v>139993</v>
      </c>
      <c r="BQ43">
        <v>157558</v>
      </c>
      <c r="BR43">
        <v>155998</v>
      </c>
      <c r="BS43">
        <v>171985</v>
      </c>
      <c r="BT43">
        <v>85866</v>
      </c>
      <c r="BU43">
        <v>114938</v>
      </c>
      <c r="BV43">
        <v>23660</v>
      </c>
      <c r="BW43">
        <v>16504</v>
      </c>
      <c r="BX43">
        <v>109981</v>
      </c>
      <c r="BY43">
        <v>194945</v>
      </c>
      <c r="BZ43">
        <v>297391</v>
      </c>
      <c r="CA43">
        <v>782364</v>
      </c>
      <c r="CB43">
        <v>585809</v>
      </c>
      <c r="CC43">
        <v>406740</v>
      </c>
      <c r="CD43">
        <v>131782</v>
      </c>
      <c r="CE43">
        <v>436385</v>
      </c>
      <c r="CF43">
        <v>706107</v>
      </c>
      <c r="CG43">
        <v>543799</v>
      </c>
      <c r="CH43">
        <v>710023</v>
      </c>
      <c r="CI43">
        <v>600014</v>
      </c>
      <c r="CJ43">
        <v>644215</v>
      </c>
      <c r="CK43">
        <v>480295</v>
      </c>
      <c r="CL43">
        <v>490284</v>
      </c>
      <c r="CM43">
        <v>455573</v>
      </c>
      <c r="CN43">
        <v>1080598</v>
      </c>
      <c r="CO43">
        <v>607490</v>
      </c>
      <c r="CP43">
        <v>599192</v>
      </c>
      <c r="CQ43">
        <v>953179</v>
      </c>
      <c r="CR43">
        <v>912728</v>
      </c>
      <c r="CS43">
        <v>1027997</v>
      </c>
      <c r="CT43">
        <v>1161225</v>
      </c>
      <c r="CU43" t="s">
        <v>1014</v>
      </c>
    </row>
    <row r="44" spans="1:99">
      <c r="A44" t="s">
        <v>1069</v>
      </c>
      <c r="B44" t="s">
        <v>1070</v>
      </c>
      <c r="C44">
        <v>472</v>
      </c>
      <c r="D44">
        <v>3260</v>
      </c>
      <c r="E44">
        <v>2414</v>
      </c>
      <c r="F44">
        <v>1047</v>
      </c>
      <c r="G44">
        <v>-2143</v>
      </c>
      <c r="H44">
        <v>-625</v>
      </c>
      <c r="I44">
        <v>-227</v>
      </c>
      <c r="J44">
        <v>-738</v>
      </c>
      <c r="K44">
        <v>-31</v>
      </c>
      <c r="L44">
        <v>963</v>
      </c>
      <c r="M44">
        <v>-714</v>
      </c>
      <c r="N44">
        <v>-200</v>
      </c>
      <c r="O44">
        <v>-2471</v>
      </c>
      <c r="P44">
        <v>-1204</v>
      </c>
      <c r="Q44">
        <v>-773</v>
      </c>
      <c r="R44">
        <v>-287</v>
      </c>
      <c r="S44">
        <v>-564</v>
      </c>
      <c r="T44">
        <v>-5263</v>
      </c>
      <c r="U44">
        <v>-5899</v>
      </c>
      <c r="V44">
        <v>-2152</v>
      </c>
      <c r="W44">
        <v>1856</v>
      </c>
      <c r="X44">
        <v>-4965</v>
      </c>
      <c r="Y44">
        <v>-1199</v>
      </c>
      <c r="Z44">
        <v>981</v>
      </c>
      <c r="AA44">
        <v>-997</v>
      </c>
      <c r="AB44">
        <v>-318</v>
      </c>
      <c r="AC44">
        <v>-1736</v>
      </c>
      <c r="AD44">
        <v>-2693</v>
      </c>
      <c r="AE44">
        <v>-1539</v>
      </c>
      <c r="AF44">
        <v>-255</v>
      </c>
      <c r="AG44">
        <v>-277</v>
      </c>
      <c r="AH44">
        <v>-173</v>
      </c>
      <c r="AI44">
        <v>271</v>
      </c>
      <c r="AJ44">
        <v>26</v>
      </c>
      <c r="AK44">
        <v>54</v>
      </c>
      <c r="AL44">
        <v>-494</v>
      </c>
      <c r="AM44">
        <v>-1245</v>
      </c>
      <c r="AN44">
        <v>-2107</v>
      </c>
      <c r="AO44">
        <v>-1554</v>
      </c>
      <c r="AP44">
        <v>-3651</v>
      </c>
      <c r="AQ44">
        <v>-5870</v>
      </c>
      <c r="AR44">
        <v>-6552</v>
      </c>
      <c r="AS44">
        <v>-4584</v>
      </c>
      <c r="AT44">
        <v>-6610</v>
      </c>
      <c r="AU44">
        <v>-19569</v>
      </c>
      <c r="AV44">
        <v>-38221</v>
      </c>
      <c r="AW44">
        <v>-10544</v>
      </c>
      <c r="AX44">
        <v>-14113</v>
      </c>
      <c r="AY44">
        <v>-15698</v>
      </c>
      <c r="AZ44">
        <v>-23709</v>
      </c>
      <c r="BA44">
        <v>-40138</v>
      </c>
      <c r="BB44">
        <v>-42133</v>
      </c>
      <c r="BC44">
        <v>-24626</v>
      </c>
      <c r="BD44">
        <v>-7505</v>
      </c>
      <c r="BE44">
        <v>-7445</v>
      </c>
      <c r="BF44">
        <v>-3979</v>
      </c>
      <c r="BG44">
        <v>21</v>
      </c>
      <c r="BH44">
        <v>7061</v>
      </c>
      <c r="BI44">
        <v>-16239</v>
      </c>
      <c r="BJ44">
        <v>-22174</v>
      </c>
      <c r="BK44">
        <v>-16348</v>
      </c>
      <c r="BL44">
        <v>-12892</v>
      </c>
      <c r="BM44">
        <v>4927</v>
      </c>
      <c r="BN44">
        <v>-2821</v>
      </c>
      <c r="BO44">
        <v>-4021</v>
      </c>
      <c r="BP44">
        <v>-12436</v>
      </c>
      <c r="BQ44">
        <v>-18284</v>
      </c>
      <c r="BR44">
        <v>3071</v>
      </c>
      <c r="BS44">
        <v>14090</v>
      </c>
      <c r="BT44">
        <v>15743</v>
      </c>
      <c r="BU44">
        <v>-3954</v>
      </c>
      <c r="BV44">
        <v>-16809</v>
      </c>
      <c r="BW44">
        <v>8044</v>
      </c>
      <c r="BX44">
        <v>8866</v>
      </c>
      <c r="BY44">
        <v>-14471</v>
      </c>
      <c r="BZ44">
        <v>-40211</v>
      </c>
      <c r="CA44">
        <v>-36030</v>
      </c>
      <c r="CB44">
        <v>-31941</v>
      </c>
      <c r="CC44">
        <v>-43630</v>
      </c>
      <c r="CD44">
        <v>-34830</v>
      </c>
      <c r="CE44">
        <v>2617</v>
      </c>
      <c r="CF44">
        <v>-47593</v>
      </c>
      <c r="CG44">
        <v>-68008</v>
      </c>
      <c r="CH44">
        <v>-11449</v>
      </c>
      <c r="CI44">
        <v>13894</v>
      </c>
      <c r="CJ44">
        <v>1830</v>
      </c>
      <c r="CK44">
        <v>57911</v>
      </c>
      <c r="CL44">
        <v>5227</v>
      </c>
      <c r="CM44">
        <v>-47588</v>
      </c>
      <c r="CN44">
        <v>-51012</v>
      </c>
      <c r="CO44">
        <v>540</v>
      </c>
      <c r="CP44">
        <v>-19127</v>
      </c>
      <c r="CQ44">
        <v>-256375</v>
      </c>
      <c r="CR44">
        <v>-161468</v>
      </c>
      <c r="CS44">
        <v>32987</v>
      </c>
      <c r="CT44">
        <v>-8915</v>
      </c>
      <c r="CU44" t="s">
        <v>1014</v>
      </c>
    </row>
    <row r="45" spans="1:99">
      <c r="A45" t="s">
        <v>1071</v>
      </c>
      <c r="B45" t="s">
        <v>1072</v>
      </c>
      <c r="C45">
        <v>-550</v>
      </c>
      <c r="D45">
        <v>-321</v>
      </c>
      <c r="E45">
        <v>-25</v>
      </c>
      <c r="F45">
        <v>109</v>
      </c>
      <c r="G45">
        <v>136</v>
      </c>
      <c r="H45">
        <v>-73</v>
      </c>
      <c r="I45">
        <v>-126</v>
      </c>
      <c r="J45">
        <v>-139</v>
      </c>
      <c r="K45">
        <v>-546</v>
      </c>
      <c r="L45">
        <v>-558</v>
      </c>
      <c r="M45">
        <v>-472</v>
      </c>
      <c r="N45">
        <v>-564</v>
      </c>
      <c r="O45">
        <v>-598</v>
      </c>
      <c r="P45">
        <v>-483</v>
      </c>
      <c r="Q45">
        <v>-173</v>
      </c>
      <c r="R45">
        <v>473</v>
      </c>
      <c r="S45">
        <v>623</v>
      </c>
      <c r="T45">
        <v>-2057</v>
      </c>
      <c r="U45">
        <v>-2573</v>
      </c>
      <c r="V45">
        <v>-2957</v>
      </c>
      <c r="W45">
        <v>-2840</v>
      </c>
      <c r="X45">
        <v>-2757</v>
      </c>
      <c r="Y45">
        <v>-2983</v>
      </c>
      <c r="Z45">
        <v>-2598</v>
      </c>
      <c r="AA45">
        <v>-1858</v>
      </c>
      <c r="AB45">
        <v>-1015</v>
      </c>
      <c r="AC45">
        <v>463</v>
      </c>
      <c r="AD45">
        <v>-286</v>
      </c>
      <c r="AE45">
        <v>-515</v>
      </c>
      <c r="AF45">
        <v>-918</v>
      </c>
      <c r="AG45">
        <v>-163</v>
      </c>
      <c r="AH45">
        <v>1000</v>
      </c>
      <c r="AI45">
        <v>1770</v>
      </c>
      <c r="AJ45">
        <v>4813</v>
      </c>
      <c r="AK45">
        <v>6038</v>
      </c>
      <c r="AL45">
        <v>6756</v>
      </c>
      <c r="AM45">
        <v>7424</v>
      </c>
      <c r="AN45">
        <v>7845</v>
      </c>
      <c r="AO45">
        <v>7816</v>
      </c>
      <c r="AP45">
        <v>7492</v>
      </c>
      <c r="AQ45">
        <v>7634</v>
      </c>
      <c r="AR45">
        <v>6533</v>
      </c>
      <c r="AS45">
        <v>5960</v>
      </c>
      <c r="AT45">
        <v>7937</v>
      </c>
      <c r="AU45">
        <v>6828</v>
      </c>
      <c r="AV45">
        <v>2399</v>
      </c>
      <c r="AW45">
        <v>-5370</v>
      </c>
      <c r="AX45">
        <v>-7763</v>
      </c>
      <c r="AY45">
        <v>-7012</v>
      </c>
      <c r="AZ45">
        <v>-8132</v>
      </c>
      <c r="BA45">
        <v>-12024</v>
      </c>
      <c r="BB45">
        <v>-17065</v>
      </c>
      <c r="BC45">
        <v>-4505</v>
      </c>
      <c r="BD45">
        <v>5035</v>
      </c>
      <c r="BE45">
        <v>23325</v>
      </c>
      <c r="BF45">
        <v>43620</v>
      </c>
      <c r="BG45">
        <v>64818</v>
      </c>
      <c r="BH45">
        <v>51119</v>
      </c>
      <c r="BI45">
        <v>51431</v>
      </c>
      <c r="BJ45">
        <v>48273</v>
      </c>
      <c r="BK45">
        <v>41241</v>
      </c>
      <c r="BL45">
        <v>26569</v>
      </c>
      <c r="BM45">
        <v>18345</v>
      </c>
      <c r="BN45">
        <v>17431</v>
      </c>
      <c r="BO45">
        <v>22643</v>
      </c>
      <c r="BP45">
        <v>35506</v>
      </c>
      <c r="BQ45">
        <v>39233</v>
      </c>
      <c r="BR45">
        <v>47686</v>
      </c>
      <c r="BS45">
        <v>58748</v>
      </c>
      <c r="BT45">
        <v>64630</v>
      </c>
      <c r="BU45">
        <v>73000</v>
      </c>
      <c r="BV45">
        <v>56797</v>
      </c>
      <c r="BW45">
        <v>61628</v>
      </c>
      <c r="BX45">
        <v>114625</v>
      </c>
      <c r="BY45">
        <v>100955</v>
      </c>
      <c r="BZ45">
        <v>72202</v>
      </c>
      <c r="CA45">
        <v>-140145</v>
      </c>
      <c r="CB45">
        <v>-165568</v>
      </c>
      <c r="CC45">
        <v>-174725</v>
      </c>
      <c r="CD45">
        <v>-58295</v>
      </c>
      <c r="CE45">
        <v>-82629</v>
      </c>
      <c r="CF45">
        <v>-56642</v>
      </c>
      <c r="CG45">
        <v>60241</v>
      </c>
      <c r="CH45">
        <v>-146186</v>
      </c>
      <c r="CI45">
        <v>-152919</v>
      </c>
      <c r="CJ45">
        <v>-143250</v>
      </c>
      <c r="CK45">
        <v>-122327</v>
      </c>
      <c r="CL45">
        <v>-100875</v>
      </c>
      <c r="CM45">
        <v>-22290</v>
      </c>
      <c r="CN45">
        <v>98612</v>
      </c>
      <c r="CO45">
        <v>95299</v>
      </c>
      <c r="CP45">
        <v>-92276</v>
      </c>
      <c r="CQ45">
        <v>-12420</v>
      </c>
      <c r="CR45">
        <v>-83266</v>
      </c>
      <c r="CS45">
        <v>-270898</v>
      </c>
      <c r="CT45">
        <v>-368494</v>
      </c>
      <c r="CU45">
        <v>-79781</v>
      </c>
    </row>
    <row r="46" spans="1:99">
      <c r="A46" t="s">
        <v>97</v>
      </c>
      <c r="B46" t="s">
        <v>1073</v>
      </c>
      <c r="C46" t="s">
        <v>97</v>
      </c>
      <c r="D46" t="s">
        <v>97</v>
      </c>
      <c r="E46" t="s">
        <v>97</v>
      </c>
      <c r="F46" t="s">
        <v>97</v>
      </c>
      <c r="G46" t="s">
        <v>97</v>
      </c>
      <c r="H46" t="s">
        <v>97</v>
      </c>
      <c r="I46" t="s">
        <v>97</v>
      </c>
      <c r="J46" t="s">
        <v>97</v>
      </c>
      <c r="K46" t="s">
        <v>97</v>
      </c>
      <c r="L46" t="s">
        <v>97</v>
      </c>
      <c r="M46" t="s">
        <v>97</v>
      </c>
      <c r="N46" t="s">
        <v>97</v>
      </c>
      <c r="O46" t="s">
        <v>97</v>
      </c>
      <c r="P46" t="s">
        <v>97</v>
      </c>
      <c r="Q46" t="s">
        <v>97</v>
      </c>
      <c r="R46" t="s">
        <v>97</v>
      </c>
      <c r="S46" t="s">
        <v>97</v>
      </c>
      <c r="T46" t="s">
        <v>97</v>
      </c>
      <c r="U46" t="s">
        <v>97</v>
      </c>
      <c r="V46" t="s">
        <v>97</v>
      </c>
      <c r="W46" t="s">
        <v>97</v>
      </c>
      <c r="X46" t="s">
        <v>97</v>
      </c>
      <c r="Y46" t="s">
        <v>97</v>
      </c>
      <c r="Z46" t="s">
        <v>97</v>
      </c>
      <c r="AA46" t="s">
        <v>97</v>
      </c>
      <c r="AB46" t="s">
        <v>97</v>
      </c>
      <c r="AC46" t="s">
        <v>97</v>
      </c>
      <c r="AD46" t="s">
        <v>97</v>
      </c>
      <c r="AE46" t="s">
        <v>97</v>
      </c>
      <c r="AF46" t="s">
        <v>97</v>
      </c>
      <c r="AG46" t="s">
        <v>97</v>
      </c>
      <c r="AH46" t="s">
        <v>97</v>
      </c>
      <c r="AI46" t="s">
        <v>97</v>
      </c>
      <c r="AJ46" t="s">
        <v>97</v>
      </c>
      <c r="AK46" t="s">
        <v>97</v>
      </c>
      <c r="AL46" t="s">
        <v>97</v>
      </c>
      <c r="AM46" t="s">
        <v>97</v>
      </c>
      <c r="AN46" t="s">
        <v>97</v>
      </c>
      <c r="AO46" t="s">
        <v>97</v>
      </c>
      <c r="AP46" t="s">
        <v>97</v>
      </c>
      <c r="AQ46" t="s">
        <v>97</v>
      </c>
      <c r="AR46" t="s">
        <v>97</v>
      </c>
      <c r="AS46" t="s">
        <v>97</v>
      </c>
      <c r="AT46" t="s">
        <v>97</v>
      </c>
      <c r="AU46" t="s">
        <v>97</v>
      </c>
      <c r="AV46" t="s">
        <v>97</v>
      </c>
      <c r="AW46" t="s">
        <v>97</v>
      </c>
      <c r="AX46" t="s">
        <v>97</v>
      </c>
      <c r="AY46" t="s">
        <v>97</v>
      </c>
      <c r="AZ46" t="s">
        <v>97</v>
      </c>
      <c r="BA46" t="s">
        <v>97</v>
      </c>
      <c r="BB46" t="s">
        <v>97</v>
      </c>
      <c r="BC46" t="s">
        <v>97</v>
      </c>
      <c r="BD46" t="s">
        <v>97</v>
      </c>
      <c r="BE46" t="s">
        <v>97</v>
      </c>
      <c r="BF46" t="s">
        <v>97</v>
      </c>
      <c r="BG46" t="s">
        <v>97</v>
      </c>
      <c r="BH46" t="s">
        <v>97</v>
      </c>
      <c r="BI46" t="s">
        <v>97</v>
      </c>
      <c r="BJ46" t="s">
        <v>97</v>
      </c>
      <c r="BK46" t="s">
        <v>97</v>
      </c>
      <c r="BL46" t="s">
        <v>97</v>
      </c>
      <c r="BM46" t="s">
        <v>97</v>
      </c>
      <c r="BN46" t="s">
        <v>97</v>
      </c>
      <c r="BO46" t="s">
        <v>97</v>
      </c>
      <c r="BP46" t="s">
        <v>97</v>
      </c>
      <c r="BQ46" t="s">
        <v>97</v>
      </c>
      <c r="BR46" t="s">
        <v>97</v>
      </c>
      <c r="BS46" t="s">
        <v>97</v>
      </c>
      <c r="BT46" t="s">
        <v>97</v>
      </c>
      <c r="BU46" t="s">
        <v>97</v>
      </c>
      <c r="BV46" t="s">
        <v>97</v>
      </c>
      <c r="BW46" t="s">
        <v>97</v>
      </c>
      <c r="BX46" t="s">
        <v>97</v>
      </c>
      <c r="BY46" t="s">
        <v>97</v>
      </c>
      <c r="BZ46" t="s">
        <v>97</v>
      </c>
      <c r="CA46" t="s">
        <v>97</v>
      </c>
      <c r="CB46" t="s">
        <v>97</v>
      </c>
      <c r="CC46" t="s">
        <v>97</v>
      </c>
      <c r="CD46" t="s">
        <v>97</v>
      </c>
      <c r="CE46" t="s">
        <v>97</v>
      </c>
      <c r="CF46" t="s">
        <v>97</v>
      </c>
      <c r="CG46" t="s">
        <v>97</v>
      </c>
      <c r="CH46" t="s">
        <v>97</v>
      </c>
      <c r="CI46" t="s">
        <v>97</v>
      </c>
      <c r="CJ46" t="s">
        <v>97</v>
      </c>
      <c r="CK46" t="s">
        <v>97</v>
      </c>
      <c r="CL46" t="s">
        <v>97</v>
      </c>
      <c r="CM46" t="s">
        <v>97</v>
      </c>
      <c r="CN46" t="s">
        <v>97</v>
      </c>
      <c r="CO46" t="s">
        <v>97</v>
      </c>
      <c r="CP46" t="s">
        <v>97</v>
      </c>
      <c r="CQ46" t="s">
        <v>97</v>
      </c>
      <c r="CR46" t="s">
        <v>97</v>
      </c>
      <c r="CS46" t="s">
        <v>97</v>
      </c>
      <c r="CT46" t="s">
        <v>97</v>
      </c>
      <c r="CU46" t="s">
        <v>97</v>
      </c>
    </row>
    <row r="47" spans="1:99">
      <c r="A47" t="s">
        <v>1074</v>
      </c>
      <c r="B47" t="s">
        <v>1064</v>
      </c>
      <c r="C47">
        <v>9027</v>
      </c>
      <c r="D47">
        <v>3671</v>
      </c>
      <c r="E47">
        <v>-17</v>
      </c>
      <c r="F47">
        <v>-2000</v>
      </c>
      <c r="G47">
        <v>1021</v>
      </c>
      <c r="H47">
        <v>2589</v>
      </c>
      <c r="I47">
        <v>3631</v>
      </c>
      <c r="J47">
        <v>6108</v>
      </c>
      <c r="K47">
        <v>6488</v>
      </c>
      <c r="L47">
        <v>3331</v>
      </c>
      <c r="M47">
        <v>6473</v>
      </c>
      <c r="N47">
        <v>9252</v>
      </c>
      <c r="O47">
        <v>17139</v>
      </c>
      <c r="P47">
        <v>20739</v>
      </c>
      <c r="Q47">
        <v>23990</v>
      </c>
      <c r="R47">
        <v>22616</v>
      </c>
      <c r="S47">
        <v>18278</v>
      </c>
      <c r="T47">
        <v>22678</v>
      </c>
      <c r="U47">
        <v>29709</v>
      </c>
      <c r="V47">
        <v>32493</v>
      </c>
      <c r="W47">
        <v>25616</v>
      </c>
      <c r="X47">
        <v>39202</v>
      </c>
      <c r="Y47">
        <v>39909</v>
      </c>
      <c r="Z47">
        <v>34978</v>
      </c>
      <c r="AA47">
        <v>36504</v>
      </c>
      <c r="AB47">
        <v>33717</v>
      </c>
      <c r="AC47">
        <v>43753</v>
      </c>
      <c r="AD47">
        <v>44125</v>
      </c>
      <c r="AE47">
        <v>42101</v>
      </c>
      <c r="AF47">
        <v>36055</v>
      </c>
      <c r="AG47">
        <v>45628</v>
      </c>
      <c r="AH47">
        <v>42283</v>
      </c>
      <c r="AI47">
        <v>42260</v>
      </c>
      <c r="AJ47">
        <v>46837</v>
      </c>
      <c r="AK47">
        <v>52039</v>
      </c>
      <c r="AL47">
        <v>58222</v>
      </c>
      <c r="AM47">
        <v>69100</v>
      </c>
      <c r="AN47">
        <v>75117</v>
      </c>
      <c r="AO47">
        <v>71634</v>
      </c>
      <c r="AP47">
        <v>79383</v>
      </c>
      <c r="AQ47">
        <v>76421</v>
      </c>
      <c r="AR47">
        <v>63672</v>
      </c>
      <c r="AS47">
        <v>73533</v>
      </c>
      <c r="AT47">
        <v>86899</v>
      </c>
      <c r="AU47">
        <v>110136</v>
      </c>
      <c r="AV47">
        <v>123275</v>
      </c>
      <c r="AW47">
        <v>119716</v>
      </c>
      <c r="AX47">
        <v>154066</v>
      </c>
      <c r="AY47">
        <v>176780</v>
      </c>
      <c r="AZ47">
        <v>206780</v>
      </c>
      <c r="BA47">
        <v>224767</v>
      </c>
      <c r="BB47">
        <v>212037</v>
      </c>
      <c r="BC47">
        <v>216645</v>
      </c>
      <c r="BD47">
        <v>172540</v>
      </c>
      <c r="BE47">
        <v>192632</v>
      </c>
      <c r="BF47">
        <v>226972</v>
      </c>
      <c r="BG47">
        <v>205045</v>
      </c>
      <c r="BH47">
        <v>170365</v>
      </c>
      <c r="BI47">
        <v>222478</v>
      </c>
      <c r="BJ47">
        <v>264470</v>
      </c>
      <c r="BK47">
        <v>243982</v>
      </c>
      <c r="BL47">
        <v>238347</v>
      </c>
      <c r="BM47">
        <v>232413</v>
      </c>
      <c r="BN47">
        <v>257058</v>
      </c>
      <c r="BO47">
        <v>309098</v>
      </c>
      <c r="BP47">
        <v>397865</v>
      </c>
      <c r="BQ47">
        <v>452020</v>
      </c>
      <c r="BR47">
        <v>488919</v>
      </c>
      <c r="BS47">
        <v>527104</v>
      </c>
      <c r="BT47">
        <v>486404</v>
      </c>
      <c r="BU47">
        <v>489554</v>
      </c>
      <c r="BV47">
        <v>451199</v>
      </c>
      <c r="BW47">
        <v>325044</v>
      </c>
      <c r="BX47">
        <v>369703</v>
      </c>
      <c r="BY47">
        <v>513769</v>
      </c>
      <c r="BZ47">
        <v>725099</v>
      </c>
      <c r="CA47">
        <v>1044392</v>
      </c>
      <c r="CB47">
        <v>1210550</v>
      </c>
      <c r="CC47">
        <v>1130620</v>
      </c>
      <c r="CD47">
        <v>910245</v>
      </c>
      <c r="CE47">
        <v>767354</v>
      </c>
      <c r="CF47">
        <v>1055410</v>
      </c>
      <c r="CG47">
        <v>1043392</v>
      </c>
      <c r="CH47">
        <v>1291012</v>
      </c>
      <c r="CI47">
        <v>1340643</v>
      </c>
      <c r="CJ47">
        <v>1413247</v>
      </c>
      <c r="CK47">
        <v>1329945</v>
      </c>
      <c r="CL47">
        <v>1308258</v>
      </c>
      <c r="CM47">
        <v>1304589</v>
      </c>
      <c r="CN47">
        <v>1318110</v>
      </c>
      <c r="CO47">
        <v>1267438</v>
      </c>
      <c r="CP47">
        <v>1541796</v>
      </c>
      <c r="CQ47">
        <v>2322728</v>
      </c>
      <c r="CR47">
        <v>2475707</v>
      </c>
      <c r="CS47">
        <v>2704112</v>
      </c>
      <c r="CT47">
        <v>2920184</v>
      </c>
      <c r="CU47" t="s">
        <v>1014</v>
      </c>
    </row>
    <row r="48" spans="1:99">
      <c r="A48" t="s">
        <v>1075</v>
      </c>
      <c r="B48" t="s">
        <v>1066</v>
      </c>
      <c r="C48">
        <v>7878</v>
      </c>
      <c r="D48">
        <v>2931</v>
      </c>
      <c r="E48">
        <v>-467</v>
      </c>
      <c r="F48">
        <v>-2345</v>
      </c>
      <c r="G48">
        <v>533</v>
      </c>
      <c r="H48">
        <v>1908</v>
      </c>
      <c r="I48">
        <v>2768</v>
      </c>
      <c r="J48">
        <v>4851</v>
      </c>
      <c r="K48">
        <v>5129</v>
      </c>
      <c r="L48">
        <v>2419</v>
      </c>
      <c r="M48">
        <v>5143</v>
      </c>
      <c r="N48">
        <v>6577</v>
      </c>
      <c r="O48">
        <v>9787</v>
      </c>
      <c r="P48">
        <v>9627</v>
      </c>
      <c r="Q48">
        <v>10258</v>
      </c>
      <c r="R48">
        <v>10059</v>
      </c>
      <c r="S48">
        <v>8094</v>
      </c>
      <c r="T48">
        <v>14105</v>
      </c>
      <c r="U48">
        <v>18932</v>
      </c>
      <c r="V48">
        <v>20812</v>
      </c>
      <c r="W48">
        <v>16354</v>
      </c>
      <c r="X48">
        <v>22438</v>
      </c>
      <c r="Y48">
        <v>18805</v>
      </c>
      <c r="Z48">
        <v>17301</v>
      </c>
      <c r="AA48">
        <v>18135</v>
      </c>
      <c r="AB48">
        <v>18189</v>
      </c>
      <c r="AC48">
        <v>23638</v>
      </c>
      <c r="AD48">
        <v>24206</v>
      </c>
      <c r="AE48">
        <v>23120</v>
      </c>
      <c r="AF48">
        <v>19991</v>
      </c>
      <c r="AG48">
        <v>24946</v>
      </c>
      <c r="AH48">
        <v>23141</v>
      </c>
      <c r="AI48">
        <v>22841</v>
      </c>
      <c r="AJ48">
        <v>26246</v>
      </c>
      <c r="AK48">
        <v>29285</v>
      </c>
      <c r="AL48">
        <v>34334</v>
      </c>
      <c r="AM48">
        <v>41963</v>
      </c>
      <c r="AN48">
        <v>45625</v>
      </c>
      <c r="AO48">
        <v>43806</v>
      </c>
      <c r="AP48">
        <v>45849</v>
      </c>
      <c r="AQ48">
        <v>43077</v>
      </c>
      <c r="AR48">
        <v>36386</v>
      </c>
      <c r="AS48">
        <v>43538</v>
      </c>
      <c r="AT48">
        <v>53104</v>
      </c>
      <c r="AU48">
        <v>69727</v>
      </c>
      <c r="AV48">
        <v>80426</v>
      </c>
      <c r="AW48">
        <v>77808</v>
      </c>
      <c r="AX48">
        <v>100571</v>
      </c>
      <c r="AY48">
        <v>116202</v>
      </c>
      <c r="AZ48">
        <v>139224</v>
      </c>
      <c r="BA48">
        <v>154148</v>
      </c>
      <c r="BB48">
        <v>143834</v>
      </c>
      <c r="BC48">
        <v>150651</v>
      </c>
      <c r="BD48">
        <v>123777</v>
      </c>
      <c r="BE48">
        <v>130911</v>
      </c>
      <c r="BF48">
        <v>151032</v>
      </c>
      <c r="BG48">
        <v>133962</v>
      </c>
      <c r="BH48">
        <v>94127</v>
      </c>
      <c r="BI48">
        <v>128248</v>
      </c>
      <c r="BJ48">
        <v>160517</v>
      </c>
      <c r="BK48">
        <v>142774</v>
      </c>
      <c r="BL48">
        <v>139894</v>
      </c>
      <c r="BM48">
        <v>143815</v>
      </c>
      <c r="BN48">
        <v>162628</v>
      </c>
      <c r="BO48">
        <v>201057</v>
      </c>
      <c r="BP48">
        <v>265509</v>
      </c>
      <c r="BQ48">
        <v>311697</v>
      </c>
      <c r="BR48">
        <v>335991</v>
      </c>
      <c r="BS48">
        <v>365745</v>
      </c>
      <c r="BT48">
        <v>327736</v>
      </c>
      <c r="BU48">
        <v>323090</v>
      </c>
      <c r="BV48">
        <v>286114</v>
      </c>
      <c r="BW48">
        <v>218833</v>
      </c>
      <c r="BX48">
        <v>278627</v>
      </c>
      <c r="BY48">
        <v>387276</v>
      </c>
      <c r="BZ48">
        <v>545865</v>
      </c>
      <c r="CA48">
        <v>781851</v>
      </c>
      <c r="CB48">
        <v>914468</v>
      </c>
      <c r="CC48">
        <v>853000</v>
      </c>
      <c r="CD48">
        <v>703039</v>
      </c>
      <c r="CE48">
        <v>605918</v>
      </c>
      <c r="CF48">
        <v>851626</v>
      </c>
      <c r="CG48">
        <v>834174</v>
      </c>
      <c r="CH48">
        <v>1045208</v>
      </c>
      <c r="CI48">
        <v>1076687</v>
      </c>
      <c r="CJ48">
        <v>1122618</v>
      </c>
      <c r="CK48">
        <v>1045997</v>
      </c>
      <c r="CL48">
        <v>1046198</v>
      </c>
      <c r="CM48">
        <v>1090774</v>
      </c>
      <c r="CN48">
        <v>1105166</v>
      </c>
      <c r="CO48">
        <v>1070649</v>
      </c>
      <c r="CP48">
        <v>1329798</v>
      </c>
      <c r="CQ48">
        <v>1978947</v>
      </c>
      <c r="CR48">
        <v>2003885</v>
      </c>
      <c r="CS48">
        <v>2217253</v>
      </c>
      <c r="CT48">
        <v>2379983</v>
      </c>
      <c r="CU48" t="s">
        <v>1014</v>
      </c>
    </row>
    <row r="49" spans="1:100">
      <c r="A49" t="s">
        <v>1076</v>
      </c>
      <c r="B49" t="s">
        <v>1070</v>
      </c>
      <c r="C49">
        <v>472</v>
      </c>
      <c r="D49">
        <v>3260</v>
      </c>
      <c r="E49">
        <v>2414</v>
      </c>
      <c r="F49">
        <v>1047</v>
      </c>
      <c r="G49">
        <v>-2143</v>
      </c>
      <c r="H49">
        <v>-625</v>
      </c>
      <c r="I49">
        <v>-227</v>
      </c>
      <c r="J49">
        <v>-738</v>
      </c>
      <c r="K49">
        <v>-31</v>
      </c>
      <c r="L49">
        <v>963</v>
      </c>
      <c r="M49">
        <v>-714</v>
      </c>
      <c r="N49">
        <v>-200</v>
      </c>
      <c r="O49">
        <v>-2471</v>
      </c>
      <c r="P49">
        <v>-1204</v>
      </c>
      <c r="Q49">
        <v>-773</v>
      </c>
      <c r="R49">
        <v>-287</v>
      </c>
      <c r="S49">
        <v>-564</v>
      </c>
      <c r="T49">
        <v>-5263</v>
      </c>
      <c r="U49">
        <v>-5899</v>
      </c>
      <c r="V49">
        <v>-2152</v>
      </c>
      <c r="W49">
        <v>1856</v>
      </c>
      <c r="X49">
        <v>-4965</v>
      </c>
      <c r="Y49">
        <v>-1199</v>
      </c>
      <c r="Z49">
        <v>981</v>
      </c>
      <c r="AA49">
        <v>-997</v>
      </c>
      <c r="AB49">
        <v>-318</v>
      </c>
      <c r="AC49">
        <v>-1736</v>
      </c>
      <c r="AD49">
        <v>-2693</v>
      </c>
      <c r="AE49">
        <v>-1539</v>
      </c>
      <c r="AF49">
        <v>-255</v>
      </c>
      <c r="AG49">
        <v>-277</v>
      </c>
      <c r="AH49">
        <v>-173</v>
      </c>
      <c r="AI49">
        <v>271</v>
      </c>
      <c r="AJ49">
        <v>26</v>
      </c>
      <c r="AK49">
        <v>54</v>
      </c>
      <c r="AL49">
        <v>-494</v>
      </c>
      <c r="AM49">
        <v>-1245</v>
      </c>
      <c r="AN49">
        <v>-2107</v>
      </c>
      <c r="AO49">
        <v>-1554</v>
      </c>
      <c r="AP49">
        <v>-3651</v>
      </c>
      <c r="AQ49">
        <v>-5870</v>
      </c>
      <c r="AR49">
        <v>-6552</v>
      </c>
      <c r="AS49">
        <v>-4584</v>
      </c>
      <c r="AT49">
        <v>-6610</v>
      </c>
      <c r="AU49">
        <v>-19569</v>
      </c>
      <c r="AV49">
        <v>-38221</v>
      </c>
      <c r="AW49">
        <v>-10544</v>
      </c>
      <c r="AX49">
        <v>-14113</v>
      </c>
      <c r="AY49">
        <v>-15698</v>
      </c>
      <c r="AZ49">
        <v>-23709</v>
      </c>
      <c r="BA49">
        <v>-40138</v>
      </c>
      <c r="BB49">
        <v>-42133</v>
      </c>
      <c r="BC49">
        <v>-24626</v>
      </c>
      <c r="BD49">
        <v>-7505</v>
      </c>
      <c r="BE49">
        <v>-7445</v>
      </c>
      <c r="BF49">
        <v>-3979</v>
      </c>
      <c r="BG49">
        <v>21</v>
      </c>
      <c r="BH49">
        <v>7061</v>
      </c>
      <c r="BI49">
        <v>-16239</v>
      </c>
      <c r="BJ49">
        <v>-22174</v>
      </c>
      <c r="BK49">
        <v>-16348</v>
      </c>
      <c r="BL49">
        <v>-12892</v>
      </c>
      <c r="BM49">
        <v>4927</v>
      </c>
      <c r="BN49">
        <v>-2821</v>
      </c>
      <c r="BO49">
        <v>-4021</v>
      </c>
      <c r="BP49">
        <v>-12436</v>
      </c>
      <c r="BQ49">
        <v>-18284</v>
      </c>
      <c r="BR49">
        <v>3071</v>
      </c>
      <c r="BS49">
        <v>14090</v>
      </c>
      <c r="BT49">
        <v>15743</v>
      </c>
      <c r="BU49">
        <v>-3954</v>
      </c>
      <c r="BV49">
        <v>-16809</v>
      </c>
      <c r="BW49">
        <v>8044</v>
      </c>
      <c r="BX49">
        <v>8866</v>
      </c>
      <c r="BY49">
        <v>-14471</v>
      </c>
      <c r="BZ49">
        <v>-40211</v>
      </c>
      <c r="CA49">
        <v>-36030</v>
      </c>
      <c r="CB49">
        <v>-31941</v>
      </c>
      <c r="CC49">
        <v>-43630</v>
      </c>
      <c r="CD49">
        <v>-34830</v>
      </c>
      <c r="CE49">
        <v>2617</v>
      </c>
      <c r="CF49">
        <v>-47593</v>
      </c>
      <c r="CG49">
        <v>-68008</v>
      </c>
      <c r="CH49">
        <v>-11449</v>
      </c>
      <c r="CI49">
        <v>13894</v>
      </c>
      <c r="CJ49">
        <v>1830</v>
      </c>
      <c r="CK49">
        <v>57911</v>
      </c>
      <c r="CL49">
        <v>5227</v>
      </c>
      <c r="CM49">
        <v>-47588</v>
      </c>
      <c r="CN49">
        <v>-51012</v>
      </c>
      <c r="CO49">
        <v>540</v>
      </c>
      <c r="CP49">
        <v>-19127</v>
      </c>
      <c r="CQ49">
        <v>-256375</v>
      </c>
      <c r="CR49">
        <v>-161468</v>
      </c>
      <c r="CS49">
        <v>32987</v>
      </c>
      <c r="CT49">
        <v>-8915</v>
      </c>
      <c r="CU49" t="s">
        <v>1014</v>
      </c>
    </row>
    <row r="50" spans="1:100">
      <c r="A50" t="s">
        <v>1077</v>
      </c>
      <c r="B50" t="s">
        <v>1072</v>
      </c>
      <c r="C50">
        <v>-458</v>
      </c>
      <c r="D50">
        <v>-238</v>
      </c>
      <c r="E50">
        <v>41</v>
      </c>
      <c r="F50">
        <v>155</v>
      </c>
      <c r="G50">
        <v>167</v>
      </c>
      <c r="H50">
        <v>-29</v>
      </c>
      <c r="I50">
        <v>-88</v>
      </c>
      <c r="J50">
        <v>-107</v>
      </c>
      <c r="K50">
        <v>-488</v>
      </c>
      <c r="L50">
        <v>-502</v>
      </c>
      <c r="M50">
        <v>-409</v>
      </c>
      <c r="N50">
        <v>-507</v>
      </c>
      <c r="O50">
        <v>-516</v>
      </c>
      <c r="P50">
        <v>-332</v>
      </c>
      <c r="Q50">
        <v>-27</v>
      </c>
      <c r="R50">
        <v>628</v>
      </c>
      <c r="S50">
        <v>761</v>
      </c>
      <c r="T50">
        <v>-1909</v>
      </c>
      <c r="U50">
        <v>-2369</v>
      </c>
      <c r="V50">
        <v>-2727</v>
      </c>
      <c r="W50">
        <v>-2632</v>
      </c>
      <c r="X50">
        <v>-2502</v>
      </c>
      <c r="Y50">
        <v>-2699</v>
      </c>
      <c r="Z50">
        <v>-2305</v>
      </c>
      <c r="AA50">
        <v>-1568</v>
      </c>
      <c r="AB50">
        <v>-723</v>
      </c>
      <c r="AC50">
        <v>722</v>
      </c>
      <c r="AD50">
        <v>5</v>
      </c>
      <c r="AE50">
        <v>-217</v>
      </c>
      <c r="AF50">
        <v>-583</v>
      </c>
      <c r="AG50">
        <v>152</v>
      </c>
      <c r="AH50">
        <v>1225</v>
      </c>
      <c r="AI50">
        <v>1953</v>
      </c>
      <c r="AJ50">
        <v>4947</v>
      </c>
      <c r="AK50">
        <v>6200</v>
      </c>
      <c r="AL50">
        <v>6838</v>
      </c>
      <c r="AM50">
        <v>7568</v>
      </c>
      <c r="AN50">
        <v>8053</v>
      </c>
      <c r="AO50">
        <v>7988</v>
      </c>
      <c r="AP50">
        <v>7632</v>
      </c>
      <c r="AQ50">
        <v>7755</v>
      </c>
      <c r="AR50">
        <v>6743</v>
      </c>
      <c r="AS50">
        <v>6203</v>
      </c>
      <c r="AT50">
        <v>8022</v>
      </c>
      <c r="AU50">
        <v>6679</v>
      </c>
      <c r="AV50">
        <v>2359</v>
      </c>
      <c r="AW50">
        <v>-4902</v>
      </c>
      <c r="AX50">
        <v>-6908</v>
      </c>
      <c r="AY50">
        <v>-5945</v>
      </c>
      <c r="AZ50">
        <v>-7319</v>
      </c>
      <c r="BA50">
        <v>-10597</v>
      </c>
      <c r="BB50">
        <v>-14246</v>
      </c>
      <c r="BC50">
        <v>-2109</v>
      </c>
      <c r="BD50">
        <v>8238</v>
      </c>
      <c r="BE50">
        <v>25360</v>
      </c>
      <c r="BF50">
        <v>45920</v>
      </c>
      <c r="BG50">
        <v>66001</v>
      </c>
      <c r="BH50">
        <v>52779</v>
      </c>
      <c r="BI50">
        <v>53117</v>
      </c>
      <c r="BJ50">
        <v>51661</v>
      </c>
      <c r="BK50">
        <v>46397</v>
      </c>
      <c r="BL50">
        <v>37021</v>
      </c>
      <c r="BM50">
        <v>30713</v>
      </c>
      <c r="BN50">
        <v>32822</v>
      </c>
      <c r="BO50">
        <v>36619</v>
      </c>
      <c r="BP50">
        <v>47761</v>
      </c>
      <c r="BQ50">
        <v>47064</v>
      </c>
      <c r="BR50">
        <v>53539</v>
      </c>
      <c r="BS50">
        <v>55664</v>
      </c>
      <c r="BT50">
        <v>59817</v>
      </c>
      <c r="BU50">
        <v>65117</v>
      </c>
      <c r="BV50">
        <v>50089</v>
      </c>
      <c r="BW50">
        <v>52530</v>
      </c>
      <c r="BX50">
        <v>100136</v>
      </c>
      <c r="BY50">
        <v>94996</v>
      </c>
      <c r="BZ50">
        <v>78852</v>
      </c>
      <c r="CA50">
        <v>-105144</v>
      </c>
      <c r="CB50">
        <v>-132369</v>
      </c>
      <c r="CC50">
        <v>-136171</v>
      </c>
      <c r="CD50">
        <v>-30135</v>
      </c>
      <c r="CE50">
        <v>-46009</v>
      </c>
      <c r="CF50">
        <v>-24718</v>
      </c>
      <c r="CG50">
        <v>86957</v>
      </c>
      <c r="CH50">
        <v>-97136</v>
      </c>
      <c r="CI50">
        <v>-105534</v>
      </c>
      <c r="CJ50">
        <v>-96539</v>
      </c>
      <c r="CK50">
        <v>-73158</v>
      </c>
      <c r="CL50">
        <v>-58916</v>
      </c>
      <c r="CM50">
        <v>6669</v>
      </c>
      <c r="CN50">
        <v>111997</v>
      </c>
      <c r="CO50">
        <v>131604</v>
      </c>
      <c r="CP50">
        <v>-25338</v>
      </c>
      <c r="CQ50">
        <v>40322</v>
      </c>
      <c r="CR50">
        <v>-4401</v>
      </c>
      <c r="CS50">
        <v>-176059</v>
      </c>
      <c r="CT50">
        <v>-264284</v>
      </c>
      <c r="CU50">
        <v>6367</v>
      </c>
    </row>
    <row r="51" spans="1:100">
      <c r="A51" t="s">
        <v>97</v>
      </c>
      <c r="B51" t="s">
        <v>1078</v>
      </c>
      <c r="C51" t="s">
        <v>97</v>
      </c>
      <c r="D51" t="s">
        <v>97</v>
      </c>
      <c r="E51" t="s">
        <v>97</v>
      </c>
      <c r="F51" t="s">
        <v>97</v>
      </c>
      <c r="G51" t="s">
        <v>97</v>
      </c>
      <c r="H51" t="s">
        <v>97</v>
      </c>
      <c r="I51" t="s">
        <v>97</v>
      </c>
      <c r="J51" t="s">
        <v>97</v>
      </c>
      <c r="K51" t="s">
        <v>97</v>
      </c>
      <c r="L51" t="s">
        <v>97</v>
      </c>
      <c r="M51" t="s">
        <v>97</v>
      </c>
      <c r="N51" t="s">
        <v>97</v>
      </c>
      <c r="O51" t="s">
        <v>97</v>
      </c>
      <c r="P51" t="s">
        <v>97</v>
      </c>
      <c r="Q51" t="s">
        <v>97</v>
      </c>
      <c r="R51" t="s">
        <v>97</v>
      </c>
      <c r="S51" t="s">
        <v>97</v>
      </c>
      <c r="T51" t="s">
        <v>97</v>
      </c>
      <c r="U51" t="s">
        <v>97</v>
      </c>
      <c r="V51" t="s">
        <v>97</v>
      </c>
      <c r="W51" t="s">
        <v>97</v>
      </c>
      <c r="X51" t="s">
        <v>97</v>
      </c>
      <c r="Y51" t="s">
        <v>97</v>
      </c>
      <c r="Z51" t="s">
        <v>97</v>
      </c>
      <c r="AA51" t="s">
        <v>97</v>
      </c>
      <c r="AB51" t="s">
        <v>97</v>
      </c>
      <c r="AC51" t="s">
        <v>97</v>
      </c>
      <c r="AD51" t="s">
        <v>97</v>
      </c>
      <c r="AE51" t="s">
        <v>97</v>
      </c>
      <c r="AF51" t="s">
        <v>97</v>
      </c>
      <c r="AG51" t="s">
        <v>97</v>
      </c>
      <c r="AH51" t="s">
        <v>97</v>
      </c>
      <c r="AI51" t="s">
        <v>97</v>
      </c>
      <c r="AJ51" t="s">
        <v>97</v>
      </c>
      <c r="AK51" t="s">
        <v>97</v>
      </c>
      <c r="AL51" t="s">
        <v>97</v>
      </c>
      <c r="AM51" t="s">
        <v>97</v>
      </c>
      <c r="AN51" t="s">
        <v>97</v>
      </c>
      <c r="AO51" t="s">
        <v>97</v>
      </c>
      <c r="AP51" t="s">
        <v>97</v>
      </c>
      <c r="AQ51" t="s">
        <v>97</v>
      </c>
      <c r="AR51" t="s">
        <v>97</v>
      </c>
      <c r="AS51" t="s">
        <v>97</v>
      </c>
      <c r="AT51" t="s">
        <v>97</v>
      </c>
      <c r="AU51" t="s">
        <v>97</v>
      </c>
      <c r="AV51" t="s">
        <v>97</v>
      </c>
      <c r="AW51" t="s">
        <v>97</v>
      </c>
      <c r="AX51" t="s">
        <v>97</v>
      </c>
      <c r="AY51" t="s">
        <v>97</v>
      </c>
      <c r="AZ51" t="s">
        <v>97</v>
      </c>
      <c r="BA51" t="s">
        <v>97</v>
      </c>
      <c r="BB51" t="s">
        <v>97</v>
      </c>
      <c r="BC51" t="s">
        <v>97</v>
      </c>
      <c r="BD51" t="s">
        <v>97</v>
      </c>
      <c r="BE51" t="s">
        <v>97</v>
      </c>
      <c r="BF51" t="s">
        <v>97</v>
      </c>
      <c r="BG51" t="s">
        <v>97</v>
      </c>
      <c r="BH51" t="s">
        <v>97</v>
      </c>
      <c r="BI51" t="s">
        <v>97</v>
      </c>
      <c r="BJ51" t="s">
        <v>97</v>
      </c>
      <c r="BK51" t="s">
        <v>97</v>
      </c>
      <c r="BL51" t="s">
        <v>97</v>
      </c>
      <c r="BM51" t="s">
        <v>97</v>
      </c>
      <c r="BN51" t="s">
        <v>97</v>
      </c>
      <c r="BO51" t="s">
        <v>97</v>
      </c>
      <c r="BP51" t="s">
        <v>97</v>
      </c>
      <c r="BQ51" t="s">
        <v>97</v>
      </c>
      <c r="BR51" t="s">
        <v>97</v>
      </c>
      <c r="BS51" t="s">
        <v>97</v>
      </c>
      <c r="BT51" t="s">
        <v>97</v>
      </c>
      <c r="BU51" t="s">
        <v>97</v>
      </c>
      <c r="BV51" t="s">
        <v>97</v>
      </c>
      <c r="BW51" t="s">
        <v>97</v>
      </c>
      <c r="BX51" t="s">
        <v>97</v>
      </c>
      <c r="BY51" t="s">
        <v>97</v>
      </c>
      <c r="BZ51" t="s">
        <v>97</v>
      </c>
      <c r="CA51" t="s">
        <v>97</v>
      </c>
      <c r="CB51" t="s">
        <v>97</v>
      </c>
      <c r="CC51" t="s">
        <v>97</v>
      </c>
      <c r="CD51" t="s">
        <v>97</v>
      </c>
      <c r="CE51" t="s">
        <v>97</v>
      </c>
      <c r="CF51" t="s">
        <v>97</v>
      </c>
      <c r="CG51" t="s">
        <v>97</v>
      </c>
      <c r="CH51" t="s">
        <v>97</v>
      </c>
      <c r="CI51" t="s">
        <v>97</v>
      </c>
      <c r="CJ51" t="s">
        <v>97</v>
      </c>
      <c r="CK51" t="s">
        <v>97</v>
      </c>
      <c r="CL51" t="s">
        <v>97</v>
      </c>
      <c r="CM51" t="s">
        <v>97</v>
      </c>
      <c r="CN51" t="s">
        <v>97</v>
      </c>
      <c r="CO51" t="s">
        <v>97</v>
      </c>
      <c r="CP51" t="s">
        <v>97</v>
      </c>
      <c r="CQ51" t="s">
        <v>97</v>
      </c>
      <c r="CR51" t="s">
        <v>97</v>
      </c>
      <c r="CS51" t="s">
        <v>97</v>
      </c>
      <c r="CT51" t="s">
        <v>97</v>
      </c>
      <c r="CU51" t="s">
        <v>97</v>
      </c>
    </row>
    <row r="52" spans="1:100">
      <c r="A52" t="s">
        <v>1079</v>
      </c>
      <c r="B52" s="12" t="s">
        <v>1080</v>
      </c>
      <c r="C52" s="12">
        <v>379518</v>
      </c>
      <c r="D52" s="12">
        <v>353276</v>
      </c>
      <c r="E52" s="12">
        <v>319385</v>
      </c>
      <c r="F52" s="12">
        <v>271204</v>
      </c>
      <c r="G52" s="12">
        <v>264338</v>
      </c>
      <c r="H52" s="12">
        <v>301216</v>
      </c>
      <c r="I52" s="12">
        <v>327713</v>
      </c>
      <c r="J52" s="12">
        <v>374488</v>
      </c>
      <c r="K52" s="12">
        <v>405694</v>
      </c>
      <c r="L52" s="12">
        <v>376207</v>
      </c>
      <c r="M52" s="12">
        <v>420183</v>
      </c>
      <c r="N52" s="12">
        <v>474124</v>
      </c>
      <c r="O52" s="12">
        <v>570642</v>
      </c>
      <c r="P52" s="12">
        <v>647653</v>
      </c>
      <c r="Q52" s="12">
        <v>720413</v>
      </c>
      <c r="R52" s="12">
        <v>732875</v>
      </c>
      <c r="S52" s="12">
        <v>679342</v>
      </c>
      <c r="T52" s="12">
        <v>658573</v>
      </c>
      <c r="U52" s="12">
        <v>703904</v>
      </c>
      <c r="V52" s="12">
        <v>758556</v>
      </c>
      <c r="W52" s="12">
        <v>751642</v>
      </c>
      <c r="X52" s="12">
        <v>848936</v>
      </c>
      <c r="Y52" s="12">
        <v>896303</v>
      </c>
      <c r="Z52" s="12">
        <v>930356</v>
      </c>
      <c r="AA52" s="12">
        <v>999235</v>
      </c>
      <c r="AB52" s="12">
        <v>989290</v>
      </c>
      <c r="AC52" s="12">
        <v>1107804</v>
      </c>
      <c r="AD52" s="12">
        <v>1146054</v>
      </c>
      <c r="AE52" s="12">
        <v>1161542</v>
      </c>
      <c r="AF52" s="12">
        <v>1117530</v>
      </c>
      <c r="AG52" s="12">
        <v>1243327</v>
      </c>
      <c r="AH52" s="12">
        <v>1285478</v>
      </c>
      <c r="AI52" s="12">
        <v>1316239</v>
      </c>
      <c r="AJ52" s="12">
        <v>1427784</v>
      </c>
      <c r="AK52" s="12">
        <v>1515745</v>
      </c>
      <c r="AL52" s="12">
        <v>1622045</v>
      </c>
      <c r="AM52" s="12">
        <v>1758279</v>
      </c>
      <c r="AN52" s="12">
        <v>1888178</v>
      </c>
      <c r="AO52" s="12">
        <v>1942223</v>
      </c>
      <c r="AP52" s="12">
        <v>2068281</v>
      </c>
      <c r="AQ52" s="12">
        <v>2150996</v>
      </c>
      <c r="AR52" s="12">
        <v>2132246</v>
      </c>
      <c r="AS52" s="12">
        <v>2216302</v>
      </c>
      <c r="AT52" s="12">
        <v>2384020</v>
      </c>
      <c r="AU52" s="12">
        <v>2529343</v>
      </c>
      <c r="AV52" s="12">
        <v>2491175</v>
      </c>
      <c r="AW52" s="12">
        <v>2456693</v>
      </c>
      <c r="AX52" s="12">
        <v>2657867</v>
      </c>
      <c r="AY52" s="12">
        <v>2854488</v>
      </c>
      <c r="AZ52" s="12">
        <v>3038745</v>
      </c>
      <c r="BA52" s="12">
        <v>3118975</v>
      </c>
      <c r="BB52" s="12">
        <v>3140096</v>
      </c>
      <c r="BC52" s="12">
        <v>3283888</v>
      </c>
      <c r="BD52" s="12">
        <v>3253862</v>
      </c>
      <c r="BE52" s="12">
        <v>3415215</v>
      </c>
      <c r="BF52" s="12">
        <v>3757179</v>
      </c>
      <c r="BG52" s="12">
        <v>3937620</v>
      </c>
      <c r="BH52" s="12">
        <v>4071203</v>
      </c>
      <c r="BI52" s="12">
        <v>4287736</v>
      </c>
      <c r="BJ52" s="12">
        <v>4545230</v>
      </c>
      <c r="BK52" s="12">
        <v>4636114</v>
      </c>
      <c r="BL52" s="12">
        <v>4719096</v>
      </c>
      <c r="BM52" s="12">
        <v>4702624</v>
      </c>
      <c r="BN52" s="12">
        <v>4884039</v>
      </c>
      <c r="BO52" s="12">
        <v>5047961</v>
      </c>
      <c r="BP52" s="12">
        <v>5373895</v>
      </c>
      <c r="BQ52" s="12">
        <v>5619403</v>
      </c>
      <c r="BR52" s="12">
        <v>5924143</v>
      </c>
      <c r="BS52" s="12">
        <v>6322882</v>
      </c>
      <c r="BT52" s="12">
        <v>6667650</v>
      </c>
      <c r="BU52" s="12">
        <v>7003623</v>
      </c>
      <c r="BV52" s="12">
        <v>7340205</v>
      </c>
      <c r="BW52" s="12">
        <v>7164251</v>
      </c>
      <c r="BX52" s="12">
        <v>7237884</v>
      </c>
      <c r="BY52" s="12">
        <v>7402525</v>
      </c>
      <c r="BZ52" s="12">
        <v>7768745</v>
      </c>
      <c r="CA52" s="12">
        <v>8055939</v>
      </c>
      <c r="CB52" s="12">
        <v>8367204</v>
      </c>
      <c r="CC52" s="12">
        <v>8463493</v>
      </c>
      <c r="CD52" s="12">
        <v>8373691</v>
      </c>
      <c r="CE52" s="12">
        <v>7780498</v>
      </c>
      <c r="CF52" s="12">
        <v>8118731</v>
      </c>
      <c r="CG52" s="12">
        <v>8339193</v>
      </c>
      <c r="CH52" s="12">
        <v>8648610</v>
      </c>
      <c r="CI52" s="12">
        <v>8855091</v>
      </c>
      <c r="CJ52" s="12">
        <v>9155687</v>
      </c>
      <c r="CK52" s="12">
        <v>9453733</v>
      </c>
      <c r="CL52" s="12">
        <v>9514298</v>
      </c>
      <c r="CM52" s="12">
        <v>9771449</v>
      </c>
      <c r="CN52" s="12">
        <v>10136297</v>
      </c>
      <c r="CO52" s="12">
        <v>10406488</v>
      </c>
      <c r="CP52" s="12">
        <v>9979518</v>
      </c>
      <c r="CQ52" s="12">
        <v>10945065</v>
      </c>
      <c r="CR52" s="12">
        <v>11350816</v>
      </c>
      <c r="CS52" s="12">
        <v>11550328</v>
      </c>
      <c r="CT52" s="12">
        <v>11864210</v>
      </c>
      <c r="CU52" s="12" t="s">
        <v>1014</v>
      </c>
    </row>
    <row r="53" spans="1:100">
      <c r="A53" t="s">
        <v>1081</v>
      </c>
      <c r="B53" t="s">
        <v>1082</v>
      </c>
      <c r="C53">
        <v>50989</v>
      </c>
      <c r="D53">
        <v>52049</v>
      </c>
      <c r="E53">
        <v>51809</v>
      </c>
      <c r="F53">
        <v>50272</v>
      </c>
      <c r="G53">
        <v>48825</v>
      </c>
      <c r="H53">
        <v>47795</v>
      </c>
      <c r="I53">
        <v>47743</v>
      </c>
      <c r="J53">
        <v>48227</v>
      </c>
      <c r="K53">
        <v>49648</v>
      </c>
      <c r="L53">
        <v>50230</v>
      </c>
      <c r="M53">
        <v>50522</v>
      </c>
      <c r="N53">
        <v>51565</v>
      </c>
      <c r="O53">
        <v>53518</v>
      </c>
      <c r="P53">
        <v>54391</v>
      </c>
      <c r="Q53">
        <v>53451</v>
      </c>
      <c r="R53">
        <v>52949</v>
      </c>
      <c r="S53">
        <v>53827</v>
      </c>
      <c r="T53">
        <v>57011</v>
      </c>
      <c r="U53">
        <v>61963</v>
      </c>
      <c r="V53">
        <v>66778</v>
      </c>
      <c r="W53">
        <v>70329</v>
      </c>
      <c r="X53">
        <v>73313</v>
      </c>
      <c r="Y53">
        <v>76474</v>
      </c>
      <c r="Z53">
        <v>79635</v>
      </c>
      <c r="AA53">
        <v>83829</v>
      </c>
      <c r="AB53">
        <v>88103</v>
      </c>
      <c r="AC53">
        <v>92512</v>
      </c>
      <c r="AD53">
        <v>97556</v>
      </c>
      <c r="AE53">
        <v>103015</v>
      </c>
      <c r="AF53">
        <v>108725</v>
      </c>
      <c r="AG53">
        <v>111688</v>
      </c>
      <c r="AH53">
        <v>114397</v>
      </c>
      <c r="AI53">
        <v>118803</v>
      </c>
      <c r="AJ53">
        <v>123789</v>
      </c>
      <c r="AK53">
        <v>129886</v>
      </c>
      <c r="AL53">
        <v>136685</v>
      </c>
      <c r="AM53">
        <v>145805</v>
      </c>
      <c r="AN53">
        <v>157433</v>
      </c>
      <c r="AO53">
        <v>169145</v>
      </c>
      <c r="AP53">
        <v>180532</v>
      </c>
      <c r="AQ53">
        <v>192877</v>
      </c>
      <c r="AR53">
        <v>203844</v>
      </c>
      <c r="AS53">
        <v>212949</v>
      </c>
      <c r="AT53">
        <v>223423</v>
      </c>
      <c r="AU53">
        <v>239115</v>
      </c>
      <c r="AV53">
        <v>252378</v>
      </c>
      <c r="AW53">
        <v>261847</v>
      </c>
      <c r="AX53">
        <v>270336</v>
      </c>
      <c r="AY53">
        <v>282564</v>
      </c>
      <c r="AZ53">
        <v>297533</v>
      </c>
      <c r="BA53">
        <v>314895</v>
      </c>
      <c r="BB53">
        <v>331368</v>
      </c>
      <c r="BC53">
        <v>346547</v>
      </c>
      <c r="BD53">
        <v>362677</v>
      </c>
      <c r="BE53">
        <v>375554</v>
      </c>
      <c r="BF53">
        <v>392011</v>
      </c>
      <c r="BG53">
        <v>414936</v>
      </c>
      <c r="BH53">
        <v>434531</v>
      </c>
      <c r="BI53">
        <v>452906</v>
      </c>
      <c r="BJ53">
        <v>469701</v>
      </c>
      <c r="BK53">
        <v>486027</v>
      </c>
      <c r="BL53">
        <v>503504</v>
      </c>
      <c r="BM53">
        <v>518856</v>
      </c>
      <c r="BN53">
        <v>533558</v>
      </c>
      <c r="BO53">
        <v>553439</v>
      </c>
      <c r="BP53">
        <v>578893</v>
      </c>
      <c r="BQ53">
        <v>612348</v>
      </c>
      <c r="BR53">
        <v>650883</v>
      </c>
      <c r="BS53">
        <v>697449</v>
      </c>
      <c r="BT53">
        <v>749460</v>
      </c>
      <c r="BU53">
        <v>805468</v>
      </c>
      <c r="BV53">
        <v>866074</v>
      </c>
      <c r="BW53">
        <v>916435</v>
      </c>
      <c r="BX53">
        <v>947589</v>
      </c>
      <c r="BY53">
        <v>967733</v>
      </c>
      <c r="BZ53">
        <v>993478</v>
      </c>
      <c r="CA53">
        <v>1028328</v>
      </c>
      <c r="CB53">
        <v>1072244</v>
      </c>
      <c r="CC53">
        <v>1118112</v>
      </c>
      <c r="CD53">
        <v>1157714</v>
      </c>
      <c r="CE53">
        <v>1176561</v>
      </c>
      <c r="CF53">
        <v>1188680</v>
      </c>
      <c r="CG53">
        <v>1218420</v>
      </c>
      <c r="CH53">
        <v>1259927</v>
      </c>
      <c r="CI53">
        <v>1304834</v>
      </c>
      <c r="CJ53">
        <v>1354831</v>
      </c>
      <c r="CK53">
        <v>1406385</v>
      </c>
      <c r="CL53">
        <v>1456087</v>
      </c>
      <c r="CM53">
        <v>1509413</v>
      </c>
      <c r="CN53">
        <v>1572496</v>
      </c>
      <c r="CO53">
        <v>1636719</v>
      </c>
      <c r="CP53">
        <v>1686158</v>
      </c>
      <c r="CQ53">
        <v>1739065</v>
      </c>
      <c r="CR53">
        <v>1810667</v>
      </c>
      <c r="CS53">
        <v>1888753</v>
      </c>
      <c r="CT53">
        <v>1964076</v>
      </c>
      <c r="CU53">
        <v>2054903</v>
      </c>
    </row>
    <row r="54" spans="1:100">
      <c r="A54" t="s">
        <v>1083</v>
      </c>
      <c r="B54" t="s">
        <v>1084</v>
      </c>
      <c r="C54">
        <v>328529</v>
      </c>
      <c r="D54">
        <v>301227</v>
      </c>
      <c r="E54">
        <v>267576</v>
      </c>
      <c r="F54">
        <v>220933</v>
      </c>
      <c r="G54">
        <v>215512</v>
      </c>
      <c r="H54">
        <v>253422</v>
      </c>
      <c r="I54">
        <v>279970</v>
      </c>
      <c r="J54">
        <v>326261</v>
      </c>
      <c r="K54">
        <v>356046</v>
      </c>
      <c r="L54">
        <v>325977</v>
      </c>
      <c r="M54">
        <v>369661</v>
      </c>
      <c r="N54">
        <v>422559</v>
      </c>
      <c r="O54">
        <v>517124</v>
      </c>
      <c r="P54">
        <v>593262</v>
      </c>
      <c r="Q54">
        <v>666962</v>
      </c>
      <c r="R54">
        <v>679926</v>
      </c>
      <c r="S54">
        <v>625515</v>
      </c>
      <c r="T54">
        <v>601562</v>
      </c>
      <c r="U54">
        <v>641941</v>
      </c>
      <c r="V54">
        <v>691778</v>
      </c>
      <c r="W54">
        <v>681313</v>
      </c>
      <c r="X54">
        <v>775624</v>
      </c>
      <c r="Y54">
        <v>819830</v>
      </c>
      <c r="Z54">
        <v>850721</v>
      </c>
      <c r="AA54">
        <v>915406</v>
      </c>
      <c r="AB54">
        <v>901187</v>
      </c>
      <c r="AC54">
        <v>1015293</v>
      </c>
      <c r="AD54">
        <v>1048498</v>
      </c>
      <c r="AE54">
        <v>1058528</v>
      </c>
      <c r="AF54">
        <v>1008806</v>
      </c>
      <c r="AG54">
        <v>1131639</v>
      </c>
      <c r="AH54">
        <v>1171082</v>
      </c>
      <c r="AI54">
        <v>1197436</v>
      </c>
      <c r="AJ54">
        <v>1303995</v>
      </c>
      <c r="AK54">
        <v>1385859</v>
      </c>
      <c r="AL54">
        <v>1485360</v>
      </c>
      <c r="AM54">
        <v>1612475</v>
      </c>
      <c r="AN54">
        <v>1730745</v>
      </c>
      <c r="AO54">
        <v>1773078</v>
      </c>
      <c r="AP54">
        <v>1887749</v>
      </c>
      <c r="AQ54">
        <v>1958119</v>
      </c>
      <c r="AR54">
        <v>1928402</v>
      </c>
      <c r="AS54">
        <v>2003353</v>
      </c>
      <c r="AT54">
        <v>2160597</v>
      </c>
      <c r="AU54">
        <v>2290228</v>
      </c>
      <c r="AV54">
        <v>2238797</v>
      </c>
      <c r="AW54">
        <v>2194845</v>
      </c>
      <c r="AX54">
        <v>2387531</v>
      </c>
      <c r="AY54">
        <v>2571924</v>
      </c>
      <c r="AZ54">
        <v>2741211</v>
      </c>
      <c r="BA54">
        <v>2804080</v>
      </c>
      <c r="BB54">
        <v>2808728</v>
      </c>
      <c r="BC54">
        <v>2937341</v>
      </c>
      <c r="BD54">
        <v>2891185</v>
      </c>
      <c r="BE54">
        <v>3039661</v>
      </c>
      <c r="BF54">
        <v>3365169</v>
      </c>
      <c r="BG54">
        <v>3522684</v>
      </c>
      <c r="BH54">
        <v>3636671</v>
      </c>
      <c r="BI54">
        <v>3834830</v>
      </c>
      <c r="BJ54">
        <v>4075529</v>
      </c>
      <c r="BK54">
        <v>4150087</v>
      </c>
      <c r="BL54">
        <v>4215592</v>
      </c>
      <c r="BM54">
        <v>4183767</v>
      </c>
      <c r="BN54">
        <v>4350481</v>
      </c>
      <c r="BO54">
        <v>4494523</v>
      </c>
      <c r="BP54">
        <v>4795002</v>
      </c>
      <c r="BQ54">
        <v>5007055</v>
      </c>
      <c r="BR54">
        <v>5273260</v>
      </c>
      <c r="BS54">
        <v>5625433</v>
      </c>
      <c r="BT54">
        <v>5918191</v>
      </c>
      <c r="BU54">
        <v>6198155</v>
      </c>
      <c r="BV54">
        <v>6474131</v>
      </c>
      <c r="BW54">
        <v>6247816</v>
      </c>
      <c r="BX54">
        <v>6290295</v>
      </c>
      <c r="BY54">
        <v>6434793</v>
      </c>
      <c r="BZ54">
        <v>6775267</v>
      </c>
      <c r="CA54">
        <v>7027611</v>
      </c>
      <c r="CB54">
        <v>7294960</v>
      </c>
      <c r="CC54">
        <v>7345381</v>
      </c>
      <c r="CD54">
        <v>7215977</v>
      </c>
      <c r="CE54">
        <v>6603937</v>
      </c>
      <c r="CF54">
        <v>6930051</v>
      </c>
      <c r="CG54">
        <v>7120773</v>
      </c>
      <c r="CH54">
        <v>7388683</v>
      </c>
      <c r="CI54">
        <v>7550258</v>
      </c>
      <c r="CJ54">
        <v>7800855</v>
      </c>
      <c r="CK54">
        <v>8047347</v>
      </c>
      <c r="CL54">
        <v>8058211</v>
      </c>
      <c r="CM54">
        <v>8262036</v>
      </c>
      <c r="CN54">
        <v>8563801</v>
      </c>
      <c r="CO54">
        <v>8769769</v>
      </c>
      <c r="CP54">
        <v>8293360</v>
      </c>
      <c r="CQ54">
        <v>9205999</v>
      </c>
      <c r="CR54">
        <v>9540149</v>
      </c>
      <c r="CS54">
        <v>9661575</v>
      </c>
      <c r="CT54">
        <v>9900133</v>
      </c>
      <c r="CU54" t="s">
        <v>1014</v>
      </c>
    </row>
    <row r="55" spans="1:100" ht="17">
      <c r="A55" s="55" t="s">
        <v>1085</v>
      </c>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row>
    <row r="56" spans="1:100">
      <c r="A56" s="51" t="s">
        <v>1086</v>
      </c>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row>
    <row r="57" spans="1:100">
      <c r="A57" s="51" t="s">
        <v>1087</v>
      </c>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row>
    <row r="58" spans="1:100">
      <c r="A58" s="51" t="s">
        <v>1088</v>
      </c>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row>
    <row r="59" spans="1:100">
      <c r="A59" s="51" t="s">
        <v>1089</v>
      </c>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row>
    <row r="60" spans="1:100">
      <c r="A60" s="51" t="s">
        <v>1090</v>
      </c>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row>
    <row r="61" spans="1:100">
      <c r="A61" s="51" t="s">
        <v>1091</v>
      </c>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row>
    <row r="67" spans="2:98">
      <c r="B67" t="s">
        <v>1845</v>
      </c>
    </row>
    <row r="68" spans="2:98">
      <c r="B68" t="s">
        <v>1557</v>
      </c>
      <c r="C68">
        <f>C24-C27-C30-C33-C35-'FA 6.7'!AE12</f>
        <v>6497</v>
      </c>
      <c r="D68">
        <f>D24-D27-D30-D33-D35-'FA 6.7'!AF12</f>
        <v>5985</v>
      </c>
      <c r="E68">
        <f>E24-E27-E30-E33-E35-'FA 6.7'!AG12</f>
        <v>4151</v>
      </c>
      <c r="F68">
        <f>F24-F27-F30-F33-F35-'FA 6.7'!AH12</f>
        <v>2146</v>
      </c>
      <c r="G68">
        <f>G24-G27-G30-G33-G35-'FA 6.7'!AI12</f>
        <v>1775</v>
      </c>
      <c r="H68">
        <f>H24-H27-H30-H33-H35-'FA 6.7'!AJ12</f>
        <v>3926</v>
      </c>
      <c r="I68">
        <f>I24-I27-I30-I33-I35-'FA 6.7'!AK12</f>
        <v>4715</v>
      </c>
      <c r="J68">
        <f>J24-J27-J30-J33-J35-'FA 6.7'!AL12</f>
        <v>5264</v>
      </c>
      <c r="K68">
        <f>K24-K27-K30-K33-K35-'FA 6.7'!AM12</f>
        <v>5033</v>
      </c>
      <c r="L68">
        <f>L24-L27-L30-L33-L35-'FA 6.7'!AN12</f>
        <v>4569</v>
      </c>
      <c r="M68">
        <f>M24-M27-M30-M33-M35-'FA 6.7'!AO12</f>
        <v>5308</v>
      </c>
      <c r="N68">
        <f>N24-N27-N30-N33-N35-'FA 6.7'!AP12</f>
        <v>6070</v>
      </c>
      <c r="O68">
        <f>O24-O27-O30-O33-O35-'FA 6.7'!AQ12</f>
        <v>6062</v>
      </c>
      <c r="P68">
        <f>P24-P27-P30-P33-P35-'FA 6.7'!AR12</f>
        <v>9451</v>
      </c>
      <c r="Q68">
        <f>Q24-Q27-Q30-Q33-Q35-'FA 6.7'!AS12</f>
        <v>11606</v>
      </c>
      <c r="R68">
        <f>R24-R27-R30-R33-R35-'FA 6.7'!AT12</f>
        <v>11240</v>
      </c>
      <c r="S68">
        <f>S24-S27-S30-S33-S35-'FA 6.7'!AU12</f>
        <v>6947</v>
      </c>
      <c r="T68">
        <f>T24-T27-T30-T33-T35-'FA 6.7'!AV12</f>
        <v>2381</v>
      </c>
      <c r="U68">
        <f>U24-U27-U30-U33-U35-'FA 6.7'!AW12</f>
        <v>4076</v>
      </c>
      <c r="V68">
        <f>V24-V27-V30-V33-V35-'FA 6.7'!AX12</f>
        <v>8995</v>
      </c>
      <c r="W68">
        <f>W24-W27-W30-W33-W35-'FA 6.7'!AY12</f>
        <v>11379</v>
      </c>
      <c r="X68">
        <f>X24-X27-X30-X33-X35-'FA 6.7'!AZ12</f>
        <v>9824</v>
      </c>
      <c r="Y68">
        <f>Y24-Y27-Y30-Y33-Y35-'FA 6.7'!BA12</f>
        <v>7848</v>
      </c>
      <c r="Z68">
        <f>Z24-Z27-Z30-Z33-Z35-'FA 6.7'!BB12</f>
        <v>8380</v>
      </c>
      <c r="AA68">
        <f>AA24-AA27-AA30-AA33-AA35-'FA 6.7'!BC12</f>
        <v>6701</v>
      </c>
      <c r="AB68">
        <f>AB24-AB27-AB30-AB33-AB35-'FA 6.7'!BD12</f>
        <v>10146</v>
      </c>
      <c r="AC68">
        <f>AC24-AC27-AC30-AC33-AC35-'FA 6.7'!BE12</f>
        <v>14280</v>
      </c>
      <c r="AD68">
        <f>AD24-AD27-AD30-AD33-AD35-'FA 6.7'!BF12</f>
        <v>9365</v>
      </c>
      <c r="AE68">
        <f>AE24-AE27-AE30-AE33-AE35-'FA 6.7'!BG12</f>
        <v>9077</v>
      </c>
      <c r="AF68">
        <f>AF24-AF27-AF30-AF33-AF35-'FA 6.7'!BH12</f>
        <v>13542</v>
      </c>
      <c r="AG68">
        <f>AG24-AG27-AG30-AG33-AG35-'FA 6.7'!BI12</f>
        <v>17667</v>
      </c>
      <c r="AH68">
        <f>AH24-AH27-AH30-AH33-AH35-'FA 6.7'!BJ12</f>
        <v>15020</v>
      </c>
      <c r="AI68">
        <f>AI24-AI27-AI30-AI33-AI35-'FA 6.7'!BK12</f>
        <v>17246</v>
      </c>
      <c r="AJ68">
        <f>AJ24-AJ27-AJ30-AJ33-AJ35-'FA 6.7'!BL12</f>
        <v>22002</v>
      </c>
      <c r="AK68">
        <f>AK24-AK27-AK30-AK33-AK35-'FA 6.7'!BM12</f>
        <v>25506</v>
      </c>
      <c r="AL68">
        <f>AL24-AL27-AL30-AL33-AL35-'FA 6.7'!BN12</f>
        <v>27472</v>
      </c>
      <c r="AM68">
        <f>AM24-AM27-AM30-AM33-AM35-'FA 6.7'!BO12</f>
        <v>28513</v>
      </c>
      <c r="AN68">
        <f>AN24-AN27-AN30-AN33-AN35-'FA 6.7'!BP12</f>
        <v>26770</v>
      </c>
      <c r="AO68">
        <f>AO24-AO27-AO30-AO33-AO35-'FA 6.7'!BQ12</f>
        <v>29075</v>
      </c>
      <c r="AP68">
        <f>AP24-AP27-AP30-AP33-AP35-'FA 6.7'!BR12</f>
        <v>28510</v>
      </c>
      <c r="AQ68">
        <f>AQ24-AQ27-AQ30-AQ33-AQ35-'FA 6.7'!BS12</f>
        <v>23417</v>
      </c>
      <c r="AR68">
        <f>AR24-AR27-AR30-AR33-AR35-'FA 6.7'!BT12</f>
        <v>22770</v>
      </c>
      <c r="AS68">
        <f>AS24-AS27-AS30-AS33-AS35-'FA 6.7'!BU12</f>
        <v>35022</v>
      </c>
      <c r="AT68">
        <f>AT24-AT27-AT30-AT33-AT35-'FA 6.7'!BV12</f>
        <v>37864</v>
      </c>
      <c r="AU68">
        <f>AU24-AU27-AU30-AU33-AU35-'FA 6.7'!BW12</f>
        <v>33782</v>
      </c>
      <c r="AV68">
        <f>AV24-AV27-AV30-AV33-AV35-'FA 6.7'!BX12</f>
        <v>25355</v>
      </c>
      <c r="AW68">
        <f>AW24-AW27-AW30-AW33-AW35-'FA 6.7'!BY12</f>
        <v>59139</v>
      </c>
      <c r="AX68">
        <f>AX24-AX27-AX30-AX33-AX35-'FA 6.7'!BZ12</f>
        <v>67546</v>
      </c>
      <c r="AY68">
        <f>AY24-AY27-AY30-AY33-AY35-'FA 6.7'!CA12</f>
        <v>68953</v>
      </c>
      <c r="AZ68">
        <f>AZ24-AZ27-AZ30-AZ33-AZ35-'FA 6.7'!CB12</f>
        <v>64263</v>
      </c>
      <c r="BA68">
        <f>BA24-BA27-BA30-BA33-BA35-'FA 6.7'!CC12</f>
        <v>47049</v>
      </c>
      <c r="BB68">
        <f>BB24-BB27-BB30-BB33-BB35-'FA 6.7'!CD12</f>
        <v>47794</v>
      </c>
      <c r="BC68">
        <f>BC24-BC27-BC30-BC33-BC35-'FA 6.7'!CE12</f>
        <v>86775</v>
      </c>
      <c r="BD68">
        <f>BD24-BD27-BD30-BD33-BD35-'FA 6.7'!CF12</f>
        <v>117977</v>
      </c>
      <c r="BE68">
        <f>BE24-BE27-BE30-BE33-BE35-'FA 6.7'!CG12</f>
        <v>153972</v>
      </c>
      <c r="BF68">
        <f>BF24-BF27-BF30-BF33-BF35-'FA 6.7'!CH12</f>
        <v>164908</v>
      </c>
      <c r="BG68">
        <f>BG24-BG27-BG30-BG33-BG35-'FA 6.7'!CI12</f>
        <v>167985</v>
      </c>
      <c r="BH68">
        <f>BH24-BH27-BH30-BH33-BH35-'FA 6.7'!CJ12</f>
        <v>161889</v>
      </c>
      <c r="BI68">
        <f>BI24-BI27-BI30-BI33-BI35-'FA 6.7'!CK12</f>
        <v>198195</v>
      </c>
      <c r="BJ68">
        <f>BJ24-BJ27-BJ30-BJ33-BJ35-'FA 6.7'!CL12</f>
        <v>239862</v>
      </c>
      <c r="BK68">
        <f>BK24-BK27-BK30-BK33-BK35-'FA 6.7'!CM12</f>
        <v>231554</v>
      </c>
      <c r="BL68">
        <f>BL24-BL27-BL30-BL33-BL35-'FA 6.7'!CN12</f>
        <v>216241</v>
      </c>
      <c r="BM68">
        <f>BM24-BM27-BM30-BM33-BM35-'FA 6.7'!CO12</f>
        <v>244784</v>
      </c>
      <c r="BN68">
        <f>BN24-BN27-BN30-BN33-BN35-'FA 6.7'!CP12</f>
        <v>227864</v>
      </c>
      <c r="BO68">
        <f>BO24-BO27-BO30-BO33-BO35-'FA 6.7'!CQ12</f>
        <v>228717</v>
      </c>
      <c r="BP68">
        <f>BP24-BP27-BP30-BP33-BP35-'FA 6.7'!CR12</f>
        <v>269627</v>
      </c>
      <c r="BQ68">
        <f>BQ24-BQ27-BQ30-BQ33-BQ35-'FA 6.7'!CS12</f>
        <v>271140</v>
      </c>
      <c r="BR68">
        <f>BR24-BR27-BR30-BR33-BR35-'FA 6.7'!CT12</f>
        <v>285718</v>
      </c>
      <c r="BS68">
        <f>BS24-BS27-BS30-BS33-BS35-'FA 6.7'!CU12</f>
        <v>302151</v>
      </c>
      <c r="BT68">
        <f>BT24-BT27-BT30-BT33-BT35-'FA 6.7'!CV12</f>
        <v>274124</v>
      </c>
      <c r="BU68">
        <f>BU24-BU27-BU30-BU33-BU35-'FA 6.7'!CW12</f>
        <v>234320</v>
      </c>
      <c r="BV68">
        <f>BV24-BV27-BV30-BV33-BV35-'FA 6.7'!CX12</f>
        <v>165820</v>
      </c>
      <c r="BW68">
        <f>BW24-BW27-BW30-BW33-BW35-'FA 6.7'!CY12</f>
        <v>236440</v>
      </c>
      <c r="BX68">
        <f>BX24-BX27-BX30-BX33-BX35-'FA 6.7'!CZ12</f>
        <v>457818</v>
      </c>
      <c r="BY68">
        <f>BY24-BY27-BY30-BY33-BY35-'FA 6.7'!DA12</f>
        <v>506860</v>
      </c>
      <c r="BZ68">
        <f>BZ24-BZ27-BZ30-BZ33-BZ35-'FA 6.7'!DB12</f>
        <v>581288</v>
      </c>
      <c r="CA68">
        <f>CA24-CA27-CA30-CA33-CA35-'FA 6.7'!DC12</f>
        <v>585645</v>
      </c>
      <c r="CB68">
        <f>CB24-CB27-CB30-CB33-CB35-'FA 6.7'!DD12</f>
        <v>645869</v>
      </c>
      <c r="CC68">
        <f>CC24-CC27-CC30-CC33-CC35-'FA 6.7'!DE12</f>
        <v>610721</v>
      </c>
      <c r="CD68">
        <f>CD24-CD27-CD30-CD33-CD35-'FA 6.7'!DF12</f>
        <v>657462</v>
      </c>
      <c r="CE68">
        <f>CE24-CE27-CE30-CE33-CE35-'FA 6.7'!DG12</f>
        <v>796118</v>
      </c>
      <c r="CF68">
        <f>CF24-CF27-CF30-CF33-CF35-'FA 6.7'!DH12</f>
        <v>957640</v>
      </c>
      <c r="CG68">
        <f>CG24-CG27-CG30-CG33-CG35-'FA 6.7'!DI12</f>
        <v>938830</v>
      </c>
      <c r="CH68">
        <f>CH24-CH27-CH30-CH33-CH35-'FA 6.7'!DJ12</f>
        <v>949456</v>
      </c>
      <c r="CI68">
        <f>CI24-CI27-CI30-CI33-CI35-'FA 6.7'!DK12</f>
        <v>996524</v>
      </c>
      <c r="CJ68">
        <f>CJ24-CJ27-CJ30-CJ33-CJ35-'FA 6.7'!DL12</f>
        <v>946741</v>
      </c>
      <c r="CK68">
        <f>CK24-CK27-CK30-CK33-CK35-'FA 6.7'!DM12</f>
        <v>1002948</v>
      </c>
      <c r="CL68">
        <f>CL24-CL27-CL30-CL33-CL35-'FA 6.7'!DN12</f>
        <v>1002111</v>
      </c>
      <c r="CM68">
        <f>CM24-CM27-CM30-CM33-CM35-'FA 6.7'!DO12</f>
        <v>1042612</v>
      </c>
      <c r="CN68">
        <f>CN24-CN27-CN30-CN33-CN35-'FA 6.7'!DP12</f>
        <v>1077902</v>
      </c>
      <c r="CO68">
        <f>CO24-CO27-CO30-CO33-CO35-'FA 6.7'!DQ12</f>
        <v>1170917</v>
      </c>
      <c r="CP68">
        <f>CP24-CP27-CP30-CP33-CP35-'FA 6.7'!DR12</f>
        <v>1349116</v>
      </c>
      <c r="CQ68">
        <f>CQ24-CQ27-CQ30-CQ33-CQ35-'FA 6.7'!DS12</f>
        <v>1718780</v>
      </c>
      <c r="CR68">
        <f>CR24-CR27-CR30-CR33-CR35-'FA 6.7'!DT12</f>
        <v>1664615</v>
      </c>
      <c r="CS68">
        <f>CS24-CS27-CS30-CS33-CS35-'FA 6.7'!DU12</f>
        <v>1704776</v>
      </c>
      <c r="CT68">
        <f>CT24-CT27-CT30-CT33-CT35-'FA 6.7'!DV12</f>
        <v>1729281</v>
      </c>
    </row>
    <row r="69" spans="2:98">
      <c r="B69" t="s">
        <v>1447</v>
      </c>
      <c r="C69">
        <f>C24</f>
        <v>50825</v>
      </c>
      <c r="D69">
        <f t="shared" ref="D69:BO69" si="0">D24</f>
        <v>45259</v>
      </c>
      <c r="E69">
        <f t="shared" si="0"/>
        <v>35431</v>
      </c>
      <c r="F69">
        <f t="shared" si="0"/>
        <v>25721</v>
      </c>
      <c r="G69">
        <f t="shared" si="0"/>
        <v>24976</v>
      </c>
      <c r="H69">
        <f t="shared" si="0"/>
        <v>31484</v>
      </c>
      <c r="I69">
        <f t="shared" si="0"/>
        <v>34931</v>
      </c>
      <c r="J69">
        <f t="shared" si="0"/>
        <v>40184</v>
      </c>
      <c r="K69">
        <f t="shared" si="0"/>
        <v>45751</v>
      </c>
      <c r="L69">
        <f t="shared" si="0"/>
        <v>40242</v>
      </c>
      <c r="M69">
        <f t="shared" si="0"/>
        <v>44443</v>
      </c>
      <c r="N69">
        <f t="shared" si="0"/>
        <v>51078</v>
      </c>
      <c r="O69">
        <f t="shared" si="0"/>
        <v>66680</v>
      </c>
      <c r="P69">
        <f t="shared" si="0"/>
        <v>84033</v>
      </c>
      <c r="Q69">
        <f t="shared" si="0"/>
        <v>99680</v>
      </c>
      <c r="R69">
        <f t="shared" si="0"/>
        <v>103244</v>
      </c>
      <c r="S69">
        <f t="shared" si="0"/>
        <v>96576</v>
      </c>
      <c r="T69">
        <f t="shared" si="0"/>
        <v>100771</v>
      </c>
      <c r="U69">
        <f t="shared" si="0"/>
        <v>122211</v>
      </c>
      <c r="V69">
        <f t="shared" si="0"/>
        <v>140041</v>
      </c>
      <c r="W69">
        <f t="shared" si="0"/>
        <v>136291</v>
      </c>
      <c r="X69">
        <f t="shared" si="0"/>
        <v>154866</v>
      </c>
      <c r="Y69">
        <f t="shared" si="0"/>
        <v>177643</v>
      </c>
      <c r="Z69">
        <f t="shared" si="0"/>
        <v>185883</v>
      </c>
      <c r="AA69">
        <f t="shared" si="0"/>
        <v>199043</v>
      </c>
      <c r="AB69">
        <f t="shared" si="0"/>
        <v>196164</v>
      </c>
      <c r="AC69">
        <f t="shared" si="0"/>
        <v>221376</v>
      </c>
      <c r="AD69">
        <f t="shared" si="0"/>
        <v>237233</v>
      </c>
      <c r="AE69">
        <f t="shared" si="0"/>
        <v>247921</v>
      </c>
      <c r="AF69">
        <f t="shared" si="0"/>
        <v>242248</v>
      </c>
      <c r="AG69">
        <f t="shared" si="0"/>
        <v>271655</v>
      </c>
      <c r="AH69">
        <f t="shared" si="0"/>
        <v>282484</v>
      </c>
      <c r="AI69">
        <f t="shared" si="0"/>
        <v>290423</v>
      </c>
      <c r="AJ69">
        <f t="shared" si="0"/>
        <v>316808</v>
      </c>
      <c r="AK69">
        <f t="shared" si="0"/>
        <v>337829</v>
      </c>
      <c r="AL69">
        <f t="shared" si="0"/>
        <v>364523</v>
      </c>
      <c r="AM69">
        <f t="shared" si="0"/>
        <v>400741</v>
      </c>
      <c r="AN69">
        <f t="shared" si="0"/>
        <v>440080</v>
      </c>
      <c r="AO69">
        <f t="shared" si="0"/>
        <v>463191</v>
      </c>
      <c r="AP69">
        <f t="shared" si="0"/>
        <v>510944</v>
      </c>
      <c r="AQ69">
        <f t="shared" si="0"/>
        <v>554625</v>
      </c>
      <c r="AR69">
        <f t="shared" si="0"/>
        <v>572890</v>
      </c>
      <c r="AS69">
        <f t="shared" si="0"/>
        <v>618097</v>
      </c>
      <c r="AT69">
        <f t="shared" si="0"/>
        <v>685949</v>
      </c>
      <c r="AU69">
        <f t="shared" si="0"/>
        <v>768838</v>
      </c>
      <c r="AV69">
        <f t="shared" si="0"/>
        <v>830040</v>
      </c>
      <c r="AW69">
        <f t="shared" si="0"/>
        <v>898280</v>
      </c>
      <c r="AX69">
        <f t="shared" si="0"/>
        <v>1014666</v>
      </c>
      <c r="AY69">
        <f t="shared" si="0"/>
        <v>1147401</v>
      </c>
      <c r="AZ69">
        <f t="shared" si="0"/>
        <v>1303931</v>
      </c>
      <c r="BA69">
        <f t="shared" si="0"/>
        <v>1450326</v>
      </c>
      <c r="BB69">
        <f t="shared" si="0"/>
        <v>1574527</v>
      </c>
      <c r="BC69">
        <f t="shared" si="0"/>
        <v>1789067</v>
      </c>
      <c r="BD69">
        <f t="shared" si="0"/>
        <v>1854861</v>
      </c>
      <c r="BE69">
        <f t="shared" si="0"/>
        <v>1985899</v>
      </c>
      <c r="BF69">
        <f t="shared" si="0"/>
        <v>2226000</v>
      </c>
      <c r="BG69">
        <f t="shared" si="0"/>
        <v>2369165</v>
      </c>
      <c r="BH69">
        <f t="shared" si="0"/>
        <v>2464907</v>
      </c>
      <c r="BI69">
        <f t="shared" si="0"/>
        <v>2641902</v>
      </c>
      <c r="BJ69">
        <f t="shared" si="0"/>
        <v>2873908</v>
      </c>
      <c r="BK69">
        <f t="shared" si="0"/>
        <v>3020213</v>
      </c>
      <c r="BL69">
        <f t="shared" si="0"/>
        <v>3160697</v>
      </c>
      <c r="BM69">
        <f t="shared" si="0"/>
        <v>3231237</v>
      </c>
      <c r="BN69">
        <f t="shared" si="0"/>
        <v>3376497</v>
      </c>
      <c r="BO69">
        <f t="shared" si="0"/>
        <v>3534936</v>
      </c>
      <c r="BP69">
        <f t="shared" ref="BP69:CT69" si="1">BP24</f>
        <v>3816575</v>
      </c>
      <c r="BQ69">
        <f t="shared" si="1"/>
        <v>4041486</v>
      </c>
      <c r="BR69">
        <f t="shared" si="1"/>
        <v>4296356</v>
      </c>
      <c r="BS69">
        <f t="shared" si="1"/>
        <v>4609353</v>
      </c>
      <c r="BT69">
        <f t="shared" si="1"/>
        <v>4875176</v>
      </c>
      <c r="BU69">
        <f t="shared" si="1"/>
        <v>5168284</v>
      </c>
      <c r="BV69">
        <f t="shared" si="1"/>
        <v>5510787</v>
      </c>
      <c r="BW69">
        <f t="shared" si="1"/>
        <v>5470157</v>
      </c>
      <c r="BX69">
        <f t="shared" si="1"/>
        <v>5543551</v>
      </c>
      <c r="BY69">
        <f t="shared" si="1"/>
        <v>5733743</v>
      </c>
      <c r="BZ69">
        <f t="shared" si="1"/>
        <v>6133641</v>
      </c>
      <c r="CA69">
        <f t="shared" si="1"/>
        <v>6575529</v>
      </c>
      <c r="CB69">
        <f t="shared" si="1"/>
        <v>7021572</v>
      </c>
      <c r="CC69">
        <f t="shared" si="1"/>
        <v>7257367</v>
      </c>
      <c r="CD69">
        <f t="shared" si="1"/>
        <v>7327703</v>
      </c>
      <c r="CE69">
        <f t="shared" si="1"/>
        <v>6904035</v>
      </c>
      <c r="CF69">
        <f t="shared" si="1"/>
        <v>7287190</v>
      </c>
      <c r="CG69">
        <f t="shared" si="1"/>
        <v>7661063</v>
      </c>
      <c r="CH69">
        <f t="shared" si="1"/>
        <v>8110944</v>
      </c>
      <c r="CI69">
        <f t="shared" si="1"/>
        <v>8417763</v>
      </c>
      <c r="CJ69">
        <f t="shared" si="1"/>
        <v>8851699</v>
      </c>
      <c r="CK69">
        <f t="shared" si="1"/>
        <v>9222330</v>
      </c>
      <c r="CL69">
        <f t="shared" si="1"/>
        <v>9346389</v>
      </c>
      <c r="CM69">
        <f t="shared" si="1"/>
        <v>9771449</v>
      </c>
      <c r="CN69">
        <f t="shared" si="1"/>
        <v>10337804</v>
      </c>
      <c r="CO69">
        <f t="shared" si="1"/>
        <v>10799812</v>
      </c>
      <c r="CP69">
        <f t="shared" si="1"/>
        <v>10498662</v>
      </c>
      <c r="CQ69">
        <f t="shared" si="1"/>
        <v>12072724</v>
      </c>
      <c r="CR69">
        <f t="shared" si="1"/>
        <v>13445428</v>
      </c>
      <c r="CS69">
        <f t="shared" si="1"/>
        <v>14163359</v>
      </c>
      <c r="CT69">
        <f t="shared" si="1"/>
        <v>14849197</v>
      </c>
    </row>
    <row r="70" spans="2:98">
      <c r="B70" t="s">
        <v>1846</v>
      </c>
      <c r="C70">
        <f>C68/C69</f>
        <v>0.12783079193310379</v>
      </c>
      <c r="D70">
        <f t="shared" ref="D70:BO70" si="2">D68/D69</f>
        <v>0.13223889171214565</v>
      </c>
      <c r="E70">
        <f t="shared" si="2"/>
        <v>0.11715729163726681</v>
      </c>
      <c r="F70">
        <f t="shared" si="2"/>
        <v>8.3433770071148092E-2</v>
      </c>
      <c r="G70">
        <f t="shared" si="2"/>
        <v>7.1068225496476622E-2</v>
      </c>
      <c r="H70">
        <f t="shared" si="2"/>
        <v>0.12469825943336298</v>
      </c>
      <c r="I70">
        <f t="shared" si="2"/>
        <v>0.13498038991153991</v>
      </c>
      <c r="J70">
        <f t="shared" si="2"/>
        <v>0.13099741190523592</v>
      </c>
      <c r="K70">
        <f t="shared" si="2"/>
        <v>0.11000852440383817</v>
      </c>
      <c r="L70">
        <f t="shared" si="2"/>
        <v>0.11353809452810497</v>
      </c>
      <c r="M70">
        <f t="shared" si="2"/>
        <v>0.11943388160115204</v>
      </c>
      <c r="N70">
        <f t="shared" si="2"/>
        <v>0.11883785582834097</v>
      </c>
      <c r="O70">
        <f t="shared" si="2"/>
        <v>9.09118176364727E-2</v>
      </c>
      <c r="P70">
        <f t="shared" si="2"/>
        <v>0.11246772101436341</v>
      </c>
      <c r="Q70">
        <f t="shared" si="2"/>
        <v>0.11643258426966292</v>
      </c>
      <c r="R70">
        <f t="shared" si="2"/>
        <v>0.10886831196001705</v>
      </c>
      <c r="S70">
        <f t="shared" si="2"/>
        <v>7.1932985420808476E-2</v>
      </c>
      <c r="T70">
        <f t="shared" si="2"/>
        <v>2.362782943505572E-2</v>
      </c>
      <c r="U70">
        <f t="shared" si="2"/>
        <v>3.3352153243161417E-2</v>
      </c>
      <c r="V70">
        <f t="shared" si="2"/>
        <v>6.4231189437379058E-2</v>
      </c>
      <c r="W70">
        <f t="shared" si="2"/>
        <v>8.3490472591733866E-2</v>
      </c>
      <c r="X70">
        <f t="shared" si="2"/>
        <v>6.3435486162230575E-2</v>
      </c>
      <c r="Y70">
        <f t="shared" si="2"/>
        <v>4.4178492819869061E-2</v>
      </c>
      <c r="Z70">
        <f t="shared" si="2"/>
        <v>4.5082121549576887E-2</v>
      </c>
      <c r="AA70">
        <f t="shared" si="2"/>
        <v>3.3666092251423058E-2</v>
      </c>
      <c r="AB70">
        <f t="shared" si="2"/>
        <v>5.1722028506759651E-2</v>
      </c>
      <c r="AC70">
        <f t="shared" si="2"/>
        <v>6.4505637467476146E-2</v>
      </c>
      <c r="AD70">
        <f t="shared" si="2"/>
        <v>3.9475958235152785E-2</v>
      </c>
      <c r="AE70">
        <f t="shared" si="2"/>
        <v>3.6612469294654344E-2</v>
      </c>
      <c r="AF70">
        <f t="shared" si="2"/>
        <v>5.5901390310755916E-2</v>
      </c>
      <c r="AG70">
        <f t="shared" si="2"/>
        <v>6.5034694741491969E-2</v>
      </c>
      <c r="AH70">
        <f t="shared" si="2"/>
        <v>5.3171153056456297E-2</v>
      </c>
      <c r="AI70">
        <f t="shared" si="2"/>
        <v>5.938234919410653E-2</v>
      </c>
      <c r="AJ70">
        <f t="shared" si="2"/>
        <v>6.9449003813035023E-2</v>
      </c>
      <c r="AK70">
        <f t="shared" si="2"/>
        <v>7.5499735073069507E-2</v>
      </c>
      <c r="AL70">
        <f t="shared" si="2"/>
        <v>7.5364243134178097E-2</v>
      </c>
      <c r="AM70">
        <f t="shared" si="2"/>
        <v>7.115069334058656E-2</v>
      </c>
      <c r="AN70">
        <f t="shared" si="2"/>
        <v>6.0829849118342119E-2</v>
      </c>
      <c r="AO70">
        <f t="shared" si="2"/>
        <v>6.2771081476108131E-2</v>
      </c>
      <c r="AP70">
        <f t="shared" si="2"/>
        <v>5.5798678524456691E-2</v>
      </c>
      <c r="AQ70">
        <f t="shared" si="2"/>
        <v>4.2221320712192922E-2</v>
      </c>
      <c r="AR70">
        <f t="shared" si="2"/>
        <v>3.974584998865402E-2</v>
      </c>
      <c r="AS70">
        <f t="shared" si="2"/>
        <v>5.6661009517923563E-2</v>
      </c>
      <c r="AT70">
        <f t="shared" si="2"/>
        <v>5.519943902535028E-2</v>
      </c>
      <c r="AU70">
        <f t="shared" si="2"/>
        <v>4.3939035271409584E-2</v>
      </c>
      <c r="AV70">
        <f t="shared" si="2"/>
        <v>3.0546720639969157E-2</v>
      </c>
      <c r="AW70">
        <f t="shared" si="2"/>
        <v>6.5835819566282233E-2</v>
      </c>
      <c r="AX70">
        <f t="shared" si="2"/>
        <v>6.6569688941976971E-2</v>
      </c>
      <c r="AY70">
        <f t="shared" si="2"/>
        <v>6.0094945010506357E-2</v>
      </c>
      <c r="AZ70">
        <f t="shared" si="2"/>
        <v>4.9284049539431149E-2</v>
      </c>
      <c r="BA70">
        <f t="shared" si="2"/>
        <v>3.2440292734185278E-2</v>
      </c>
      <c r="BB70">
        <f t="shared" si="2"/>
        <v>3.0354512815594779E-2</v>
      </c>
      <c r="BC70">
        <f t="shared" si="2"/>
        <v>4.8502934769910799E-2</v>
      </c>
      <c r="BD70">
        <f t="shared" si="2"/>
        <v>6.3604226947463982E-2</v>
      </c>
      <c r="BE70">
        <f t="shared" si="2"/>
        <v>7.7532643905858248E-2</v>
      </c>
      <c r="BF70">
        <f t="shared" si="2"/>
        <v>7.4082659478885898E-2</v>
      </c>
      <c r="BG70">
        <f t="shared" si="2"/>
        <v>7.0904728037093231E-2</v>
      </c>
      <c r="BH70">
        <f t="shared" si="2"/>
        <v>6.5677528604527469E-2</v>
      </c>
      <c r="BI70">
        <f t="shared" si="2"/>
        <v>7.5019815269453602E-2</v>
      </c>
      <c r="BJ70">
        <f t="shared" si="2"/>
        <v>8.3461961899963397E-2</v>
      </c>
      <c r="BK70">
        <f t="shared" si="2"/>
        <v>7.6668102547734221E-2</v>
      </c>
      <c r="BL70">
        <f t="shared" si="2"/>
        <v>6.8415605798341314E-2</v>
      </c>
      <c r="BM70">
        <f t="shared" si="2"/>
        <v>7.5755507875157405E-2</v>
      </c>
      <c r="BN70">
        <f t="shared" si="2"/>
        <v>6.7485325768096349E-2</v>
      </c>
      <c r="BO70">
        <f t="shared" si="2"/>
        <v>6.4701878619584624E-2</v>
      </c>
      <c r="BP70">
        <f t="shared" ref="BP70:CT70" si="3">BP68/BP69</f>
        <v>7.0646325566771251E-2</v>
      </c>
      <c r="BQ70">
        <f t="shared" si="3"/>
        <v>6.7089184522722584E-2</v>
      </c>
      <c r="BR70">
        <f t="shared" si="3"/>
        <v>6.6502403432117829E-2</v>
      </c>
      <c r="BS70">
        <f t="shared" si="3"/>
        <v>6.5551716260394896E-2</v>
      </c>
      <c r="BT70">
        <f t="shared" si="3"/>
        <v>5.6228534108307061E-2</v>
      </c>
      <c r="BU70">
        <f t="shared" si="3"/>
        <v>4.5338065787406422E-2</v>
      </c>
      <c r="BV70">
        <f t="shared" si="3"/>
        <v>3.0090076063545915E-2</v>
      </c>
      <c r="BW70">
        <f t="shared" si="3"/>
        <v>4.3223622283601729E-2</v>
      </c>
      <c r="BX70">
        <f t="shared" si="3"/>
        <v>8.2585692816752293E-2</v>
      </c>
      <c r="BY70">
        <f t="shared" si="3"/>
        <v>8.8399497501021579E-2</v>
      </c>
      <c r="BZ70">
        <f t="shared" si="3"/>
        <v>9.4770463416427531E-2</v>
      </c>
      <c r="CA70">
        <f t="shared" si="3"/>
        <v>8.9064317106654078E-2</v>
      </c>
      <c r="CB70">
        <f t="shared" si="3"/>
        <v>9.198353303220419E-2</v>
      </c>
      <c r="CC70">
        <f t="shared" si="3"/>
        <v>8.4151869403876089E-2</v>
      </c>
      <c r="CD70">
        <f t="shared" si="3"/>
        <v>8.972279580654402E-2</v>
      </c>
      <c r="CE70">
        <f t="shared" si="3"/>
        <v>0.11531198784478931</v>
      </c>
      <c r="CF70">
        <f t="shared" si="3"/>
        <v>0.1314141665031377</v>
      </c>
      <c r="CG70">
        <f t="shared" si="3"/>
        <v>0.12254565717577312</v>
      </c>
      <c r="CH70">
        <f t="shared" si="3"/>
        <v>0.11705863090658744</v>
      </c>
      <c r="CI70">
        <f t="shared" si="3"/>
        <v>0.11838347076295686</v>
      </c>
      <c r="CJ70">
        <f t="shared" si="3"/>
        <v>0.10695585107446605</v>
      </c>
      <c r="CK70">
        <f t="shared" si="3"/>
        <v>0.1087521266317731</v>
      </c>
      <c r="CL70">
        <f t="shared" si="3"/>
        <v>0.10721905540203816</v>
      </c>
      <c r="CM70">
        <f t="shared" si="3"/>
        <v>0.10669983540823884</v>
      </c>
      <c r="CN70">
        <f t="shared" si="3"/>
        <v>0.10426798573468794</v>
      </c>
      <c r="CO70">
        <f t="shared" si="3"/>
        <v>0.10842012805408094</v>
      </c>
      <c r="CP70">
        <f t="shared" si="3"/>
        <v>0.12850361312708228</v>
      </c>
      <c r="CQ70">
        <f t="shared" si="3"/>
        <v>0.14236886389517395</v>
      </c>
      <c r="CR70">
        <f t="shared" si="3"/>
        <v>0.12380528161691841</v>
      </c>
      <c r="CS70">
        <f t="shared" si="3"/>
        <v>0.12036523256947734</v>
      </c>
      <c r="CT70">
        <f t="shared" si="3"/>
        <v>0.11645619625088144</v>
      </c>
    </row>
  </sheetData>
  <mergeCells count="11">
    <mergeCell ref="A56:CV56"/>
    <mergeCell ref="A1:CU1"/>
    <mergeCell ref="A2:CU2"/>
    <mergeCell ref="A3:CU3"/>
    <mergeCell ref="A4:CU4"/>
    <mergeCell ref="A55:CV55"/>
    <mergeCell ref="A57:CV57"/>
    <mergeCell ref="A58:CV58"/>
    <mergeCell ref="A59:CV59"/>
    <mergeCell ref="A60:CV60"/>
    <mergeCell ref="A61:CV6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CBBAF-1A15-2045-A8BE-9538F3F0666F}">
  <dimension ref="A1:CX22"/>
  <sheetViews>
    <sheetView workbookViewId="0">
      <selection activeCell="AA33" sqref="AA33"/>
    </sheetView>
  </sheetViews>
  <sheetFormatPr baseColWidth="10" defaultColWidth="11.5" defaultRowHeight="16"/>
  <sheetData>
    <row r="1" spans="1:102" ht="19">
      <c r="A1" s="53" t="s">
        <v>1092</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row>
    <row r="2" spans="1:102" ht="17">
      <c r="A2" s="54" t="s">
        <v>1093</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2"/>
      <c r="CS2" s="52"/>
      <c r="CT2" s="52"/>
      <c r="CU2" s="52"/>
      <c r="CV2" s="52"/>
      <c r="CW2" s="52"/>
      <c r="CX2" s="52"/>
    </row>
    <row r="3" spans="1:102">
      <c r="A3" s="52" t="s">
        <v>992</v>
      </c>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2"/>
      <c r="CS3" s="52"/>
      <c r="CT3" s="52"/>
      <c r="CU3" s="52"/>
      <c r="CV3" s="52"/>
      <c r="CW3" s="52"/>
      <c r="CX3" s="52"/>
    </row>
    <row r="4" spans="1:102">
      <c r="A4" s="52" t="s">
        <v>1094</v>
      </c>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c r="CV4" s="52"/>
      <c r="CW4" s="52"/>
      <c r="CX4" s="52"/>
    </row>
    <row r="6" spans="1:102">
      <c r="A6" s="11" t="s">
        <v>994</v>
      </c>
      <c r="B6" s="11" t="s">
        <v>97</v>
      </c>
      <c r="C6" s="11" t="s">
        <v>1095</v>
      </c>
      <c r="D6" s="11" t="s">
        <v>1096</v>
      </c>
      <c r="E6" s="11" t="s">
        <v>1097</v>
      </c>
      <c r="F6" s="11" t="s">
        <v>1098</v>
      </c>
      <c r="G6" s="11" t="s">
        <v>995</v>
      </c>
      <c r="H6" s="11" t="s">
        <v>996</v>
      </c>
      <c r="I6" s="11" t="s">
        <v>997</v>
      </c>
      <c r="J6" s="11" t="s">
        <v>998</v>
      </c>
      <c r="K6" s="11" t="s">
        <v>999</v>
      </c>
      <c r="L6" s="11" t="s">
        <v>1000</v>
      </c>
      <c r="M6" s="11" t="s">
        <v>1001</v>
      </c>
      <c r="N6" s="11" t="s">
        <v>1002</v>
      </c>
      <c r="O6" s="11" t="s">
        <v>1003</v>
      </c>
      <c r="P6" s="11" t="s">
        <v>1004</v>
      </c>
      <c r="Q6" s="11" t="s">
        <v>1005</v>
      </c>
      <c r="R6" s="11" t="s">
        <v>1006</v>
      </c>
      <c r="S6" s="11" t="s">
        <v>1007</v>
      </c>
      <c r="T6" s="11" t="s">
        <v>1008</v>
      </c>
      <c r="U6" s="11" t="s">
        <v>1009</v>
      </c>
      <c r="V6" s="11" t="s">
        <v>1010</v>
      </c>
      <c r="W6" s="11" t="s">
        <v>7</v>
      </c>
      <c r="X6" s="11" t="s">
        <v>8</v>
      </c>
      <c r="Y6" s="11" t="s">
        <v>9</v>
      </c>
      <c r="Z6" s="11" t="s">
        <v>10</v>
      </c>
      <c r="AA6" s="11" t="s">
        <v>11</v>
      </c>
      <c r="AB6" s="11" t="s">
        <v>12</v>
      </c>
      <c r="AC6" s="11" t="s">
        <v>13</v>
      </c>
      <c r="AD6" s="11" t="s">
        <v>14</v>
      </c>
      <c r="AE6" s="11" t="s">
        <v>15</v>
      </c>
      <c r="AF6" s="11" t="s">
        <v>16</v>
      </c>
      <c r="AG6" s="11" t="s">
        <v>17</v>
      </c>
      <c r="AH6" s="11" t="s">
        <v>18</v>
      </c>
      <c r="AI6" s="11" t="s">
        <v>19</v>
      </c>
      <c r="AJ6" s="11" t="s">
        <v>20</v>
      </c>
      <c r="AK6" s="11" t="s">
        <v>21</v>
      </c>
      <c r="AL6" s="11" t="s">
        <v>22</v>
      </c>
      <c r="AM6" s="11" t="s">
        <v>23</v>
      </c>
      <c r="AN6" s="11" t="s">
        <v>24</v>
      </c>
      <c r="AO6" s="11" t="s">
        <v>25</v>
      </c>
      <c r="AP6" s="11" t="s">
        <v>26</v>
      </c>
      <c r="AQ6" s="11" t="s">
        <v>27</v>
      </c>
      <c r="AR6" s="11" t="s">
        <v>28</v>
      </c>
      <c r="AS6" s="11" t="s">
        <v>29</v>
      </c>
      <c r="AT6" s="11" t="s">
        <v>30</v>
      </c>
      <c r="AU6" s="11" t="s">
        <v>31</v>
      </c>
      <c r="AV6" s="11" t="s">
        <v>32</v>
      </c>
      <c r="AW6" s="11" t="s">
        <v>33</v>
      </c>
      <c r="AX6" s="11" t="s">
        <v>34</v>
      </c>
      <c r="AY6" s="11" t="s">
        <v>35</v>
      </c>
      <c r="AZ6" s="11" t="s">
        <v>36</v>
      </c>
      <c r="BA6" s="11" t="s">
        <v>37</v>
      </c>
      <c r="BB6" s="11" t="s">
        <v>38</v>
      </c>
      <c r="BC6" s="11" t="s">
        <v>39</v>
      </c>
      <c r="BD6" s="11" t="s">
        <v>40</v>
      </c>
      <c r="BE6" s="11" t="s">
        <v>41</v>
      </c>
      <c r="BF6" s="11" t="s">
        <v>42</v>
      </c>
      <c r="BG6" s="11" t="s">
        <v>43</v>
      </c>
      <c r="BH6" s="11" t="s">
        <v>44</v>
      </c>
      <c r="BI6" s="11" t="s">
        <v>45</v>
      </c>
      <c r="BJ6" s="11" t="s">
        <v>46</v>
      </c>
      <c r="BK6" s="11" t="s">
        <v>47</v>
      </c>
      <c r="BL6" s="11" t="s">
        <v>48</v>
      </c>
      <c r="BM6" s="11" t="s">
        <v>49</v>
      </c>
      <c r="BN6" s="11" t="s">
        <v>50</v>
      </c>
      <c r="BO6" s="11" t="s">
        <v>51</v>
      </c>
      <c r="BP6" s="11" t="s">
        <v>52</v>
      </c>
      <c r="BQ6" s="11" t="s">
        <v>53</v>
      </c>
      <c r="BR6" s="11" t="s">
        <v>54</v>
      </c>
      <c r="BS6" s="11" t="s">
        <v>55</v>
      </c>
      <c r="BT6" s="11" t="s">
        <v>56</v>
      </c>
      <c r="BU6" s="11" t="s">
        <v>57</v>
      </c>
      <c r="BV6" s="11" t="s">
        <v>58</v>
      </c>
      <c r="BW6" s="11" t="s">
        <v>59</v>
      </c>
      <c r="BX6" s="11" t="s">
        <v>60</v>
      </c>
      <c r="BY6" s="11" t="s">
        <v>61</v>
      </c>
      <c r="BZ6" s="11" t="s">
        <v>62</v>
      </c>
      <c r="CA6" s="11" t="s">
        <v>63</v>
      </c>
      <c r="CB6" s="11" t="s">
        <v>64</v>
      </c>
      <c r="CC6" s="11" t="s">
        <v>65</v>
      </c>
      <c r="CD6" s="11" t="s">
        <v>66</v>
      </c>
      <c r="CE6" s="11" t="s">
        <v>67</v>
      </c>
      <c r="CF6" s="11" t="s">
        <v>68</v>
      </c>
      <c r="CG6" s="11" t="s">
        <v>69</v>
      </c>
      <c r="CH6" s="11" t="s">
        <v>70</v>
      </c>
      <c r="CI6" s="11" t="s">
        <v>71</v>
      </c>
      <c r="CJ6" s="11" t="s">
        <v>72</v>
      </c>
      <c r="CK6" s="11" t="s">
        <v>73</v>
      </c>
      <c r="CL6" s="11" t="s">
        <v>74</v>
      </c>
      <c r="CM6" s="11" t="s">
        <v>75</v>
      </c>
      <c r="CN6" s="11" t="s">
        <v>76</v>
      </c>
      <c r="CO6" s="11" t="s">
        <v>77</v>
      </c>
      <c r="CP6" s="11" t="s">
        <v>78</v>
      </c>
      <c r="CQ6" s="11" t="s">
        <v>79</v>
      </c>
      <c r="CR6" s="11" t="s">
        <v>80</v>
      </c>
      <c r="CS6" s="11" t="s">
        <v>81</v>
      </c>
      <c r="CT6" s="11" t="s">
        <v>82</v>
      </c>
      <c r="CU6" s="11" t="s">
        <v>83</v>
      </c>
      <c r="CV6" s="11" t="s">
        <v>84</v>
      </c>
      <c r="CW6" s="11" t="s">
        <v>85</v>
      </c>
      <c r="CX6" s="11" t="s">
        <v>86</v>
      </c>
    </row>
    <row r="7" spans="1:102">
      <c r="A7" t="s">
        <v>97</v>
      </c>
      <c r="B7" t="s">
        <v>97</v>
      </c>
      <c r="C7" t="s">
        <v>97</v>
      </c>
      <c r="D7" t="s">
        <v>97</v>
      </c>
      <c r="E7" t="s">
        <v>97</v>
      </c>
      <c r="F7" t="s">
        <v>97</v>
      </c>
      <c r="G7" t="s">
        <v>97</v>
      </c>
      <c r="H7" t="s">
        <v>97</v>
      </c>
      <c r="I7" t="s">
        <v>97</v>
      </c>
      <c r="J7" t="s">
        <v>97</v>
      </c>
      <c r="K7" t="s">
        <v>97</v>
      </c>
      <c r="L7" t="s">
        <v>97</v>
      </c>
      <c r="M7" t="s">
        <v>97</v>
      </c>
      <c r="N7" t="s">
        <v>97</v>
      </c>
      <c r="O7" t="s">
        <v>97</v>
      </c>
      <c r="P7" t="s">
        <v>97</v>
      </c>
      <c r="Q7" t="s">
        <v>97</v>
      </c>
      <c r="R7" t="s">
        <v>97</v>
      </c>
      <c r="S7" t="s">
        <v>97</v>
      </c>
      <c r="T7" t="s">
        <v>97</v>
      </c>
      <c r="U7" t="s">
        <v>97</v>
      </c>
      <c r="V7" t="s">
        <v>97</v>
      </c>
      <c r="W7" t="s">
        <v>97</v>
      </c>
      <c r="X7" t="s">
        <v>97</v>
      </c>
      <c r="Y7" t="s">
        <v>97</v>
      </c>
      <c r="Z7" t="s">
        <v>97</v>
      </c>
      <c r="AA7" t="s">
        <v>97</v>
      </c>
      <c r="AB7" t="s">
        <v>97</v>
      </c>
      <c r="AC7" t="s">
        <v>97</v>
      </c>
      <c r="AD7" t="s">
        <v>97</v>
      </c>
      <c r="AE7" t="s">
        <v>97</v>
      </c>
      <c r="AF7" t="s">
        <v>97</v>
      </c>
      <c r="AG7" t="s">
        <v>97</v>
      </c>
      <c r="AH7" t="s">
        <v>97</v>
      </c>
      <c r="AI7" t="s">
        <v>97</v>
      </c>
      <c r="AJ7" t="s">
        <v>97</v>
      </c>
      <c r="AK7" t="s">
        <v>97</v>
      </c>
      <c r="AL7" t="s">
        <v>97</v>
      </c>
      <c r="AM7" t="s">
        <v>97</v>
      </c>
      <c r="AN7" t="s">
        <v>97</v>
      </c>
      <c r="AO7" t="s">
        <v>97</v>
      </c>
      <c r="AP7" t="s">
        <v>97</v>
      </c>
      <c r="AQ7" t="s">
        <v>97</v>
      </c>
      <c r="AR7" t="s">
        <v>97</v>
      </c>
      <c r="AS7" t="s">
        <v>97</v>
      </c>
      <c r="AT7" t="s">
        <v>97</v>
      </c>
      <c r="AU7" t="s">
        <v>97</v>
      </c>
      <c r="AV7" t="s">
        <v>97</v>
      </c>
      <c r="AW7" t="s">
        <v>97</v>
      </c>
      <c r="AX7" t="s">
        <v>97</v>
      </c>
      <c r="AY7" t="s">
        <v>97</v>
      </c>
      <c r="AZ7" t="s">
        <v>97</v>
      </c>
      <c r="BA7" t="s">
        <v>97</v>
      </c>
      <c r="BB7" t="s">
        <v>97</v>
      </c>
      <c r="BC7" t="s">
        <v>97</v>
      </c>
      <c r="BD7" t="s">
        <v>97</v>
      </c>
      <c r="BE7" t="s">
        <v>97</v>
      </c>
      <c r="BF7" t="s">
        <v>97</v>
      </c>
      <c r="BG7" t="s">
        <v>97</v>
      </c>
      <c r="BH7" t="s">
        <v>97</v>
      </c>
      <c r="BI7" t="s">
        <v>97</v>
      </c>
      <c r="BJ7" t="s">
        <v>97</v>
      </c>
      <c r="BK7" t="s">
        <v>97</v>
      </c>
      <c r="BL7" t="s">
        <v>97</v>
      </c>
      <c r="BM7" t="s">
        <v>97</v>
      </c>
      <c r="BN7" t="s">
        <v>97</v>
      </c>
      <c r="BO7" t="s">
        <v>97</v>
      </c>
      <c r="BP7" t="s">
        <v>97</v>
      </c>
      <c r="BQ7" t="s">
        <v>97</v>
      </c>
      <c r="BR7" t="s">
        <v>97</v>
      </c>
      <c r="BS7" t="s">
        <v>97</v>
      </c>
      <c r="BT7" t="s">
        <v>97</v>
      </c>
      <c r="BU7" t="s">
        <v>97</v>
      </c>
      <c r="BV7" t="s">
        <v>97</v>
      </c>
      <c r="BW7" t="s">
        <v>97</v>
      </c>
      <c r="BX7" t="s">
        <v>97</v>
      </c>
      <c r="BY7" t="s">
        <v>97</v>
      </c>
      <c r="BZ7" t="s">
        <v>97</v>
      </c>
      <c r="CA7" t="s">
        <v>97</v>
      </c>
      <c r="CB7" t="s">
        <v>97</v>
      </c>
      <c r="CC7" t="s">
        <v>97</v>
      </c>
      <c r="CD7" t="s">
        <v>97</v>
      </c>
      <c r="CE7" t="s">
        <v>97</v>
      </c>
      <c r="CF7" t="s">
        <v>97</v>
      </c>
      <c r="CG7" t="s">
        <v>97</v>
      </c>
      <c r="CH7" t="s">
        <v>97</v>
      </c>
      <c r="CI7" t="s">
        <v>97</v>
      </c>
      <c r="CJ7" t="s">
        <v>97</v>
      </c>
      <c r="CK7" t="s">
        <v>97</v>
      </c>
      <c r="CL7" t="s">
        <v>97</v>
      </c>
      <c r="CM7" t="s">
        <v>97</v>
      </c>
      <c r="CN7" t="s">
        <v>97</v>
      </c>
      <c r="CO7" t="s">
        <v>97</v>
      </c>
      <c r="CP7" t="s">
        <v>97</v>
      </c>
      <c r="CQ7" t="s">
        <v>97</v>
      </c>
      <c r="CR7" t="s">
        <v>97</v>
      </c>
      <c r="CS7" t="s">
        <v>97</v>
      </c>
      <c r="CT7" t="s">
        <v>97</v>
      </c>
      <c r="CU7" t="s">
        <v>97</v>
      </c>
      <c r="CV7" t="s">
        <v>97</v>
      </c>
      <c r="CW7" t="s">
        <v>97</v>
      </c>
      <c r="CX7" t="s">
        <v>97</v>
      </c>
    </row>
    <row r="8" spans="1:102">
      <c r="A8" t="s">
        <v>1012</v>
      </c>
      <c r="B8" s="12" t="s">
        <v>1099</v>
      </c>
      <c r="C8" s="12">
        <v>223353</v>
      </c>
      <c r="D8" s="12">
        <v>231574</v>
      </c>
      <c r="E8" s="12">
        <v>236861</v>
      </c>
      <c r="F8" s="12">
        <v>248565</v>
      </c>
      <c r="G8" s="12">
        <v>251681</v>
      </c>
      <c r="H8" s="12">
        <v>239391</v>
      </c>
      <c r="I8" s="12">
        <v>205434</v>
      </c>
      <c r="J8" s="12">
        <v>187564</v>
      </c>
      <c r="K8" s="12">
        <v>196468</v>
      </c>
      <c r="L8" s="12">
        <v>198572</v>
      </c>
      <c r="M8" s="12">
        <v>199534</v>
      </c>
      <c r="N8" s="12">
        <v>220420</v>
      </c>
      <c r="O8" s="12">
        <v>231723</v>
      </c>
      <c r="P8" s="12">
        <v>231970</v>
      </c>
      <c r="Q8" s="12">
        <v>235616</v>
      </c>
      <c r="R8" s="12">
        <v>254421</v>
      </c>
      <c r="S8" s="12">
        <v>282829</v>
      </c>
      <c r="T8" s="12">
        <v>302339</v>
      </c>
      <c r="U8" s="12">
        <v>317093</v>
      </c>
      <c r="V8" s="12">
        <v>329330</v>
      </c>
      <c r="W8" s="12">
        <v>353016</v>
      </c>
      <c r="X8" s="12">
        <v>433994</v>
      </c>
      <c r="Y8" s="12">
        <v>516636</v>
      </c>
      <c r="Z8" s="12">
        <v>562155</v>
      </c>
      <c r="AA8" s="12">
        <v>581107</v>
      </c>
      <c r="AB8" s="12">
        <v>655791</v>
      </c>
      <c r="AC8" s="12">
        <v>713905</v>
      </c>
      <c r="AD8" s="12">
        <v>751932</v>
      </c>
      <c r="AE8" s="12">
        <v>783259</v>
      </c>
      <c r="AF8" s="12">
        <v>815219</v>
      </c>
      <c r="AG8" s="12">
        <v>888797</v>
      </c>
      <c r="AH8" s="12">
        <v>958480</v>
      </c>
      <c r="AI8" s="12">
        <v>1008901</v>
      </c>
      <c r="AJ8" s="12">
        <v>1034000</v>
      </c>
      <c r="AK8" s="12">
        <v>1078066</v>
      </c>
      <c r="AL8" s="12">
        <v>1110974</v>
      </c>
      <c r="AM8" s="12">
        <v>1147643</v>
      </c>
      <c r="AN8" s="12">
        <v>1190386</v>
      </c>
      <c r="AO8" s="12">
        <v>1228733</v>
      </c>
      <c r="AP8" s="12">
        <v>1313939</v>
      </c>
      <c r="AQ8" s="12">
        <v>1402886</v>
      </c>
      <c r="AR8" s="12">
        <v>1522082</v>
      </c>
      <c r="AS8" s="12">
        <v>1636531</v>
      </c>
      <c r="AT8" s="12">
        <v>1804747</v>
      </c>
      <c r="AU8" s="12">
        <v>1962901</v>
      </c>
      <c r="AV8" s="12">
        <v>2120971</v>
      </c>
      <c r="AW8" s="12">
        <v>2352693</v>
      </c>
      <c r="AX8" s="12">
        <v>2593933</v>
      </c>
      <c r="AY8" s="12">
        <v>2947079</v>
      </c>
      <c r="AZ8" s="12">
        <v>3468501</v>
      </c>
      <c r="BA8" s="12">
        <v>3786126</v>
      </c>
      <c r="BB8" s="12">
        <v>4168964</v>
      </c>
      <c r="BC8" s="12">
        <v>4735809</v>
      </c>
      <c r="BD8" s="12">
        <v>5412663</v>
      </c>
      <c r="BE8" s="12">
        <v>6264478</v>
      </c>
      <c r="BF8" s="12">
        <v>7117861</v>
      </c>
      <c r="BG8" s="12">
        <v>7860432</v>
      </c>
      <c r="BH8" s="12">
        <v>8297204</v>
      </c>
      <c r="BI8" s="12">
        <v>8599570</v>
      </c>
      <c r="BJ8" s="12">
        <v>9112473</v>
      </c>
      <c r="BK8" s="12">
        <v>9619035</v>
      </c>
      <c r="BL8" s="12">
        <v>10230761</v>
      </c>
      <c r="BM8" s="12">
        <v>10843464</v>
      </c>
      <c r="BN8" s="12">
        <v>11536165</v>
      </c>
      <c r="BO8" s="12">
        <v>12203075</v>
      </c>
      <c r="BP8" s="12">
        <v>12773557</v>
      </c>
      <c r="BQ8" s="12">
        <v>13058846</v>
      </c>
      <c r="BR8" s="12">
        <v>13609239</v>
      </c>
      <c r="BS8" s="12">
        <v>14321803</v>
      </c>
      <c r="BT8" s="12">
        <v>15203006</v>
      </c>
      <c r="BU8" s="12">
        <v>15951511</v>
      </c>
      <c r="BV8" s="12">
        <v>16767551</v>
      </c>
      <c r="BW8" s="12">
        <v>17703444</v>
      </c>
      <c r="BX8" s="12">
        <v>18775357</v>
      </c>
      <c r="BY8" s="12">
        <v>20026897</v>
      </c>
      <c r="BZ8" s="12">
        <v>21418042</v>
      </c>
      <c r="CA8" s="12">
        <v>22706389</v>
      </c>
      <c r="CB8" s="12">
        <v>23838715</v>
      </c>
      <c r="CC8" s="12">
        <v>25199215</v>
      </c>
      <c r="CD8" s="12">
        <v>27736825</v>
      </c>
      <c r="CE8" s="12">
        <v>30579829</v>
      </c>
      <c r="CF8" s="12">
        <v>32899164</v>
      </c>
      <c r="CG8" s="12">
        <v>34054828</v>
      </c>
      <c r="CH8" s="12">
        <v>34883695</v>
      </c>
      <c r="CI8" s="12">
        <v>33991830</v>
      </c>
      <c r="CJ8" s="12">
        <v>34464729</v>
      </c>
      <c r="CK8" s="12">
        <v>35442108</v>
      </c>
      <c r="CL8" s="12">
        <v>36554177</v>
      </c>
      <c r="CM8" s="12">
        <v>38535411</v>
      </c>
      <c r="CN8" s="12">
        <v>40336033</v>
      </c>
      <c r="CO8" s="12">
        <v>41462448</v>
      </c>
      <c r="CP8" s="12">
        <v>43394946</v>
      </c>
      <c r="CQ8" s="12">
        <v>45255386</v>
      </c>
      <c r="CR8" s="12">
        <v>47621638</v>
      </c>
      <c r="CS8" s="12">
        <v>49625450</v>
      </c>
      <c r="CT8" s="12">
        <v>51901186</v>
      </c>
      <c r="CU8" s="12">
        <v>59239637</v>
      </c>
      <c r="CV8" s="12">
        <v>66311551</v>
      </c>
      <c r="CW8" s="12">
        <v>68014626</v>
      </c>
      <c r="CX8" s="12">
        <v>70276521</v>
      </c>
    </row>
    <row r="9" spans="1:102">
      <c r="A9" t="s">
        <v>97</v>
      </c>
      <c r="B9" s="12" t="s">
        <v>1100</v>
      </c>
      <c r="C9" s="12" t="s">
        <v>97</v>
      </c>
      <c r="D9" s="12" t="s">
        <v>97</v>
      </c>
      <c r="E9" s="12" t="s">
        <v>97</v>
      </c>
      <c r="F9" s="12" t="s">
        <v>97</v>
      </c>
      <c r="G9" s="12" t="s">
        <v>97</v>
      </c>
      <c r="H9" s="12" t="s">
        <v>97</v>
      </c>
      <c r="I9" s="12" t="s">
        <v>97</v>
      </c>
      <c r="J9" s="12" t="s">
        <v>97</v>
      </c>
      <c r="K9" s="12" t="s">
        <v>97</v>
      </c>
      <c r="L9" s="12" t="s">
        <v>97</v>
      </c>
      <c r="M9" s="12" t="s">
        <v>97</v>
      </c>
      <c r="N9" s="12" t="s">
        <v>97</v>
      </c>
      <c r="O9" s="12" t="s">
        <v>97</v>
      </c>
      <c r="P9" s="12" t="s">
        <v>97</v>
      </c>
      <c r="Q9" s="12" t="s">
        <v>97</v>
      </c>
      <c r="R9" s="12" t="s">
        <v>97</v>
      </c>
      <c r="S9" s="12" t="s">
        <v>97</v>
      </c>
      <c r="T9" s="12" t="s">
        <v>97</v>
      </c>
      <c r="U9" s="12" t="s">
        <v>97</v>
      </c>
      <c r="V9" s="12" t="s">
        <v>97</v>
      </c>
      <c r="W9" s="12" t="s">
        <v>97</v>
      </c>
      <c r="X9" s="12" t="s">
        <v>97</v>
      </c>
      <c r="Y9" s="12" t="s">
        <v>97</v>
      </c>
      <c r="Z9" s="12" t="s">
        <v>97</v>
      </c>
      <c r="AA9" s="12" t="s">
        <v>97</v>
      </c>
      <c r="AB9" s="12" t="s">
        <v>97</v>
      </c>
      <c r="AC9" s="12" t="s">
        <v>97</v>
      </c>
      <c r="AD9" s="12" t="s">
        <v>97</v>
      </c>
      <c r="AE9" s="12" t="s">
        <v>97</v>
      </c>
      <c r="AF9" s="12" t="s">
        <v>97</v>
      </c>
      <c r="AG9" s="12" t="s">
        <v>97</v>
      </c>
      <c r="AH9" s="12" t="s">
        <v>97</v>
      </c>
      <c r="AI9" s="12" t="s">
        <v>97</v>
      </c>
      <c r="AJ9" s="12" t="s">
        <v>97</v>
      </c>
      <c r="AK9" s="12" t="s">
        <v>97</v>
      </c>
      <c r="AL9" s="12" t="s">
        <v>97</v>
      </c>
      <c r="AM9" s="12" t="s">
        <v>97</v>
      </c>
      <c r="AN9" s="12" t="s">
        <v>97</v>
      </c>
      <c r="AO9" s="12" t="s">
        <v>97</v>
      </c>
      <c r="AP9" s="12" t="s">
        <v>97</v>
      </c>
      <c r="AQ9" s="12" t="s">
        <v>97</v>
      </c>
      <c r="AR9" s="12" t="s">
        <v>97</v>
      </c>
      <c r="AS9" s="12" t="s">
        <v>97</v>
      </c>
      <c r="AT9" s="12" t="s">
        <v>97</v>
      </c>
      <c r="AU9" s="12" t="s">
        <v>97</v>
      </c>
      <c r="AV9" s="12" t="s">
        <v>97</v>
      </c>
      <c r="AW9" s="12" t="s">
        <v>97</v>
      </c>
      <c r="AX9" s="12" t="s">
        <v>97</v>
      </c>
      <c r="AY9" s="12" t="s">
        <v>97</v>
      </c>
      <c r="AZ9" s="12" t="s">
        <v>97</v>
      </c>
      <c r="BA9" s="12" t="s">
        <v>97</v>
      </c>
      <c r="BB9" s="12" t="s">
        <v>97</v>
      </c>
      <c r="BC9" s="12" t="s">
        <v>97</v>
      </c>
      <c r="BD9" s="12" t="s">
        <v>97</v>
      </c>
      <c r="BE9" s="12" t="s">
        <v>97</v>
      </c>
      <c r="BF9" s="12" t="s">
        <v>97</v>
      </c>
      <c r="BG9" s="12" t="s">
        <v>97</v>
      </c>
      <c r="BH9" s="12" t="s">
        <v>97</v>
      </c>
      <c r="BI9" s="12" t="s">
        <v>97</v>
      </c>
      <c r="BJ9" s="12" t="s">
        <v>97</v>
      </c>
      <c r="BK9" s="12" t="s">
        <v>97</v>
      </c>
      <c r="BL9" s="12" t="s">
        <v>97</v>
      </c>
      <c r="BM9" s="12" t="s">
        <v>97</v>
      </c>
      <c r="BN9" s="12" t="s">
        <v>97</v>
      </c>
      <c r="BO9" s="12" t="s">
        <v>97</v>
      </c>
      <c r="BP9" s="12" t="s">
        <v>97</v>
      </c>
      <c r="BQ9" s="12" t="s">
        <v>97</v>
      </c>
      <c r="BR9" s="12" t="s">
        <v>97</v>
      </c>
      <c r="BS9" s="12" t="s">
        <v>97</v>
      </c>
      <c r="BT9" s="12" t="s">
        <v>97</v>
      </c>
      <c r="BU9" s="12" t="s">
        <v>97</v>
      </c>
      <c r="BV9" s="12" t="s">
        <v>97</v>
      </c>
      <c r="BW9" s="12" t="s">
        <v>97</v>
      </c>
      <c r="BX9" s="12" t="s">
        <v>97</v>
      </c>
      <c r="BY9" s="12" t="s">
        <v>97</v>
      </c>
      <c r="BZ9" s="12" t="s">
        <v>97</v>
      </c>
      <c r="CA9" s="12" t="s">
        <v>97</v>
      </c>
      <c r="CB9" s="12" t="s">
        <v>97</v>
      </c>
      <c r="CC9" s="12" t="s">
        <v>97</v>
      </c>
      <c r="CD9" s="12" t="s">
        <v>97</v>
      </c>
      <c r="CE9" s="12" t="s">
        <v>97</v>
      </c>
      <c r="CF9" s="12" t="s">
        <v>97</v>
      </c>
      <c r="CG9" s="12" t="s">
        <v>97</v>
      </c>
      <c r="CH9" s="12" t="s">
        <v>97</v>
      </c>
      <c r="CI9" s="12" t="s">
        <v>97</v>
      </c>
      <c r="CJ9" s="12" t="s">
        <v>97</v>
      </c>
      <c r="CK9" s="12" t="s">
        <v>97</v>
      </c>
      <c r="CL9" s="12" t="s">
        <v>97</v>
      </c>
      <c r="CM9" s="12" t="s">
        <v>97</v>
      </c>
      <c r="CN9" s="12" t="s">
        <v>97</v>
      </c>
      <c r="CO9" s="12" t="s">
        <v>97</v>
      </c>
      <c r="CP9" s="12" t="s">
        <v>97</v>
      </c>
      <c r="CQ9" s="12" t="s">
        <v>97</v>
      </c>
      <c r="CR9" s="12" t="s">
        <v>97</v>
      </c>
      <c r="CS9" s="12" t="s">
        <v>97</v>
      </c>
      <c r="CT9" s="12" t="s">
        <v>97</v>
      </c>
      <c r="CU9" s="12" t="s">
        <v>97</v>
      </c>
      <c r="CV9" s="12" t="s">
        <v>97</v>
      </c>
      <c r="CW9" s="12" t="s">
        <v>97</v>
      </c>
      <c r="CX9" s="12" t="s">
        <v>97</v>
      </c>
    </row>
    <row r="10" spans="1:102">
      <c r="A10" t="s">
        <v>1015</v>
      </c>
      <c r="B10" s="12" t="s">
        <v>1101</v>
      </c>
      <c r="C10" s="12">
        <v>100112</v>
      </c>
      <c r="D10" s="12">
        <v>103072</v>
      </c>
      <c r="E10" s="12">
        <v>104569</v>
      </c>
      <c r="F10" s="12">
        <v>106916</v>
      </c>
      <c r="G10" s="12">
        <v>106016</v>
      </c>
      <c r="H10" s="12">
        <v>100962</v>
      </c>
      <c r="I10" s="12">
        <v>90747</v>
      </c>
      <c r="J10" s="12">
        <v>84747</v>
      </c>
      <c r="K10" s="12">
        <v>85527</v>
      </c>
      <c r="L10" s="12">
        <v>86754</v>
      </c>
      <c r="M10" s="12">
        <v>86308</v>
      </c>
      <c r="N10" s="12">
        <v>94927</v>
      </c>
      <c r="O10" s="12">
        <v>98381</v>
      </c>
      <c r="P10" s="12">
        <v>97249</v>
      </c>
      <c r="Q10" s="12">
        <v>97933</v>
      </c>
      <c r="R10" s="12">
        <v>104103</v>
      </c>
      <c r="S10" s="12">
        <v>116896</v>
      </c>
      <c r="T10" s="12">
        <v>124270</v>
      </c>
      <c r="U10" s="12">
        <v>125280</v>
      </c>
      <c r="V10" s="12">
        <v>126747</v>
      </c>
      <c r="W10" s="12">
        <v>138239</v>
      </c>
      <c r="X10" s="12">
        <v>167109</v>
      </c>
      <c r="Y10" s="12">
        <v>199192</v>
      </c>
      <c r="Z10" s="12">
        <v>218012</v>
      </c>
      <c r="AA10" s="12">
        <v>222118</v>
      </c>
      <c r="AB10" s="12">
        <v>249086</v>
      </c>
      <c r="AC10" s="12">
        <v>270446</v>
      </c>
      <c r="AD10" s="12">
        <v>286492</v>
      </c>
      <c r="AE10" s="12">
        <v>301404</v>
      </c>
      <c r="AF10" s="12">
        <v>310857</v>
      </c>
      <c r="AG10" s="12">
        <v>342231</v>
      </c>
      <c r="AH10" s="12">
        <v>380295</v>
      </c>
      <c r="AI10" s="12">
        <v>408618</v>
      </c>
      <c r="AJ10" s="12">
        <v>417497</v>
      </c>
      <c r="AK10" s="12">
        <v>435207</v>
      </c>
      <c r="AL10" s="12">
        <v>445400</v>
      </c>
      <c r="AM10" s="12">
        <v>457811</v>
      </c>
      <c r="AN10" s="12">
        <v>473530</v>
      </c>
      <c r="AO10" s="12">
        <v>489979</v>
      </c>
      <c r="AP10" s="12">
        <v>517915</v>
      </c>
      <c r="AQ10" s="12">
        <v>554788</v>
      </c>
      <c r="AR10" s="12">
        <v>604733</v>
      </c>
      <c r="AS10" s="12">
        <v>657407</v>
      </c>
      <c r="AT10" s="12">
        <v>724564</v>
      </c>
      <c r="AU10" s="12">
        <v>799646</v>
      </c>
      <c r="AV10" s="12">
        <v>879918</v>
      </c>
      <c r="AW10" s="12">
        <v>963210</v>
      </c>
      <c r="AX10" s="12">
        <v>1045186</v>
      </c>
      <c r="AY10" s="12">
        <v>1179246</v>
      </c>
      <c r="AZ10" s="12">
        <v>1440265</v>
      </c>
      <c r="BA10" s="12">
        <v>1596037</v>
      </c>
      <c r="BB10" s="12">
        <v>1753560</v>
      </c>
      <c r="BC10" s="12">
        <v>1950421</v>
      </c>
      <c r="BD10" s="12">
        <v>2214151</v>
      </c>
      <c r="BE10" s="12">
        <v>2554540</v>
      </c>
      <c r="BF10" s="12">
        <v>2934852</v>
      </c>
      <c r="BG10" s="12">
        <v>3322949</v>
      </c>
      <c r="BH10" s="12">
        <v>3544276</v>
      </c>
      <c r="BI10" s="12">
        <v>3662057</v>
      </c>
      <c r="BJ10" s="12">
        <v>3891586</v>
      </c>
      <c r="BK10" s="12">
        <v>4116228</v>
      </c>
      <c r="BL10" s="12">
        <v>4316632</v>
      </c>
      <c r="BM10" s="12">
        <v>4552033</v>
      </c>
      <c r="BN10" s="12">
        <v>4847374</v>
      </c>
      <c r="BO10" s="12">
        <v>5142230</v>
      </c>
      <c r="BP10" s="12">
        <v>5441062</v>
      </c>
      <c r="BQ10" s="12">
        <v>5585582</v>
      </c>
      <c r="BR10" s="12">
        <v>5786950</v>
      </c>
      <c r="BS10" s="12">
        <v>6069009</v>
      </c>
      <c r="BT10" s="12">
        <v>6415484</v>
      </c>
      <c r="BU10" s="12">
        <v>6794677</v>
      </c>
      <c r="BV10" s="12">
        <v>7152908</v>
      </c>
      <c r="BW10" s="12">
        <v>7573981</v>
      </c>
      <c r="BX10" s="12">
        <v>8001999</v>
      </c>
      <c r="BY10" s="12">
        <v>8487993</v>
      </c>
      <c r="BZ10" s="12">
        <v>9087285</v>
      </c>
      <c r="CA10" s="12">
        <v>9528266</v>
      </c>
      <c r="CB10" s="12">
        <v>9830512</v>
      </c>
      <c r="CC10" s="12">
        <v>10127063</v>
      </c>
      <c r="CD10" s="12">
        <v>10967477</v>
      </c>
      <c r="CE10" s="12">
        <v>11936357</v>
      </c>
      <c r="CF10" s="12">
        <v>12896598</v>
      </c>
      <c r="CG10" s="12">
        <v>13605165</v>
      </c>
      <c r="CH10" s="12">
        <v>14481024</v>
      </c>
      <c r="CI10" s="12">
        <v>14051422</v>
      </c>
      <c r="CJ10" s="12">
        <v>14428541</v>
      </c>
      <c r="CK10" s="12">
        <v>15124608</v>
      </c>
      <c r="CL10" s="12">
        <v>15641553</v>
      </c>
      <c r="CM10" s="12">
        <v>16233055</v>
      </c>
      <c r="CN10" s="12">
        <v>17005192</v>
      </c>
      <c r="CO10" s="12">
        <v>17324832</v>
      </c>
      <c r="CP10" s="12">
        <v>17832363</v>
      </c>
      <c r="CQ10" s="12">
        <v>18522028</v>
      </c>
      <c r="CR10" s="12">
        <v>19387389</v>
      </c>
      <c r="CS10" s="12">
        <v>20271382</v>
      </c>
      <c r="CT10" s="12">
        <v>20683088</v>
      </c>
      <c r="CU10" s="12">
        <v>22973076</v>
      </c>
      <c r="CV10" s="12">
        <v>25624438</v>
      </c>
      <c r="CW10" s="12">
        <v>26507748</v>
      </c>
      <c r="CX10" s="12">
        <v>27370152</v>
      </c>
    </row>
    <row r="11" spans="1:102">
      <c r="A11" t="s">
        <v>1017</v>
      </c>
      <c r="B11" t="s">
        <v>1102</v>
      </c>
      <c r="C11">
        <v>3048</v>
      </c>
      <c r="D11">
        <v>3187</v>
      </c>
      <c r="E11">
        <v>3235</v>
      </c>
      <c r="F11">
        <v>3342</v>
      </c>
      <c r="G11">
        <v>3416</v>
      </c>
      <c r="H11">
        <v>3385</v>
      </c>
      <c r="I11">
        <v>2885</v>
      </c>
      <c r="J11">
        <v>2624</v>
      </c>
      <c r="K11">
        <v>2843</v>
      </c>
      <c r="L11">
        <v>2842</v>
      </c>
      <c r="M11">
        <v>2872</v>
      </c>
      <c r="N11">
        <v>3061</v>
      </c>
      <c r="O11">
        <v>3314</v>
      </c>
      <c r="P11">
        <v>3261</v>
      </c>
      <c r="Q11">
        <v>3103</v>
      </c>
      <c r="R11">
        <v>3556</v>
      </c>
      <c r="S11">
        <v>4279</v>
      </c>
      <c r="T11">
        <v>4124</v>
      </c>
      <c r="U11">
        <v>4236</v>
      </c>
      <c r="V11">
        <v>4236</v>
      </c>
      <c r="W11">
        <v>4235</v>
      </c>
      <c r="X11">
        <v>5394</v>
      </c>
      <c r="Y11">
        <v>6465</v>
      </c>
      <c r="Z11">
        <v>6973</v>
      </c>
      <c r="AA11">
        <v>6448</v>
      </c>
      <c r="AB11">
        <v>7163</v>
      </c>
      <c r="AC11">
        <v>8329</v>
      </c>
      <c r="AD11">
        <v>8705</v>
      </c>
      <c r="AE11">
        <v>8904</v>
      </c>
      <c r="AF11">
        <v>8891</v>
      </c>
      <c r="AG11">
        <v>9926</v>
      </c>
      <c r="AH11">
        <v>11441</v>
      </c>
      <c r="AI11">
        <v>12194</v>
      </c>
      <c r="AJ11">
        <v>12587</v>
      </c>
      <c r="AK11">
        <v>13152</v>
      </c>
      <c r="AL11">
        <v>13718</v>
      </c>
      <c r="AM11">
        <v>14559</v>
      </c>
      <c r="AN11">
        <v>15620</v>
      </c>
      <c r="AO11">
        <v>16581</v>
      </c>
      <c r="AP11">
        <v>18346</v>
      </c>
      <c r="AQ11">
        <v>20185</v>
      </c>
      <c r="AR11">
        <v>22327</v>
      </c>
      <c r="AS11">
        <v>24666</v>
      </c>
      <c r="AT11">
        <v>28497</v>
      </c>
      <c r="AU11">
        <v>32552</v>
      </c>
      <c r="AV11">
        <v>36504</v>
      </c>
      <c r="AW11">
        <v>41667</v>
      </c>
      <c r="AX11">
        <v>46783</v>
      </c>
      <c r="AY11">
        <v>54324</v>
      </c>
      <c r="AZ11">
        <v>68067</v>
      </c>
      <c r="BA11">
        <v>77233</v>
      </c>
      <c r="BB11">
        <v>87181</v>
      </c>
      <c r="BC11">
        <v>99426</v>
      </c>
      <c r="BD11">
        <v>116204</v>
      </c>
      <c r="BE11">
        <v>140365</v>
      </c>
      <c r="BF11">
        <v>168440</v>
      </c>
      <c r="BG11">
        <v>197288</v>
      </c>
      <c r="BH11">
        <v>223522</v>
      </c>
      <c r="BI11">
        <v>246277</v>
      </c>
      <c r="BJ11">
        <v>278148</v>
      </c>
      <c r="BK11">
        <v>314521</v>
      </c>
      <c r="BL11">
        <v>357082</v>
      </c>
      <c r="BM11">
        <v>397253</v>
      </c>
      <c r="BN11">
        <v>442844</v>
      </c>
      <c r="BO11">
        <v>491926</v>
      </c>
      <c r="BP11">
        <v>535352</v>
      </c>
      <c r="BQ11">
        <v>556822</v>
      </c>
      <c r="BR11">
        <v>581538</v>
      </c>
      <c r="BS11">
        <v>614278</v>
      </c>
      <c r="BT11">
        <v>656067</v>
      </c>
      <c r="BU11">
        <v>687683</v>
      </c>
      <c r="BV11">
        <v>721689</v>
      </c>
      <c r="BW11">
        <v>762177</v>
      </c>
      <c r="BX11">
        <v>821761</v>
      </c>
      <c r="BY11">
        <v>888872</v>
      </c>
      <c r="BZ11">
        <v>949990</v>
      </c>
      <c r="CA11">
        <v>987710</v>
      </c>
      <c r="CB11">
        <v>1019814</v>
      </c>
      <c r="CC11">
        <v>1045830</v>
      </c>
      <c r="CD11">
        <v>1129053</v>
      </c>
      <c r="CE11">
        <v>1211856</v>
      </c>
      <c r="CF11">
        <v>1295023</v>
      </c>
      <c r="CG11">
        <v>1356196</v>
      </c>
      <c r="CH11">
        <v>1420822</v>
      </c>
      <c r="CI11">
        <v>1358948</v>
      </c>
      <c r="CJ11">
        <v>1349701</v>
      </c>
      <c r="CK11">
        <v>1386236</v>
      </c>
      <c r="CL11">
        <v>1412383</v>
      </c>
      <c r="CM11">
        <v>1449588</v>
      </c>
      <c r="CN11">
        <v>1489951</v>
      </c>
      <c r="CO11">
        <v>1532246</v>
      </c>
      <c r="CP11">
        <v>1580842</v>
      </c>
      <c r="CQ11">
        <v>1633486</v>
      </c>
      <c r="CR11">
        <v>1716707</v>
      </c>
      <c r="CS11">
        <v>1800082</v>
      </c>
      <c r="CT11">
        <v>1839922</v>
      </c>
      <c r="CU11">
        <v>2066406</v>
      </c>
      <c r="CV11">
        <v>2310716</v>
      </c>
      <c r="CW11">
        <v>2341371</v>
      </c>
      <c r="CX11">
        <v>2415243</v>
      </c>
    </row>
    <row r="12" spans="1:102">
      <c r="A12" t="s">
        <v>1019</v>
      </c>
      <c r="B12" t="s">
        <v>1103</v>
      </c>
      <c r="C12">
        <v>97064</v>
      </c>
      <c r="D12">
        <v>99885</v>
      </c>
      <c r="E12">
        <v>101334</v>
      </c>
      <c r="F12">
        <v>103575</v>
      </c>
      <c r="G12">
        <v>102600</v>
      </c>
      <c r="H12">
        <v>97578</v>
      </c>
      <c r="I12">
        <v>87862</v>
      </c>
      <c r="J12">
        <v>82123</v>
      </c>
      <c r="K12">
        <v>82685</v>
      </c>
      <c r="L12">
        <v>83912</v>
      </c>
      <c r="M12">
        <v>83436</v>
      </c>
      <c r="N12">
        <v>91866</v>
      </c>
      <c r="O12">
        <v>95067</v>
      </c>
      <c r="P12">
        <v>93989</v>
      </c>
      <c r="Q12">
        <v>94830</v>
      </c>
      <c r="R12">
        <v>100547</v>
      </c>
      <c r="S12">
        <v>112617</v>
      </c>
      <c r="T12">
        <v>120147</v>
      </c>
      <c r="U12">
        <v>121044</v>
      </c>
      <c r="V12">
        <v>122510</v>
      </c>
      <c r="W12">
        <v>134003</v>
      </c>
      <c r="X12">
        <v>161715</v>
      </c>
      <c r="Y12">
        <v>192728</v>
      </c>
      <c r="Z12">
        <v>211040</v>
      </c>
      <c r="AA12">
        <v>215670</v>
      </c>
      <c r="AB12">
        <v>241923</v>
      </c>
      <c r="AC12">
        <v>262117</v>
      </c>
      <c r="AD12">
        <v>277787</v>
      </c>
      <c r="AE12">
        <v>292500</v>
      </c>
      <c r="AF12">
        <v>301967</v>
      </c>
      <c r="AG12">
        <v>332305</v>
      </c>
      <c r="AH12">
        <v>368854</v>
      </c>
      <c r="AI12">
        <v>396424</v>
      </c>
      <c r="AJ12">
        <v>404910</v>
      </c>
      <c r="AK12">
        <v>422056</v>
      </c>
      <c r="AL12">
        <v>431682</v>
      </c>
      <c r="AM12">
        <v>443252</v>
      </c>
      <c r="AN12">
        <v>457910</v>
      </c>
      <c r="AO12">
        <v>473397</v>
      </c>
      <c r="AP12">
        <v>499570</v>
      </c>
      <c r="AQ12">
        <v>534604</v>
      </c>
      <c r="AR12">
        <v>582406</v>
      </c>
      <c r="AS12">
        <v>632741</v>
      </c>
      <c r="AT12">
        <v>696068</v>
      </c>
      <c r="AU12">
        <v>767094</v>
      </c>
      <c r="AV12">
        <v>843414</v>
      </c>
      <c r="AW12">
        <v>921543</v>
      </c>
      <c r="AX12">
        <v>998403</v>
      </c>
      <c r="AY12">
        <v>1124922</v>
      </c>
      <c r="AZ12">
        <v>1372198</v>
      </c>
      <c r="BA12">
        <v>1518805</v>
      </c>
      <c r="BB12">
        <v>1666379</v>
      </c>
      <c r="BC12">
        <v>1850996</v>
      </c>
      <c r="BD12">
        <v>2097947</v>
      </c>
      <c r="BE12">
        <v>2414175</v>
      </c>
      <c r="BF12">
        <v>2766412</v>
      </c>
      <c r="BG12">
        <v>3125661</v>
      </c>
      <c r="BH12">
        <v>3320755</v>
      </c>
      <c r="BI12">
        <v>3415779</v>
      </c>
      <c r="BJ12">
        <v>3613437</v>
      </c>
      <c r="BK12">
        <v>3801706</v>
      </c>
      <c r="BL12">
        <v>3959550</v>
      </c>
      <c r="BM12">
        <v>4154780</v>
      </c>
      <c r="BN12">
        <v>4404530</v>
      </c>
      <c r="BO12">
        <v>4650305</v>
      </c>
      <c r="BP12">
        <v>4905710</v>
      </c>
      <c r="BQ12">
        <v>5028760</v>
      </c>
      <c r="BR12">
        <v>5205412</v>
      </c>
      <c r="BS12">
        <v>5454732</v>
      </c>
      <c r="BT12">
        <v>5759417</v>
      </c>
      <c r="BU12">
        <v>6106995</v>
      </c>
      <c r="BV12">
        <v>6431219</v>
      </c>
      <c r="BW12">
        <v>6811804</v>
      </c>
      <c r="BX12">
        <v>7180238</v>
      </c>
      <c r="BY12">
        <v>7599121</v>
      </c>
      <c r="BZ12">
        <v>8137294</v>
      </c>
      <c r="CA12">
        <v>8540556</v>
      </c>
      <c r="CB12">
        <v>8810698</v>
      </c>
      <c r="CC12">
        <v>9081233</v>
      </c>
      <c r="CD12">
        <v>9838424</v>
      </c>
      <c r="CE12">
        <v>10724500</v>
      </c>
      <c r="CF12">
        <v>11601575</v>
      </c>
      <c r="CG12">
        <v>12248970</v>
      </c>
      <c r="CH12">
        <v>13060201</v>
      </c>
      <c r="CI12">
        <v>12692474</v>
      </c>
      <c r="CJ12">
        <v>13078839</v>
      </c>
      <c r="CK12">
        <v>13738372</v>
      </c>
      <c r="CL12">
        <v>14229170</v>
      </c>
      <c r="CM12">
        <v>14783467</v>
      </c>
      <c r="CN12">
        <v>15515241</v>
      </c>
      <c r="CO12">
        <v>15792586</v>
      </c>
      <c r="CP12">
        <v>16251521</v>
      </c>
      <c r="CQ12">
        <v>16888542</v>
      </c>
      <c r="CR12">
        <v>17670681</v>
      </c>
      <c r="CS12">
        <v>18471301</v>
      </c>
      <c r="CT12">
        <v>18843167</v>
      </c>
      <c r="CU12">
        <v>20906670</v>
      </c>
      <c r="CV12">
        <v>23313722</v>
      </c>
      <c r="CW12">
        <v>24166378</v>
      </c>
      <c r="CX12">
        <v>24954909</v>
      </c>
    </row>
    <row r="13" spans="1:102">
      <c r="A13" t="s">
        <v>1021</v>
      </c>
      <c r="B13" s="12" t="s">
        <v>1104</v>
      </c>
      <c r="C13" s="12">
        <v>123241</v>
      </c>
      <c r="D13" s="12">
        <v>128503</v>
      </c>
      <c r="E13" s="12">
        <v>132292</v>
      </c>
      <c r="F13" s="12">
        <v>141649</v>
      </c>
      <c r="G13" s="12">
        <v>145665</v>
      </c>
      <c r="H13" s="12">
        <v>138429</v>
      </c>
      <c r="I13" s="12">
        <v>114688</v>
      </c>
      <c r="J13" s="12">
        <v>102817</v>
      </c>
      <c r="K13" s="12">
        <v>110941</v>
      </c>
      <c r="L13" s="12">
        <v>111818</v>
      </c>
      <c r="M13" s="12">
        <v>113226</v>
      </c>
      <c r="N13" s="12">
        <v>125492</v>
      </c>
      <c r="O13" s="12">
        <v>133341</v>
      </c>
      <c r="P13" s="12">
        <v>134721</v>
      </c>
      <c r="Q13" s="12">
        <v>137683</v>
      </c>
      <c r="R13" s="12">
        <v>150318</v>
      </c>
      <c r="S13" s="12">
        <v>165933</v>
      </c>
      <c r="T13" s="12">
        <v>178069</v>
      </c>
      <c r="U13" s="12">
        <v>191814</v>
      </c>
      <c r="V13" s="12">
        <v>202583</v>
      </c>
      <c r="W13" s="12">
        <v>214778</v>
      </c>
      <c r="X13" s="12">
        <v>266884</v>
      </c>
      <c r="Y13" s="12">
        <v>317443</v>
      </c>
      <c r="Z13" s="12">
        <v>344143</v>
      </c>
      <c r="AA13" s="12">
        <v>358989</v>
      </c>
      <c r="AB13" s="12">
        <v>406705</v>
      </c>
      <c r="AC13" s="12">
        <v>443458</v>
      </c>
      <c r="AD13" s="12">
        <v>465440</v>
      </c>
      <c r="AE13" s="12">
        <v>481855</v>
      </c>
      <c r="AF13" s="12">
        <v>504361</v>
      </c>
      <c r="AG13" s="12">
        <v>546566</v>
      </c>
      <c r="AH13" s="12">
        <v>578185</v>
      </c>
      <c r="AI13" s="12">
        <v>600283</v>
      </c>
      <c r="AJ13" s="12">
        <v>616503</v>
      </c>
      <c r="AK13" s="12">
        <v>642859</v>
      </c>
      <c r="AL13" s="12">
        <v>665574</v>
      </c>
      <c r="AM13" s="12">
        <v>689832</v>
      </c>
      <c r="AN13" s="12">
        <v>716856</v>
      </c>
      <c r="AO13" s="12">
        <v>738754</v>
      </c>
      <c r="AP13" s="12">
        <v>796023</v>
      </c>
      <c r="AQ13" s="12">
        <v>848098</v>
      </c>
      <c r="AR13" s="12">
        <v>917349</v>
      </c>
      <c r="AS13" s="12">
        <v>979124</v>
      </c>
      <c r="AT13" s="12">
        <v>1080182</v>
      </c>
      <c r="AU13" s="12">
        <v>1163255</v>
      </c>
      <c r="AV13" s="12">
        <v>1241053</v>
      </c>
      <c r="AW13" s="12">
        <v>1389482</v>
      </c>
      <c r="AX13" s="12">
        <v>1548747</v>
      </c>
      <c r="AY13" s="12">
        <v>1767832</v>
      </c>
      <c r="AZ13" s="12">
        <v>2028236</v>
      </c>
      <c r="BA13" s="12">
        <v>2190089</v>
      </c>
      <c r="BB13" s="12">
        <v>2415404</v>
      </c>
      <c r="BC13" s="12">
        <v>2785388</v>
      </c>
      <c r="BD13" s="12">
        <v>3198512</v>
      </c>
      <c r="BE13" s="12">
        <v>3709938</v>
      </c>
      <c r="BF13" s="12">
        <v>4183010</v>
      </c>
      <c r="BG13" s="12">
        <v>4537482</v>
      </c>
      <c r="BH13" s="12">
        <v>4752928</v>
      </c>
      <c r="BI13" s="12">
        <v>4937513</v>
      </c>
      <c r="BJ13" s="12">
        <v>5220887</v>
      </c>
      <c r="BK13" s="12">
        <v>5502808</v>
      </c>
      <c r="BL13" s="12">
        <v>5914129</v>
      </c>
      <c r="BM13" s="12">
        <v>6291431</v>
      </c>
      <c r="BN13" s="12">
        <v>6688791</v>
      </c>
      <c r="BO13" s="12">
        <v>7060845</v>
      </c>
      <c r="BP13" s="12">
        <v>7332495</v>
      </c>
      <c r="BQ13" s="12">
        <v>7473264</v>
      </c>
      <c r="BR13" s="12">
        <v>7822289</v>
      </c>
      <c r="BS13" s="12">
        <v>8252794</v>
      </c>
      <c r="BT13" s="12">
        <v>8787522</v>
      </c>
      <c r="BU13" s="12">
        <v>9156833</v>
      </c>
      <c r="BV13" s="12">
        <v>9614642</v>
      </c>
      <c r="BW13" s="12">
        <v>10129463</v>
      </c>
      <c r="BX13" s="12">
        <v>10773358</v>
      </c>
      <c r="BY13" s="12">
        <v>11538904</v>
      </c>
      <c r="BZ13" s="12">
        <v>12330758</v>
      </c>
      <c r="CA13" s="12">
        <v>13178123</v>
      </c>
      <c r="CB13" s="12">
        <v>14008203</v>
      </c>
      <c r="CC13" s="12">
        <v>15072152</v>
      </c>
      <c r="CD13" s="12">
        <v>16769348</v>
      </c>
      <c r="CE13" s="12">
        <v>18643472</v>
      </c>
      <c r="CF13" s="12">
        <v>20002566</v>
      </c>
      <c r="CG13" s="12">
        <v>20449663</v>
      </c>
      <c r="CH13" s="12">
        <v>20402671</v>
      </c>
      <c r="CI13" s="12">
        <v>19940409</v>
      </c>
      <c r="CJ13" s="12">
        <v>20036188</v>
      </c>
      <c r="CK13" s="12">
        <v>20317500</v>
      </c>
      <c r="CL13" s="12">
        <v>20912624</v>
      </c>
      <c r="CM13" s="12">
        <v>22302356</v>
      </c>
      <c r="CN13" s="12">
        <v>23330841</v>
      </c>
      <c r="CO13" s="12">
        <v>24137616</v>
      </c>
      <c r="CP13" s="12">
        <v>25562583</v>
      </c>
      <c r="CQ13" s="12">
        <v>26733358</v>
      </c>
      <c r="CR13" s="12">
        <v>28234249</v>
      </c>
      <c r="CS13" s="12">
        <v>29354068</v>
      </c>
      <c r="CT13" s="12">
        <v>31218097</v>
      </c>
      <c r="CU13" s="12">
        <v>36266561</v>
      </c>
      <c r="CV13" s="12">
        <v>40687113</v>
      </c>
      <c r="CW13" s="12">
        <v>41506878</v>
      </c>
      <c r="CX13" s="12">
        <v>42906369</v>
      </c>
    </row>
    <row r="14" spans="1:102">
      <c r="A14" t="s">
        <v>1023</v>
      </c>
      <c r="B14" t="s">
        <v>1105</v>
      </c>
      <c r="C14">
        <v>26296</v>
      </c>
      <c r="D14">
        <v>27920</v>
      </c>
      <c r="E14">
        <v>29189</v>
      </c>
      <c r="F14">
        <v>31145</v>
      </c>
      <c r="G14">
        <v>31923</v>
      </c>
      <c r="H14">
        <v>30089</v>
      </c>
      <c r="I14">
        <v>25368</v>
      </c>
      <c r="J14">
        <v>22599</v>
      </c>
      <c r="K14">
        <v>23896</v>
      </c>
      <c r="L14">
        <v>23936</v>
      </c>
      <c r="M14">
        <v>23961</v>
      </c>
      <c r="N14">
        <v>26135</v>
      </c>
      <c r="O14">
        <v>27706</v>
      </c>
      <c r="P14">
        <v>27682</v>
      </c>
      <c r="Q14">
        <v>27733</v>
      </c>
      <c r="R14">
        <v>29892</v>
      </c>
      <c r="S14">
        <v>33484</v>
      </c>
      <c r="T14">
        <v>35784</v>
      </c>
      <c r="U14">
        <v>38330</v>
      </c>
      <c r="V14">
        <v>39749</v>
      </c>
      <c r="W14">
        <v>42398</v>
      </c>
      <c r="X14">
        <v>52123</v>
      </c>
      <c r="Y14">
        <v>62150</v>
      </c>
      <c r="Z14">
        <v>67700</v>
      </c>
      <c r="AA14">
        <v>69504</v>
      </c>
      <c r="AB14">
        <v>78230</v>
      </c>
      <c r="AC14">
        <v>84186</v>
      </c>
      <c r="AD14">
        <v>86718</v>
      </c>
      <c r="AE14">
        <v>88115</v>
      </c>
      <c r="AF14">
        <v>89297</v>
      </c>
      <c r="AG14">
        <v>95338</v>
      </c>
      <c r="AH14">
        <v>100112</v>
      </c>
      <c r="AI14">
        <v>103252</v>
      </c>
      <c r="AJ14">
        <v>104821</v>
      </c>
      <c r="AK14">
        <v>106852</v>
      </c>
      <c r="AL14">
        <v>108163</v>
      </c>
      <c r="AM14">
        <v>110158</v>
      </c>
      <c r="AN14">
        <v>112958</v>
      </c>
      <c r="AO14">
        <v>115325</v>
      </c>
      <c r="AP14">
        <v>121710</v>
      </c>
      <c r="AQ14">
        <v>127935</v>
      </c>
      <c r="AR14">
        <v>136992</v>
      </c>
      <c r="AS14">
        <v>144792</v>
      </c>
      <c r="AT14">
        <v>160489</v>
      </c>
      <c r="AU14">
        <v>177338</v>
      </c>
      <c r="AV14">
        <v>194339</v>
      </c>
      <c r="AW14">
        <v>220124</v>
      </c>
      <c r="AX14">
        <v>248896</v>
      </c>
      <c r="AY14">
        <v>286774</v>
      </c>
      <c r="AZ14">
        <v>339639</v>
      </c>
      <c r="BA14">
        <v>367152</v>
      </c>
      <c r="BB14">
        <v>398126</v>
      </c>
      <c r="BC14">
        <v>451490</v>
      </c>
      <c r="BD14">
        <v>510775</v>
      </c>
      <c r="BE14">
        <v>590089</v>
      </c>
      <c r="BF14">
        <v>666959</v>
      </c>
      <c r="BG14">
        <v>740791</v>
      </c>
      <c r="BH14">
        <v>786911</v>
      </c>
      <c r="BI14">
        <v>812432</v>
      </c>
      <c r="BJ14">
        <v>852538</v>
      </c>
      <c r="BK14">
        <v>895636</v>
      </c>
      <c r="BL14">
        <v>952138</v>
      </c>
      <c r="BM14">
        <v>994221</v>
      </c>
      <c r="BN14">
        <v>1040374</v>
      </c>
      <c r="BO14">
        <v>1073890</v>
      </c>
      <c r="BP14">
        <v>1101803</v>
      </c>
      <c r="BQ14">
        <v>1112763</v>
      </c>
      <c r="BR14">
        <v>1139137</v>
      </c>
      <c r="BS14">
        <v>1170133</v>
      </c>
      <c r="BT14">
        <v>1214077</v>
      </c>
      <c r="BU14">
        <v>1257396</v>
      </c>
      <c r="BV14">
        <v>1307209</v>
      </c>
      <c r="BW14">
        <v>1374508</v>
      </c>
      <c r="BX14">
        <v>1450171</v>
      </c>
      <c r="BY14">
        <v>1513801</v>
      </c>
      <c r="BZ14">
        <v>1581921</v>
      </c>
      <c r="CA14">
        <v>1644341</v>
      </c>
      <c r="CB14">
        <v>1705560</v>
      </c>
      <c r="CC14">
        <v>1767828</v>
      </c>
      <c r="CD14">
        <v>1910435</v>
      </c>
      <c r="CE14">
        <v>2082712</v>
      </c>
      <c r="CF14">
        <v>2219391</v>
      </c>
      <c r="CG14">
        <v>2287709</v>
      </c>
      <c r="CH14">
        <v>2333599</v>
      </c>
      <c r="CI14">
        <v>2275598</v>
      </c>
      <c r="CJ14">
        <v>2266835</v>
      </c>
      <c r="CK14">
        <v>2278631</v>
      </c>
      <c r="CL14">
        <v>2325659</v>
      </c>
      <c r="CM14">
        <v>2394129</v>
      </c>
      <c r="CN14">
        <v>2501148</v>
      </c>
      <c r="CO14">
        <v>2625647</v>
      </c>
      <c r="CP14">
        <v>2716026</v>
      </c>
      <c r="CQ14">
        <v>2846732</v>
      </c>
      <c r="CR14">
        <v>2984519</v>
      </c>
      <c r="CS14">
        <v>3066629</v>
      </c>
      <c r="CT14">
        <v>3185332</v>
      </c>
      <c r="CU14">
        <v>3581054</v>
      </c>
      <c r="CV14">
        <v>3964112</v>
      </c>
      <c r="CW14">
        <v>4058591</v>
      </c>
      <c r="CX14">
        <v>4196400</v>
      </c>
    </row>
    <row r="15" spans="1:102">
      <c r="A15" t="s">
        <v>1025</v>
      </c>
      <c r="B15" t="s">
        <v>1106</v>
      </c>
      <c r="C15">
        <v>7929</v>
      </c>
      <c r="D15">
        <v>8404</v>
      </c>
      <c r="E15">
        <v>8723</v>
      </c>
      <c r="F15">
        <v>9090</v>
      </c>
      <c r="G15">
        <v>9175</v>
      </c>
      <c r="H15">
        <v>8697</v>
      </c>
      <c r="I15">
        <v>7567</v>
      </c>
      <c r="J15">
        <v>6819</v>
      </c>
      <c r="K15">
        <v>7089</v>
      </c>
      <c r="L15">
        <v>7157</v>
      </c>
      <c r="M15">
        <v>7160</v>
      </c>
      <c r="N15">
        <v>7823</v>
      </c>
      <c r="O15">
        <v>8334</v>
      </c>
      <c r="P15">
        <v>8258</v>
      </c>
      <c r="Q15">
        <v>8157</v>
      </c>
      <c r="R15">
        <v>8781</v>
      </c>
      <c r="S15">
        <v>10118</v>
      </c>
      <c r="T15">
        <v>10683</v>
      </c>
      <c r="U15">
        <v>11174</v>
      </c>
      <c r="V15">
        <v>11367</v>
      </c>
      <c r="W15">
        <v>12382</v>
      </c>
      <c r="X15">
        <v>15522</v>
      </c>
      <c r="Y15">
        <v>18977</v>
      </c>
      <c r="Z15">
        <v>20962</v>
      </c>
      <c r="AA15">
        <v>21084</v>
      </c>
      <c r="AB15">
        <v>24264</v>
      </c>
      <c r="AC15">
        <v>26599</v>
      </c>
      <c r="AD15">
        <v>27397</v>
      </c>
      <c r="AE15">
        <v>28083</v>
      </c>
      <c r="AF15">
        <v>28397</v>
      </c>
      <c r="AG15">
        <v>31130</v>
      </c>
      <c r="AH15">
        <v>33791</v>
      </c>
      <c r="AI15">
        <v>35340</v>
      </c>
      <c r="AJ15">
        <v>35662</v>
      </c>
      <c r="AK15">
        <v>36969</v>
      </c>
      <c r="AL15">
        <v>37580</v>
      </c>
      <c r="AM15">
        <v>38738</v>
      </c>
      <c r="AN15">
        <v>40289</v>
      </c>
      <c r="AO15">
        <v>42033</v>
      </c>
      <c r="AP15">
        <v>44841</v>
      </c>
      <c r="AQ15">
        <v>48201</v>
      </c>
      <c r="AR15">
        <v>52505</v>
      </c>
      <c r="AS15">
        <v>56284</v>
      </c>
      <c r="AT15">
        <v>61082</v>
      </c>
      <c r="AU15">
        <v>66953</v>
      </c>
      <c r="AV15">
        <v>73345</v>
      </c>
      <c r="AW15">
        <v>80701</v>
      </c>
      <c r="AX15">
        <v>87592</v>
      </c>
      <c r="AY15">
        <v>98001</v>
      </c>
      <c r="AZ15">
        <v>116281</v>
      </c>
      <c r="BA15">
        <v>124788</v>
      </c>
      <c r="BB15">
        <v>134279</v>
      </c>
      <c r="BC15">
        <v>148154</v>
      </c>
      <c r="BD15">
        <v>167562</v>
      </c>
      <c r="BE15">
        <v>196540</v>
      </c>
      <c r="BF15">
        <v>228394</v>
      </c>
      <c r="BG15">
        <v>267599</v>
      </c>
      <c r="BH15">
        <v>291982</v>
      </c>
      <c r="BI15">
        <v>304197</v>
      </c>
      <c r="BJ15">
        <v>330435</v>
      </c>
      <c r="BK15">
        <v>360730</v>
      </c>
      <c r="BL15">
        <v>389548</v>
      </c>
      <c r="BM15">
        <v>421426</v>
      </c>
      <c r="BN15">
        <v>461175</v>
      </c>
      <c r="BO15">
        <v>497930</v>
      </c>
      <c r="BP15">
        <v>522096</v>
      </c>
      <c r="BQ15">
        <v>528397</v>
      </c>
      <c r="BR15">
        <v>537267</v>
      </c>
      <c r="BS15">
        <v>556468</v>
      </c>
      <c r="BT15">
        <v>581791</v>
      </c>
      <c r="BU15">
        <v>604744</v>
      </c>
      <c r="BV15">
        <v>627501</v>
      </c>
      <c r="BW15">
        <v>658427</v>
      </c>
      <c r="BX15">
        <v>699206</v>
      </c>
      <c r="BY15">
        <v>748856</v>
      </c>
      <c r="BZ15">
        <v>810613</v>
      </c>
      <c r="CA15">
        <v>865915</v>
      </c>
      <c r="CB15">
        <v>915567</v>
      </c>
      <c r="CC15">
        <v>961385</v>
      </c>
      <c r="CD15">
        <v>1061731</v>
      </c>
      <c r="CE15">
        <v>1181475</v>
      </c>
      <c r="CF15">
        <v>1304151</v>
      </c>
      <c r="CG15">
        <v>1401764</v>
      </c>
      <c r="CH15">
        <v>1509651</v>
      </c>
      <c r="CI15">
        <v>1469461</v>
      </c>
      <c r="CJ15">
        <v>1500846</v>
      </c>
      <c r="CK15">
        <v>1564082</v>
      </c>
      <c r="CL15">
        <v>1617881</v>
      </c>
      <c r="CM15">
        <v>1720444</v>
      </c>
      <c r="CN15">
        <v>1809211</v>
      </c>
      <c r="CO15">
        <v>1867569</v>
      </c>
      <c r="CP15">
        <v>1920898</v>
      </c>
      <c r="CQ15">
        <v>2002977</v>
      </c>
      <c r="CR15">
        <v>2098641</v>
      </c>
      <c r="CS15">
        <v>2214670</v>
      </c>
      <c r="CT15">
        <v>2268028</v>
      </c>
      <c r="CU15">
        <v>2552157</v>
      </c>
      <c r="CV15">
        <v>2908865</v>
      </c>
      <c r="CW15">
        <v>3023035</v>
      </c>
      <c r="CX15">
        <v>3144463</v>
      </c>
    </row>
    <row r="16" spans="1:102">
      <c r="A16" t="s">
        <v>1027</v>
      </c>
      <c r="B16" t="s">
        <v>1107</v>
      </c>
      <c r="C16">
        <v>8131</v>
      </c>
      <c r="D16">
        <v>8791</v>
      </c>
      <c r="E16">
        <v>9349</v>
      </c>
      <c r="F16">
        <v>10122</v>
      </c>
      <c r="G16">
        <v>10407</v>
      </c>
      <c r="H16">
        <v>9970</v>
      </c>
      <c r="I16">
        <v>8470</v>
      </c>
      <c r="J16">
        <v>7676</v>
      </c>
      <c r="K16">
        <v>8218</v>
      </c>
      <c r="L16">
        <v>8309</v>
      </c>
      <c r="M16">
        <v>8482</v>
      </c>
      <c r="N16">
        <v>9688</v>
      </c>
      <c r="O16">
        <v>10247</v>
      </c>
      <c r="P16">
        <v>10323</v>
      </c>
      <c r="Q16">
        <v>10482</v>
      </c>
      <c r="R16">
        <v>11273</v>
      </c>
      <c r="S16">
        <v>12517</v>
      </c>
      <c r="T16">
        <v>13385</v>
      </c>
      <c r="U16">
        <v>14142</v>
      </c>
      <c r="V16">
        <v>14350</v>
      </c>
      <c r="W16">
        <v>15386</v>
      </c>
      <c r="X16">
        <v>20130</v>
      </c>
      <c r="Y16">
        <v>23996</v>
      </c>
      <c r="Z16">
        <v>25084</v>
      </c>
      <c r="AA16">
        <v>25214</v>
      </c>
      <c r="AB16">
        <v>28884</v>
      </c>
      <c r="AC16">
        <v>31780</v>
      </c>
      <c r="AD16">
        <v>33259</v>
      </c>
      <c r="AE16">
        <v>33915</v>
      </c>
      <c r="AF16">
        <v>35223</v>
      </c>
      <c r="AG16">
        <v>38967</v>
      </c>
      <c r="AH16">
        <v>42576</v>
      </c>
      <c r="AI16">
        <v>45149</v>
      </c>
      <c r="AJ16">
        <v>46333</v>
      </c>
      <c r="AK16">
        <v>48654</v>
      </c>
      <c r="AL16">
        <v>51072</v>
      </c>
      <c r="AM16">
        <v>54753</v>
      </c>
      <c r="AN16">
        <v>59181</v>
      </c>
      <c r="AO16">
        <v>62856</v>
      </c>
      <c r="AP16">
        <v>68832</v>
      </c>
      <c r="AQ16">
        <v>75074</v>
      </c>
      <c r="AR16">
        <v>82823</v>
      </c>
      <c r="AS16">
        <v>89605</v>
      </c>
      <c r="AT16">
        <v>99901</v>
      </c>
      <c r="AU16">
        <v>110628</v>
      </c>
      <c r="AV16">
        <v>122053</v>
      </c>
      <c r="AW16">
        <v>138300</v>
      </c>
      <c r="AX16">
        <v>155201</v>
      </c>
      <c r="AY16">
        <v>175526</v>
      </c>
      <c r="AZ16">
        <v>205852</v>
      </c>
      <c r="BA16">
        <v>218876</v>
      </c>
      <c r="BB16">
        <v>235335</v>
      </c>
      <c r="BC16">
        <v>261825</v>
      </c>
      <c r="BD16">
        <v>292556</v>
      </c>
      <c r="BE16">
        <v>333219</v>
      </c>
      <c r="BF16">
        <v>374467</v>
      </c>
      <c r="BG16">
        <v>407146</v>
      </c>
      <c r="BH16">
        <v>432993</v>
      </c>
      <c r="BI16">
        <v>454378</v>
      </c>
      <c r="BJ16">
        <v>481011</v>
      </c>
      <c r="BK16">
        <v>504851</v>
      </c>
      <c r="BL16">
        <v>537554</v>
      </c>
      <c r="BM16">
        <v>571243</v>
      </c>
      <c r="BN16">
        <v>605943</v>
      </c>
      <c r="BO16">
        <v>641881</v>
      </c>
      <c r="BP16">
        <v>675054</v>
      </c>
      <c r="BQ16">
        <v>694282</v>
      </c>
      <c r="BR16">
        <v>725746</v>
      </c>
      <c r="BS16">
        <v>759719</v>
      </c>
      <c r="BT16">
        <v>802183</v>
      </c>
      <c r="BU16">
        <v>831260</v>
      </c>
      <c r="BV16">
        <v>864666</v>
      </c>
      <c r="BW16">
        <v>916894</v>
      </c>
      <c r="BX16">
        <v>982776</v>
      </c>
      <c r="BY16">
        <v>1053182</v>
      </c>
      <c r="BZ16">
        <v>1131401</v>
      </c>
      <c r="CA16">
        <v>1206282</v>
      </c>
      <c r="CB16">
        <v>1277411</v>
      </c>
      <c r="CC16">
        <v>1355522</v>
      </c>
      <c r="CD16">
        <v>1494432</v>
      </c>
      <c r="CE16">
        <v>1646643</v>
      </c>
      <c r="CF16">
        <v>1796988</v>
      </c>
      <c r="CG16">
        <v>1900352</v>
      </c>
      <c r="CH16">
        <v>2009053</v>
      </c>
      <c r="CI16">
        <v>1976686</v>
      </c>
      <c r="CJ16">
        <v>2013755</v>
      </c>
      <c r="CK16">
        <v>2096164</v>
      </c>
      <c r="CL16">
        <v>2171400</v>
      </c>
      <c r="CM16">
        <v>2308757</v>
      </c>
      <c r="CN16">
        <v>2417096</v>
      </c>
      <c r="CO16">
        <v>2519150</v>
      </c>
      <c r="CP16">
        <v>2635662</v>
      </c>
      <c r="CQ16">
        <v>2765981</v>
      </c>
      <c r="CR16">
        <v>2951907</v>
      </c>
      <c r="CS16">
        <v>3113727</v>
      </c>
      <c r="CT16">
        <v>3245396</v>
      </c>
      <c r="CU16">
        <v>3623026</v>
      </c>
      <c r="CV16">
        <v>4119602</v>
      </c>
      <c r="CW16">
        <v>4211105</v>
      </c>
      <c r="CX16">
        <v>4351532</v>
      </c>
    </row>
    <row r="17" spans="1:102">
      <c r="A17" t="s">
        <v>1029</v>
      </c>
      <c r="B17" t="s">
        <v>1108</v>
      </c>
      <c r="C17">
        <v>80884</v>
      </c>
      <c r="D17">
        <v>83387</v>
      </c>
      <c r="E17">
        <v>85031</v>
      </c>
      <c r="F17">
        <v>91290</v>
      </c>
      <c r="G17">
        <v>94159</v>
      </c>
      <c r="H17">
        <v>89672</v>
      </c>
      <c r="I17">
        <v>73282</v>
      </c>
      <c r="J17">
        <v>65722</v>
      </c>
      <c r="K17">
        <v>71737</v>
      </c>
      <c r="L17">
        <v>72416</v>
      </c>
      <c r="M17">
        <v>73566</v>
      </c>
      <c r="N17">
        <v>81722</v>
      </c>
      <c r="O17">
        <v>86847</v>
      </c>
      <c r="P17">
        <v>88187</v>
      </c>
      <c r="Q17">
        <v>90970</v>
      </c>
      <c r="R17">
        <v>99933</v>
      </c>
      <c r="S17">
        <v>109239</v>
      </c>
      <c r="T17">
        <v>117593</v>
      </c>
      <c r="U17">
        <v>127518</v>
      </c>
      <c r="V17">
        <v>136442</v>
      </c>
      <c r="W17">
        <v>143848</v>
      </c>
      <c r="X17">
        <v>178086</v>
      </c>
      <c r="Y17">
        <v>210917</v>
      </c>
      <c r="Z17">
        <v>228623</v>
      </c>
      <c r="AA17">
        <v>241208</v>
      </c>
      <c r="AB17">
        <v>272937</v>
      </c>
      <c r="AC17">
        <v>298201</v>
      </c>
      <c r="AD17">
        <v>315103</v>
      </c>
      <c r="AE17">
        <v>328525</v>
      </c>
      <c r="AF17">
        <v>348048</v>
      </c>
      <c r="AG17">
        <v>377330</v>
      </c>
      <c r="AH17">
        <v>397433</v>
      </c>
      <c r="AI17">
        <v>411963</v>
      </c>
      <c r="AJ17">
        <v>424953</v>
      </c>
      <c r="AK17">
        <v>445449</v>
      </c>
      <c r="AL17">
        <v>463708</v>
      </c>
      <c r="AM17">
        <v>481001</v>
      </c>
      <c r="AN17">
        <v>499069</v>
      </c>
      <c r="AO17">
        <v>512933</v>
      </c>
      <c r="AP17">
        <v>554738</v>
      </c>
      <c r="AQ17">
        <v>590696</v>
      </c>
      <c r="AR17">
        <v>638493</v>
      </c>
      <c r="AS17">
        <v>681273</v>
      </c>
      <c r="AT17">
        <v>750903</v>
      </c>
      <c r="AU17">
        <v>799910</v>
      </c>
      <c r="AV17">
        <v>841904</v>
      </c>
      <c r="AW17">
        <v>939979</v>
      </c>
      <c r="AX17">
        <v>1045903</v>
      </c>
      <c r="AY17">
        <v>1194762</v>
      </c>
      <c r="AZ17">
        <v>1350987</v>
      </c>
      <c r="BA17">
        <v>1461412</v>
      </c>
      <c r="BB17">
        <v>1627593</v>
      </c>
      <c r="BC17">
        <v>1901526</v>
      </c>
      <c r="BD17">
        <v>2203061</v>
      </c>
      <c r="BE17">
        <v>2561709</v>
      </c>
      <c r="BF17">
        <v>2881413</v>
      </c>
      <c r="BG17">
        <v>3087599</v>
      </c>
      <c r="BH17">
        <v>3205625</v>
      </c>
      <c r="BI17">
        <v>3331033</v>
      </c>
      <c r="BJ17">
        <v>3521249</v>
      </c>
      <c r="BK17">
        <v>3703978</v>
      </c>
      <c r="BL17">
        <v>3996026</v>
      </c>
      <c r="BM17">
        <v>4264558</v>
      </c>
      <c r="BN17">
        <v>4539419</v>
      </c>
      <c r="BO17">
        <v>4803630</v>
      </c>
      <c r="BP17">
        <v>4988763</v>
      </c>
      <c r="BQ17">
        <v>5092417</v>
      </c>
      <c r="BR17">
        <v>5373652</v>
      </c>
      <c r="BS17">
        <v>5718139</v>
      </c>
      <c r="BT17">
        <v>6139480</v>
      </c>
      <c r="BU17">
        <v>6411497</v>
      </c>
      <c r="BV17">
        <v>6762185</v>
      </c>
      <c r="BW17">
        <v>7124768</v>
      </c>
      <c r="BX17">
        <v>7585093</v>
      </c>
      <c r="BY17">
        <v>8164406</v>
      </c>
      <c r="BZ17">
        <v>8743473</v>
      </c>
      <c r="CA17">
        <v>9393349</v>
      </c>
      <c r="CB17">
        <v>10037725</v>
      </c>
      <c r="CC17">
        <v>10911533</v>
      </c>
      <c r="CD17">
        <v>12220446</v>
      </c>
      <c r="CE17">
        <v>13644345</v>
      </c>
      <c r="CF17">
        <v>14584450</v>
      </c>
      <c r="CG17">
        <v>14751720</v>
      </c>
      <c r="CH17">
        <v>14432166</v>
      </c>
      <c r="CI17">
        <v>14099892</v>
      </c>
      <c r="CJ17">
        <v>14129065</v>
      </c>
      <c r="CK17">
        <v>14247777</v>
      </c>
      <c r="CL17">
        <v>14664866</v>
      </c>
      <c r="CM17">
        <v>15743739</v>
      </c>
      <c r="CN17">
        <v>16464017</v>
      </c>
      <c r="CO17">
        <v>16982517</v>
      </c>
      <c r="CP17">
        <v>18143618</v>
      </c>
      <c r="CQ17">
        <v>18969146</v>
      </c>
      <c r="CR17">
        <v>20051054</v>
      </c>
      <c r="CS17">
        <v>20804721</v>
      </c>
      <c r="CT17">
        <v>22363995</v>
      </c>
      <c r="CU17">
        <v>26336393</v>
      </c>
      <c r="CV17">
        <v>29507762</v>
      </c>
      <c r="CW17">
        <v>30026597</v>
      </c>
      <c r="CX17">
        <v>31028558</v>
      </c>
    </row>
    <row r="18" spans="1:102">
      <c r="A18" t="s">
        <v>1031</v>
      </c>
      <c r="B18" t="s">
        <v>1109</v>
      </c>
      <c r="C18">
        <v>1</v>
      </c>
      <c r="D18">
        <v>1</v>
      </c>
      <c r="E18">
        <v>1</v>
      </c>
      <c r="F18">
        <v>1</v>
      </c>
      <c r="G18">
        <v>1</v>
      </c>
      <c r="H18">
        <v>1</v>
      </c>
      <c r="I18">
        <v>1</v>
      </c>
      <c r="J18">
        <v>1</v>
      </c>
      <c r="K18">
        <v>1</v>
      </c>
      <c r="L18">
        <v>1</v>
      </c>
      <c r="M18">
        <v>57</v>
      </c>
      <c r="N18">
        <v>125</v>
      </c>
      <c r="O18">
        <v>207</v>
      </c>
      <c r="P18">
        <v>271</v>
      </c>
      <c r="Q18">
        <v>341</v>
      </c>
      <c r="R18">
        <v>438</v>
      </c>
      <c r="S18">
        <v>576</v>
      </c>
      <c r="T18">
        <v>625</v>
      </c>
      <c r="U18">
        <v>649</v>
      </c>
      <c r="V18">
        <v>675</v>
      </c>
      <c r="W18">
        <v>764</v>
      </c>
      <c r="X18">
        <v>1023</v>
      </c>
      <c r="Y18">
        <v>1403</v>
      </c>
      <c r="Z18">
        <v>1774</v>
      </c>
      <c r="AA18">
        <v>1979</v>
      </c>
      <c r="AB18">
        <v>2390</v>
      </c>
      <c r="AC18">
        <v>2692</v>
      </c>
      <c r="AD18">
        <v>2963</v>
      </c>
      <c r="AE18">
        <v>3217</v>
      </c>
      <c r="AF18">
        <v>3397</v>
      </c>
      <c r="AG18">
        <v>3801</v>
      </c>
      <c r="AH18">
        <v>4274</v>
      </c>
      <c r="AI18">
        <v>4578</v>
      </c>
      <c r="AJ18">
        <v>4735</v>
      </c>
      <c r="AK18">
        <v>4935</v>
      </c>
      <c r="AL18">
        <v>5052</v>
      </c>
      <c r="AM18">
        <v>5181</v>
      </c>
      <c r="AN18">
        <v>5359</v>
      </c>
      <c r="AO18">
        <v>5608</v>
      </c>
      <c r="AP18">
        <v>5902</v>
      </c>
      <c r="AQ18">
        <v>6192</v>
      </c>
      <c r="AR18">
        <v>6537</v>
      </c>
      <c r="AS18">
        <v>7169</v>
      </c>
      <c r="AT18">
        <v>7807</v>
      </c>
      <c r="AU18">
        <v>8426</v>
      </c>
      <c r="AV18">
        <v>9412</v>
      </c>
      <c r="AW18">
        <v>10379</v>
      </c>
      <c r="AX18">
        <v>11154</v>
      </c>
      <c r="AY18">
        <v>12769</v>
      </c>
      <c r="AZ18">
        <v>15476</v>
      </c>
      <c r="BA18">
        <v>17860</v>
      </c>
      <c r="BB18">
        <v>20071</v>
      </c>
      <c r="BC18">
        <v>22393</v>
      </c>
      <c r="BD18">
        <v>24559</v>
      </c>
      <c r="BE18">
        <v>28381</v>
      </c>
      <c r="BF18">
        <v>31777</v>
      </c>
      <c r="BG18">
        <v>34348</v>
      </c>
      <c r="BH18">
        <v>35416</v>
      </c>
      <c r="BI18">
        <v>35474</v>
      </c>
      <c r="BJ18">
        <v>35654</v>
      </c>
      <c r="BK18">
        <v>37613</v>
      </c>
      <c r="BL18">
        <v>38862</v>
      </c>
      <c r="BM18">
        <v>39982</v>
      </c>
      <c r="BN18">
        <v>41879</v>
      </c>
      <c r="BO18">
        <v>43513</v>
      </c>
      <c r="BP18">
        <v>44779</v>
      </c>
      <c r="BQ18">
        <v>45406</v>
      </c>
      <c r="BR18">
        <v>46487</v>
      </c>
      <c r="BS18">
        <v>48334</v>
      </c>
      <c r="BT18">
        <v>49991</v>
      </c>
      <c r="BU18">
        <v>51936</v>
      </c>
      <c r="BV18">
        <v>53081</v>
      </c>
      <c r="BW18">
        <v>54867</v>
      </c>
      <c r="BX18">
        <v>56112</v>
      </c>
      <c r="BY18">
        <v>58659</v>
      </c>
      <c r="BZ18">
        <v>63350</v>
      </c>
      <c r="CA18">
        <v>68235</v>
      </c>
      <c r="CB18">
        <v>71940</v>
      </c>
      <c r="CC18">
        <v>75884</v>
      </c>
      <c r="CD18">
        <v>82304</v>
      </c>
      <c r="CE18">
        <v>88297</v>
      </c>
      <c r="CF18">
        <v>97587</v>
      </c>
      <c r="CG18">
        <v>108118</v>
      </c>
      <c r="CH18">
        <v>118202</v>
      </c>
      <c r="CI18">
        <v>118771</v>
      </c>
      <c r="CJ18">
        <v>125686</v>
      </c>
      <c r="CK18">
        <v>130846</v>
      </c>
      <c r="CL18">
        <v>132818</v>
      </c>
      <c r="CM18">
        <v>135287</v>
      </c>
      <c r="CN18">
        <v>139369</v>
      </c>
      <c r="CO18">
        <v>142734</v>
      </c>
      <c r="CP18">
        <v>146378</v>
      </c>
      <c r="CQ18">
        <v>148522</v>
      </c>
      <c r="CR18">
        <v>148128</v>
      </c>
      <c r="CS18">
        <v>154321</v>
      </c>
      <c r="CT18">
        <v>155346</v>
      </c>
      <c r="CU18">
        <v>173932</v>
      </c>
      <c r="CV18">
        <v>186771</v>
      </c>
      <c r="CW18">
        <v>187550</v>
      </c>
      <c r="CX18">
        <v>185416</v>
      </c>
    </row>
    <row r="19" spans="1:102">
      <c r="A19" t="s">
        <v>97</v>
      </c>
      <c r="B19" s="12" t="s">
        <v>1110</v>
      </c>
      <c r="C19" s="12" t="s">
        <v>97</v>
      </c>
      <c r="D19" s="12" t="s">
        <v>97</v>
      </c>
      <c r="E19" s="12" t="s">
        <v>97</v>
      </c>
      <c r="F19" s="12" t="s">
        <v>97</v>
      </c>
      <c r="G19" s="12" t="s">
        <v>97</v>
      </c>
      <c r="H19" s="12" t="s">
        <v>97</v>
      </c>
      <c r="I19" s="12" t="s">
        <v>97</v>
      </c>
      <c r="J19" s="12" t="s">
        <v>97</v>
      </c>
      <c r="K19" s="12" t="s">
        <v>97</v>
      </c>
      <c r="L19" s="12" t="s">
        <v>97</v>
      </c>
      <c r="M19" s="12" t="s">
        <v>97</v>
      </c>
      <c r="N19" s="12" t="s">
        <v>97</v>
      </c>
      <c r="O19" s="12" t="s">
        <v>97</v>
      </c>
      <c r="P19" s="12" t="s">
        <v>97</v>
      </c>
      <c r="Q19" s="12" t="s">
        <v>97</v>
      </c>
      <c r="R19" s="12" t="s">
        <v>97</v>
      </c>
      <c r="S19" s="12" t="s">
        <v>97</v>
      </c>
      <c r="T19" s="12" t="s">
        <v>97</v>
      </c>
      <c r="U19" s="12" t="s">
        <v>97</v>
      </c>
      <c r="V19" s="12" t="s">
        <v>97</v>
      </c>
      <c r="W19" s="12" t="s">
        <v>97</v>
      </c>
      <c r="X19" s="12" t="s">
        <v>97</v>
      </c>
      <c r="Y19" s="12" t="s">
        <v>97</v>
      </c>
      <c r="Z19" s="12" t="s">
        <v>97</v>
      </c>
      <c r="AA19" s="12" t="s">
        <v>97</v>
      </c>
      <c r="AB19" s="12" t="s">
        <v>97</v>
      </c>
      <c r="AC19" s="12" t="s">
        <v>97</v>
      </c>
      <c r="AD19" s="12" t="s">
        <v>97</v>
      </c>
      <c r="AE19" s="12" t="s">
        <v>97</v>
      </c>
      <c r="AF19" s="12" t="s">
        <v>97</v>
      </c>
      <c r="AG19" s="12" t="s">
        <v>97</v>
      </c>
      <c r="AH19" s="12" t="s">
        <v>97</v>
      </c>
      <c r="AI19" s="12" t="s">
        <v>97</v>
      </c>
      <c r="AJ19" s="12" t="s">
        <v>97</v>
      </c>
      <c r="AK19" s="12" t="s">
        <v>97</v>
      </c>
      <c r="AL19" s="12" t="s">
        <v>97</v>
      </c>
      <c r="AM19" s="12" t="s">
        <v>97</v>
      </c>
      <c r="AN19" s="12" t="s">
        <v>97</v>
      </c>
      <c r="AO19" s="12" t="s">
        <v>97</v>
      </c>
      <c r="AP19" s="12" t="s">
        <v>97</v>
      </c>
      <c r="AQ19" s="12" t="s">
        <v>97</v>
      </c>
      <c r="AR19" s="12" t="s">
        <v>97</v>
      </c>
      <c r="AS19" s="12" t="s">
        <v>97</v>
      </c>
      <c r="AT19" s="12" t="s">
        <v>97</v>
      </c>
      <c r="AU19" s="12" t="s">
        <v>97</v>
      </c>
      <c r="AV19" s="12" t="s">
        <v>97</v>
      </c>
      <c r="AW19" s="12" t="s">
        <v>97</v>
      </c>
      <c r="AX19" s="12" t="s">
        <v>97</v>
      </c>
      <c r="AY19" s="12" t="s">
        <v>97</v>
      </c>
      <c r="AZ19" s="12" t="s">
        <v>97</v>
      </c>
      <c r="BA19" s="12" t="s">
        <v>97</v>
      </c>
      <c r="BB19" s="12" t="s">
        <v>97</v>
      </c>
      <c r="BC19" s="12" t="s">
        <v>97</v>
      </c>
      <c r="BD19" s="12" t="s">
        <v>97</v>
      </c>
      <c r="BE19" s="12" t="s">
        <v>97</v>
      </c>
      <c r="BF19" s="12" t="s">
        <v>97</v>
      </c>
      <c r="BG19" s="12" t="s">
        <v>97</v>
      </c>
      <c r="BH19" s="12" t="s">
        <v>97</v>
      </c>
      <c r="BI19" s="12" t="s">
        <v>97</v>
      </c>
      <c r="BJ19" s="12" t="s">
        <v>97</v>
      </c>
      <c r="BK19" s="12" t="s">
        <v>97</v>
      </c>
      <c r="BL19" s="12" t="s">
        <v>97</v>
      </c>
      <c r="BM19" s="12" t="s">
        <v>97</v>
      </c>
      <c r="BN19" s="12" t="s">
        <v>97</v>
      </c>
      <c r="BO19" s="12" t="s">
        <v>97</v>
      </c>
      <c r="BP19" s="12" t="s">
        <v>97</v>
      </c>
      <c r="BQ19" s="12" t="s">
        <v>97</v>
      </c>
      <c r="BR19" s="12" t="s">
        <v>97</v>
      </c>
      <c r="BS19" s="12" t="s">
        <v>97</v>
      </c>
      <c r="BT19" s="12" t="s">
        <v>97</v>
      </c>
      <c r="BU19" s="12" t="s">
        <v>97</v>
      </c>
      <c r="BV19" s="12" t="s">
        <v>97</v>
      </c>
      <c r="BW19" s="12" t="s">
        <v>97</v>
      </c>
      <c r="BX19" s="12" t="s">
        <v>97</v>
      </c>
      <c r="BY19" s="12" t="s">
        <v>97</v>
      </c>
      <c r="BZ19" s="12" t="s">
        <v>97</v>
      </c>
      <c r="CA19" s="12" t="s">
        <v>97</v>
      </c>
      <c r="CB19" s="12" t="s">
        <v>97</v>
      </c>
      <c r="CC19" s="12" t="s">
        <v>97</v>
      </c>
      <c r="CD19" s="12" t="s">
        <v>97</v>
      </c>
      <c r="CE19" s="12" t="s">
        <v>97</v>
      </c>
      <c r="CF19" s="12" t="s">
        <v>97</v>
      </c>
      <c r="CG19" s="12" t="s">
        <v>97</v>
      </c>
      <c r="CH19" s="12" t="s">
        <v>97</v>
      </c>
      <c r="CI19" s="12" t="s">
        <v>97</v>
      </c>
      <c r="CJ19" s="12" t="s">
        <v>97</v>
      </c>
      <c r="CK19" s="12" t="s">
        <v>97</v>
      </c>
      <c r="CL19" s="12" t="s">
        <v>97</v>
      </c>
      <c r="CM19" s="12" t="s">
        <v>97</v>
      </c>
      <c r="CN19" s="12" t="s">
        <v>97</v>
      </c>
      <c r="CO19" s="12" t="s">
        <v>97</v>
      </c>
      <c r="CP19" s="12" t="s">
        <v>97</v>
      </c>
      <c r="CQ19" s="12" t="s">
        <v>97</v>
      </c>
      <c r="CR19" s="12" t="s">
        <v>97</v>
      </c>
      <c r="CS19" s="12" t="s">
        <v>97</v>
      </c>
      <c r="CT19" s="12" t="s">
        <v>97</v>
      </c>
      <c r="CU19" s="12" t="s">
        <v>97</v>
      </c>
      <c r="CV19" s="12" t="s">
        <v>97</v>
      </c>
      <c r="CW19" s="12" t="s">
        <v>97</v>
      </c>
      <c r="CX19" s="12" t="s">
        <v>97</v>
      </c>
    </row>
    <row r="20" spans="1:102">
      <c r="A20" t="s">
        <v>1033</v>
      </c>
      <c r="B20" t="s">
        <v>1111</v>
      </c>
      <c r="C20">
        <v>10088</v>
      </c>
      <c r="D20">
        <v>10224</v>
      </c>
      <c r="E20">
        <v>10302</v>
      </c>
      <c r="F20">
        <v>10409</v>
      </c>
      <c r="G20">
        <v>10227</v>
      </c>
      <c r="H20">
        <v>9320</v>
      </c>
      <c r="I20">
        <v>8069</v>
      </c>
      <c r="J20">
        <v>7099</v>
      </c>
      <c r="K20">
        <v>7514</v>
      </c>
      <c r="L20">
        <v>7541</v>
      </c>
      <c r="M20">
        <v>7480</v>
      </c>
      <c r="N20">
        <v>7769</v>
      </c>
      <c r="O20">
        <v>8137</v>
      </c>
      <c r="P20">
        <v>7947</v>
      </c>
      <c r="Q20">
        <v>7428</v>
      </c>
      <c r="R20">
        <v>7706</v>
      </c>
      <c r="S20">
        <v>9248</v>
      </c>
      <c r="T20">
        <v>10488</v>
      </c>
      <c r="U20">
        <v>11456</v>
      </c>
      <c r="V20">
        <v>11993</v>
      </c>
      <c r="W20">
        <v>13179</v>
      </c>
      <c r="X20">
        <v>16108</v>
      </c>
      <c r="Y20">
        <v>19859</v>
      </c>
      <c r="Z20">
        <v>22551</v>
      </c>
      <c r="AA20">
        <v>23583</v>
      </c>
      <c r="AB20">
        <v>27394</v>
      </c>
      <c r="AC20">
        <v>29857</v>
      </c>
      <c r="AD20">
        <v>31328</v>
      </c>
      <c r="AE20">
        <v>31749</v>
      </c>
      <c r="AF20">
        <v>31689</v>
      </c>
      <c r="AG20">
        <v>33947</v>
      </c>
      <c r="AH20">
        <v>35332</v>
      </c>
      <c r="AI20">
        <v>36447</v>
      </c>
      <c r="AJ20">
        <v>36087</v>
      </c>
      <c r="AK20">
        <v>36891</v>
      </c>
      <c r="AL20">
        <v>37255</v>
      </c>
      <c r="AM20">
        <v>37957</v>
      </c>
      <c r="AN20">
        <v>39181</v>
      </c>
      <c r="AO20">
        <v>40808</v>
      </c>
      <c r="AP20">
        <v>43026</v>
      </c>
      <c r="AQ20">
        <v>45678</v>
      </c>
      <c r="AR20">
        <v>49058</v>
      </c>
      <c r="AS20">
        <v>52276</v>
      </c>
      <c r="AT20">
        <v>56068</v>
      </c>
      <c r="AU20">
        <v>60175</v>
      </c>
      <c r="AV20">
        <v>65057</v>
      </c>
      <c r="AW20">
        <v>70712</v>
      </c>
      <c r="AX20">
        <v>75482</v>
      </c>
      <c r="AY20">
        <v>84697</v>
      </c>
      <c r="AZ20">
        <v>102984</v>
      </c>
      <c r="BA20">
        <v>113813</v>
      </c>
      <c r="BB20">
        <v>125599</v>
      </c>
      <c r="BC20">
        <v>140684</v>
      </c>
      <c r="BD20">
        <v>159062</v>
      </c>
      <c r="BE20">
        <v>185895</v>
      </c>
      <c r="BF20">
        <v>207967</v>
      </c>
      <c r="BG20">
        <v>227529</v>
      </c>
      <c r="BH20">
        <v>235095</v>
      </c>
      <c r="BI20">
        <v>235752</v>
      </c>
      <c r="BJ20">
        <v>237513</v>
      </c>
      <c r="BK20">
        <v>235091</v>
      </c>
      <c r="BL20">
        <v>235487</v>
      </c>
      <c r="BM20">
        <v>234913</v>
      </c>
      <c r="BN20">
        <v>238517</v>
      </c>
      <c r="BO20">
        <v>243495</v>
      </c>
      <c r="BP20">
        <v>248444</v>
      </c>
      <c r="BQ20">
        <v>248140</v>
      </c>
      <c r="BR20">
        <v>247586</v>
      </c>
      <c r="BS20">
        <v>252674</v>
      </c>
      <c r="BT20">
        <v>261617</v>
      </c>
      <c r="BU20">
        <v>268914</v>
      </c>
      <c r="BV20">
        <v>275957</v>
      </c>
      <c r="BW20">
        <v>286345</v>
      </c>
      <c r="BX20">
        <v>297043</v>
      </c>
      <c r="BY20">
        <v>302866</v>
      </c>
      <c r="BZ20">
        <v>311046</v>
      </c>
      <c r="CA20">
        <v>319935</v>
      </c>
      <c r="CB20">
        <v>328265</v>
      </c>
      <c r="CC20">
        <v>340237</v>
      </c>
      <c r="CD20">
        <v>366930</v>
      </c>
      <c r="CE20">
        <v>394433</v>
      </c>
      <c r="CF20">
        <v>416344</v>
      </c>
      <c r="CG20">
        <v>430378</v>
      </c>
      <c r="CH20">
        <v>446488</v>
      </c>
      <c r="CI20">
        <v>433718</v>
      </c>
      <c r="CJ20">
        <v>438239</v>
      </c>
      <c r="CK20">
        <v>455835</v>
      </c>
      <c r="CL20">
        <v>482392</v>
      </c>
      <c r="CM20">
        <v>523235</v>
      </c>
      <c r="CN20">
        <v>563371</v>
      </c>
      <c r="CO20">
        <v>575861</v>
      </c>
      <c r="CP20">
        <v>587963</v>
      </c>
      <c r="CQ20">
        <v>598011</v>
      </c>
      <c r="CR20">
        <v>615484</v>
      </c>
      <c r="CS20">
        <v>630191</v>
      </c>
      <c r="CT20">
        <v>644526</v>
      </c>
      <c r="CU20">
        <v>718468</v>
      </c>
      <c r="CV20">
        <v>790460</v>
      </c>
      <c r="CW20">
        <v>808573</v>
      </c>
      <c r="CX20">
        <v>828559</v>
      </c>
    </row>
    <row r="21" spans="1:102">
      <c r="A21" t="s">
        <v>1035</v>
      </c>
      <c r="B21" t="s">
        <v>1112</v>
      </c>
      <c r="C21">
        <v>17362</v>
      </c>
      <c r="D21">
        <v>17787</v>
      </c>
      <c r="E21">
        <v>18109</v>
      </c>
      <c r="F21">
        <v>18860</v>
      </c>
      <c r="G21">
        <v>18712</v>
      </c>
      <c r="H21">
        <v>17292</v>
      </c>
      <c r="I21">
        <v>15320</v>
      </c>
      <c r="J21">
        <v>14024</v>
      </c>
      <c r="K21">
        <v>15603</v>
      </c>
      <c r="L21">
        <v>16296</v>
      </c>
      <c r="M21">
        <v>16500</v>
      </c>
      <c r="N21">
        <v>18522</v>
      </c>
      <c r="O21">
        <v>19865</v>
      </c>
      <c r="P21">
        <v>19406</v>
      </c>
      <c r="Q21">
        <v>20084</v>
      </c>
      <c r="R21">
        <v>22219</v>
      </c>
      <c r="S21">
        <v>26305</v>
      </c>
      <c r="T21">
        <v>28695</v>
      </c>
      <c r="U21">
        <v>28738</v>
      </c>
      <c r="V21">
        <v>29092</v>
      </c>
      <c r="W21">
        <v>33256</v>
      </c>
      <c r="X21">
        <v>40847</v>
      </c>
      <c r="Y21">
        <v>49855</v>
      </c>
      <c r="Z21">
        <v>55397</v>
      </c>
      <c r="AA21">
        <v>54814</v>
      </c>
      <c r="AB21">
        <v>62703</v>
      </c>
      <c r="AC21">
        <v>69069</v>
      </c>
      <c r="AD21">
        <v>73256</v>
      </c>
      <c r="AE21">
        <v>77379</v>
      </c>
      <c r="AF21">
        <v>80201</v>
      </c>
      <c r="AG21">
        <v>88789</v>
      </c>
      <c r="AH21">
        <v>101312</v>
      </c>
      <c r="AI21">
        <v>110330</v>
      </c>
      <c r="AJ21">
        <v>111613</v>
      </c>
      <c r="AK21">
        <v>115390</v>
      </c>
      <c r="AL21">
        <v>118824</v>
      </c>
      <c r="AM21">
        <v>122154</v>
      </c>
      <c r="AN21">
        <v>127287</v>
      </c>
      <c r="AO21">
        <v>132535</v>
      </c>
      <c r="AP21">
        <v>141347</v>
      </c>
      <c r="AQ21">
        <v>153221</v>
      </c>
      <c r="AR21">
        <v>171773</v>
      </c>
      <c r="AS21">
        <v>188710</v>
      </c>
      <c r="AT21">
        <v>209739</v>
      </c>
      <c r="AU21">
        <v>231810</v>
      </c>
      <c r="AV21">
        <v>255204</v>
      </c>
      <c r="AW21">
        <v>277408</v>
      </c>
      <c r="AX21">
        <v>298586</v>
      </c>
      <c r="AY21">
        <v>331483</v>
      </c>
      <c r="AZ21">
        <v>401479</v>
      </c>
      <c r="BA21">
        <v>448200</v>
      </c>
      <c r="BB21">
        <v>490883</v>
      </c>
      <c r="BC21">
        <v>547198</v>
      </c>
      <c r="BD21">
        <v>617832</v>
      </c>
      <c r="BE21">
        <v>712544</v>
      </c>
      <c r="BF21">
        <v>820711</v>
      </c>
      <c r="BG21">
        <v>911240</v>
      </c>
      <c r="BH21">
        <v>971212</v>
      </c>
      <c r="BI21">
        <v>1002516</v>
      </c>
      <c r="BJ21">
        <v>1052677</v>
      </c>
      <c r="BK21">
        <v>1115981</v>
      </c>
      <c r="BL21">
        <v>1174676</v>
      </c>
      <c r="BM21">
        <v>1232980</v>
      </c>
      <c r="BN21">
        <v>1292260</v>
      </c>
      <c r="BO21">
        <v>1360646</v>
      </c>
      <c r="BP21">
        <v>1437022</v>
      </c>
      <c r="BQ21">
        <v>1482651</v>
      </c>
      <c r="BR21">
        <v>1535428</v>
      </c>
      <c r="BS21">
        <v>1586642</v>
      </c>
      <c r="BT21">
        <v>1671436</v>
      </c>
      <c r="BU21">
        <v>1767955</v>
      </c>
      <c r="BV21">
        <v>1863493</v>
      </c>
      <c r="BW21">
        <v>1963059</v>
      </c>
      <c r="BX21">
        <v>2071540</v>
      </c>
      <c r="BY21">
        <v>2168845</v>
      </c>
      <c r="BZ21">
        <v>2272252</v>
      </c>
      <c r="CA21">
        <v>2339038</v>
      </c>
      <c r="CB21">
        <v>2369432</v>
      </c>
      <c r="CC21">
        <v>2406975</v>
      </c>
      <c r="CD21">
        <v>2515035</v>
      </c>
      <c r="CE21">
        <v>2648944</v>
      </c>
      <c r="CF21">
        <v>2777020</v>
      </c>
      <c r="CG21">
        <v>2945690</v>
      </c>
      <c r="CH21">
        <v>3133177</v>
      </c>
      <c r="CI21">
        <v>3088644</v>
      </c>
      <c r="CJ21">
        <v>3137263</v>
      </c>
      <c r="CK21">
        <v>3263592</v>
      </c>
      <c r="CL21">
        <v>3354679</v>
      </c>
      <c r="CM21">
        <v>3499153</v>
      </c>
      <c r="CN21">
        <v>3613327</v>
      </c>
      <c r="CO21">
        <v>3686136</v>
      </c>
      <c r="CP21">
        <v>3789196</v>
      </c>
      <c r="CQ21">
        <v>3955951</v>
      </c>
      <c r="CR21">
        <v>4158206</v>
      </c>
      <c r="CS21">
        <v>4327353</v>
      </c>
      <c r="CT21">
        <v>4532196</v>
      </c>
      <c r="CU21">
        <v>4936871</v>
      </c>
      <c r="CV21">
        <v>5459692</v>
      </c>
      <c r="CW21">
        <v>5615309</v>
      </c>
      <c r="CX21">
        <v>5793216</v>
      </c>
    </row>
    <row r="22" spans="1:102">
      <c r="A22" t="s">
        <v>1037</v>
      </c>
      <c r="B22" t="s">
        <v>1113</v>
      </c>
      <c r="C22">
        <v>99527</v>
      </c>
      <c r="D22">
        <v>103527</v>
      </c>
      <c r="E22">
        <v>105764</v>
      </c>
      <c r="F22">
        <v>108504</v>
      </c>
      <c r="G22">
        <v>108131</v>
      </c>
      <c r="H22">
        <v>103608</v>
      </c>
      <c r="I22">
        <v>92855</v>
      </c>
      <c r="J22">
        <v>86520</v>
      </c>
      <c r="K22">
        <v>86161</v>
      </c>
      <c r="L22">
        <v>86811</v>
      </c>
      <c r="M22">
        <v>86335</v>
      </c>
      <c r="N22">
        <v>95070</v>
      </c>
      <c r="O22">
        <v>98496</v>
      </c>
      <c r="P22">
        <v>97834</v>
      </c>
      <c r="Q22">
        <v>97988</v>
      </c>
      <c r="R22">
        <v>103663</v>
      </c>
      <c r="S22">
        <v>115403</v>
      </c>
      <c r="T22">
        <v>121338</v>
      </c>
      <c r="U22">
        <v>123126</v>
      </c>
      <c r="V22">
        <v>124151</v>
      </c>
      <c r="W22">
        <v>133772</v>
      </c>
      <c r="X22">
        <v>164052</v>
      </c>
      <c r="Y22">
        <v>196010</v>
      </c>
      <c r="Z22">
        <v>213609</v>
      </c>
      <c r="AA22">
        <v>218274</v>
      </c>
      <c r="AB22">
        <v>245771</v>
      </c>
      <c r="AC22">
        <v>267300</v>
      </c>
      <c r="AD22">
        <v>281726</v>
      </c>
      <c r="AE22">
        <v>294590</v>
      </c>
      <c r="AF22">
        <v>303033</v>
      </c>
      <c r="AG22">
        <v>334315</v>
      </c>
      <c r="AH22">
        <v>368891</v>
      </c>
      <c r="AI22">
        <v>393859</v>
      </c>
      <c r="AJ22">
        <v>403656</v>
      </c>
      <c r="AK22">
        <v>421678</v>
      </c>
      <c r="AL22">
        <v>430792</v>
      </c>
      <c r="AM22">
        <v>444217</v>
      </c>
      <c r="AN22">
        <v>460327</v>
      </c>
      <c r="AO22">
        <v>477260</v>
      </c>
      <c r="AP22">
        <v>504945</v>
      </c>
      <c r="AQ22">
        <v>539944</v>
      </c>
      <c r="AR22">
        <v>583432</v>
      </c>
      <c r="AS22">
        <v>630202</v>
      </c>
      <c r="AT22">
        <v>692079</v>
      </c>
      <c r="AU22">
        <v>763791</v>
      </c>
      <c r="AV22">
        <v>841374</v>
      </c>
      <c r="AW22">
        <v>926999</v>
      </c>
      <c r="AX22">
        <v>1011628</v>
      </c>
      <c r="AY22">
        <v>1144469</v>
      </c>
      <c r="AZ22">
        <v>1389502</v>
      </c>
      <c r="BA22">
        <v>1521523</v>
      </c>
      <c r="BB22">
        <v>1663754</v>
      </c>
      <c r="BC22">
        <v>1844747</v>
      </c>
      <c r="BD22">
        <v>2093241</v>
      </c>
      <c r="BE22">
        <v>2415516</v>
      </c>
      <c r="BF22">
        <v>2771611</v>
      </c>
      <c r="BG22">
        <v>3161452</v>
      </c>
      <c r="BH22">
        <v>3382857</v>
      </c>
      <c r="BI22">
        <v>3506456</v>
      </c>
      <c r="BJ22">
        <v>3750785</v>
      </c>
      <c r="BK22">
        <v>3981335</v>
      </c>
      <c r="BL22">
        <v>4193598</v>
      </c>
      <c r="BM22">
        <v>4451210</v>
      </c>
      <c r="BN22">
        <v>4780451</v>
      </c>
      <c r="BO22">
        <v>5095699</v>
      </c>
      <c r="BP22">
        <v>5385788</v>
      </c>
      <c r="BQ22">
        <v>5511706</v>
      </c>
      <c r="BR22">
        <v>5704338</v>
      </c>
      <c r="BS22">
        <v>5998809</v>
      </c>
      <c r="BT22">
        <v>6340151</v>
      </c>
      <c r="BU22">
        <v>6686689</v>
      </c>
      <c r="BV22">
        <v>7012681</v>
      </c>
      <c r="BW22">
        <v>7425069</v>
      </c>
      <c r="BX22">
        <v>7858138</v>
      </c>
      <c r="BY22">
        <v>8377538</v>
      </c>
      <c r="BZ22">
        <v>9024567</v>
      </c>
      <c r="CA22">
        <v>9530423</v>
      </c>
      <c r="CB22">
        <v>9918629</v>
      </c>
      <c r="CC22">
        <v>10291005</v>
      </c>
      <c r="CD22">
        <v>11270580</v>
      </c>
      <c r="CE22">
        <v>12386099</v>
      </c>
      <c r="CF22">
        <v>13512638</v>
      </c>
      <c r="CG22">
        <v>14271529</v>
      </c>
      <c r="CH22">
        <v>15208316</v>
      </c>
      <c r="CI22">
        <v>14711482</v>
      </c>
      <c r="CJ22">
        <v>15106206</v>
      </c>
      <c r="CK22">
        <v>15830005</v>
      </c>
      <c r="CL22">
        <v>16364724</v>
      </c>
      <c r="CM22">
        <v>17017403</v>
      </c>
      <c r="CN22">
        <v>17845504</v>
      </c>
      <c r="CO22">
        <v>18232317</v>
      </c>
      <c r="CP22">
        <v>18784833</v>
      </c>
      <c r="CQ22">
        <v>19512941</v>
      </c>
      <c r="CR22">
        <v>20453623</v>
      </c>
      <c r="CS22">
        <v>21466310</v>
      </c>
      <c r="CT22">
        <v>21833427</v>
      </c>
      <c r="CU22">
        <v>24396509</v>
      </c>
      <c r="CV22">
        <v>27423509</v>
      </c>
      <c r="CW22">
        <v>28347143</v>
      </c>
      <c r="CX22">
        <v>29278165</v>
      </c>
    </row>
  </sheetData>
  <mergeCells count="4">
    <mergeCell ref="A1:CX1"/>
    <mergeCell ref="A2:CX2"/>
    <mergeCell ref="A3:CX3"/>
    <mergeCell ref="A4:CX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71242-9D32-BA41-98C1-F732EBC63683}">
  <dimension ref="A1:CX24"/>
  <sheetViews>
    <sheetView topLeftCell="N1" workbookViewId="0">
      <selection activeCell="X11" sqref="X11:CX11"/>
    </sheetView>
  </sheetViews>
  <sheetFormatPr baseColWidth="10" defaultColWidth="11.5" defaultRowHeight="16"/>
  <sheetData>
    <row r="1" spans="1:102" ht="19">
      <c r="A1" s="53" t="s">
        <v>1114</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c r="BT1" s="53"/>
      <c r="BU1" s="53"/>
      <c r="BV1" s="53"/>
      <c r="BW1" s="53"/>
      <c r="BX1" s="53"/>
      <c r="BY1" s="53"/>
      <c r="BZ1" s="53"/>
      <c r="CA1" s="53"/>
      <c r="CB1" s="53"/>
      <c r="CC1" s="53"/>
      <c r="CD1" s="53"/>
      <c r="CE1" s="53"/>
      <c r="CF1" s="53"/>
      <c r="CG1" s="53"/>
      <c r="CH1" s="53"/>
      <c r="CI1" s="53"/>
      <c r="CJ1" s="53"/>
      <c r="CK1" s="53"/>
      <c r="CL1" s="53"/>
      <c r="CM1" s="53"/>
      <c r="CN1" s="53"/>
      <c r="CO1" s="53"/>
      <c r="CP1" s="53"/>
      <c r="CQ1" s="53"/>
      <c r="CR1" s="53"/>
      <c r="CS1" s="53"/>
      <c r="CT1" s="53"/>
      <c r="CU1" s="53"/>
      <c r="CV1" s="53"/>
      <c r="CW1" s="53"/>
      <c r="CX1" s="53"/>
    </row>
    <row r="2" spans="1:102" ht="17">
      <c r="A2" s="54" t="s">
        <v>991</v>
      </c>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c r="CV2" s="54"/>
      <c r="CW2" s="54"/>
      <c r="CX2" s="54"/>
    </row>
    <row r="3" spans="1:102">
      <c r="A3" s="56" t="s">
        <v>992</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row>
    <row r="4" spans="1:102">
      <c r="A4" s="56" t="s">
        <v>1094</v>
      </c>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c r="BN4" s="56"/>
      <c r="BO4" s="56"/>
      <c r="BP4" s="56"/>
      <c r="BQ4" s="56"/>
      <c r="BR4" s="56"/>
      <c r="BS4" s="56"/>
      <c r="BT4" s="56"/>
      <c r="BU4" s="56"/>
      <c r="BV4" s="56"/>
      <c r="BW4" s="56"/>
      <c r="BX4" s="56"/>
      <c r="BY4" s="56"/>
      <c r="BZ4" s="56"/>
      <c r="CA4" s="56"/>
      <c r="CB4" s="56"/>
      <c r="CC4" s="56"/>
      <c r="CD4" s="56"/>
      <c r="CE4" s="56"/>
      <c r="CF4" s="56"/>
      <c r="CG4" s="56"/>
      <c r="CH4" s="56"/>
      <c r="CI4" s="56"/>
      <c r="CJ4" s="56"/>
      <c r="CK4" s="56"/>
      <c r="CL4" s="56"/>
      <c r="CM4" s="56"/>
      <c r="CN4" s="56"/>
      <c r="CO4" s="56"/>
      <c r="CP4" s="56"/>
      <c r="CQ4" s="56"/>
      <c r="CR4" s="56"/>
      <c r="CS4" s="56"/>
      <c r="CT4" s="56"/>
      <c r="CU4" s="56"/>
      <c r="CV4" s="56"/>
      <c r="CW4" s="56"/>
      <c r="CX4" s="56"/>
    </row>
    <row r="5" spans="1:102">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row>
    <row r="6" spans="1:102">
      <c r="A6" s="14" t="s">
        <v>994</v>
      </c>
      <c r="B6" s="15"/>
      <c r="C6" s="15">
        <v>1925</v>
      </c>
      <c r="D6" s="15">
        <v>1926</v>
      </c>
      <c r="E6" s="15">
        <v>1927</v>
      </c>
      <c r="F6" s="15">
        <v>1928</v>
      </c>
      <c r="G6" s="15">
        <v>1929</v>
      </c>
      <c r="H6" s="15">
        <v>1930</v>
      </c>
      <c r="I6" s="15">
        <v>1931</v>
      </c>
      <c r="J6" s="15">
        <v>1932</v>
      </c>
      <c r="K6" s="15">
        <v>1933</v>
      </c>
      <c r="L6" s="15">
        <v>1934</v>
      </c>
      <c r="M6" s="15">
        <v>1935</v>
      </c>
      <c r="N6" s="15">
        <v>1936</v>
      </c>
      <c r="O6" s="15">
        <v>1937</v>
      </c>
      <c r="P6" s="15">
        <v>1938</v>
      </c>
      <c r="Q6" s="15">
        <v>1939</v>
      </c>
      <c r="R6" s="15">
        <v>1940</v>
      </c>
      <c r="S6" s="15">
        <v>1941</v>
      </c>
      <c r="T6" s="15">
        <v>1942</v>
      </c>
      <c r="U6" s="15">
        <v>1943</v>
      </c>
      <c r="V6" s="15">
        <v>1944</v>
      </c>
      <c r="W6" s="15">
        <v>1945</v>
      </c>
      <c r="X6" s="15">
        <v>1946</v>
      </c>
      <c r="Y6" s="15">
        <v>1947</v>
      </c>
      <c r="Z6" s="15">
        <v>1948</v>
      </c>
      <c r="AA6" s="15">
        <v>1949</v>
      </c>
      <c r="AB6" s="15">
        <v>1950</v>
      </c>
      <c r="AC6" s="15">
        <v>1951</v>
      </c>
      <c r="AD6" s="15">
        <v>1952</v>
      </c>
      <c r="AE6" s="15">
        <v>1953</v>
      </c>
      <c r="AF6" s="15">
        <v>1954</v>
      </c>
      <c r="AG6" s="15">
        <v>1955</v>
      </c>
      <c r="AH6" s="15">
        <v>1956</v>
      </c>
      <c r="AI6" s="15">
        <v>1957</v>
      </c>
      <c r="AJ6" s="15">
        <v>1958</v>
      </c>
      <c r="AK6" s="15">
        <v>1959</v>
      </c>
      <c r="AL6" s="15">
        <v>1960</v>
      </c>
      <c r="AM6" s="15">
        <v>1961</v>
      </c>
      <c r="AN6" s="15">
        <v>1962</v>
      </c>
      <c r="AO6" s="15">
        <v>1963</v>
      </c>
      <c r="AP6" s="15">
        <v>1964</v>
      </c>
      <c r="AQ6" s="15">
        <v>1965</v>
      </c>
      <c r="AR6" s="15">
        <v>1966</v>
      </c>
      <c r="AS6" s="15">
        <v>1967</v>
      </c>
      <c r="AT6" s="15">
        <v>1968</v>
      </c>
      <c r="AU6" s="15">
        <v>1969</v>
      </c>
      <c r="AV6" s="15">
        <v>1970</v>
      </c>
      <c r="AW6" s="15">
        <v>1971</v>
      </c>
      <c r="AX6" s="15">
        <v>1972</v>
      </c>
      <c r="AY6" s="15">
        <v>1973</v>
      </c>
      <c r="AZ6" s="15">
        <v>1974</v>
      </c>
      <c r="BA6" s="15">
        <v>1975</v>
      </c>
      <c r="BB6" s="15">
        <v>1976</v>
      </c>
      <c r="BC6" s="15">
        <v>1977</v>
      </c>
      <c r="BD6" s="15">
        <v>1978</v>
      </c>
      <c r="BE6" s="15">
        <v>1979</v>
      </c>
      <c r="BF6" s="15">
        <v>1980</v>
      </c>
      <c r="BG6" s="15">
        <v>1981</v>
      </c>
      <c r="BH6" s="15">
        <v>1982</v>
      </c>
      <c r="BI6" s="15">
        <v>1983</v>
      </c>
      <c r="BJ6" s="15">
        <v>1984</v>
      </c>
      <c r="BK6" s="15">
        <v>1985</v>
      </c>
      <c r="BL6" s="15">
        <v>1986</v>
      </c>
      <c r="BM6" s="15">
        <v>1987</v>
      </c>
      <c r="BN6" s="15">
        <v>1988</v>
      </c>
      <c r="BO6" s="15">
        <v>1989</v>
      </c>
      <c r="BP6" s="15">
        <v>1990</v>
      </c>
      <c r="BQ6" s="15">
        <v>1991</v>
      </c>
      <c r="BR6" s="15">
        <v>1992</v>
      </c>
      <c r="BS6" s="15">
        <v>1993</v>
      </c>
      <c r="BT6" s="15">
        <v>1994</v>
      </c>
      <c r="BU6" s="15">
        <v>1995</v>
      </c>
      <c r="BV6" s="15">
        <v>1996</v>
      </c>
      <c r="BW6" s="15">
        <v>1997</v>
      </c>
      <c r="BX6" s="15">
        <v>1998</v>
      </c>
      <c r="BY6" s="15">
        <v>1999</v>
      </c>
      <c r="BZ6" s="15">
        <v>2000</v>
      </c>
      <c r="CA6" s="15">
        <v>2001</v>
      </c>
      <c r="CB6" s="15">
        <v>2002</v>
      </c>
      <c r="CC6" s="15">
        <v>2003</v>
      </c>
      <c r="CD6" s="15">
        <v>2004</v>
      </c>
      <c r="CE6" s="15">
        <v>2005</v>
      </c>
      <c r="CF6" s="15">
        <v>2006</v>
      </c>
      <c r="CG6" s="15">
        <v>2007</v>
      </c>
      <c r="CH6" s="15">
        <v>2008</v>
      </c>
      <c r="CI6" s="15">
        <v>2009</v>
      </c>
      <c r="CJ6" s="15">
        <v>2010</v>
      </c>
      <c r="CK6" s="15">
        <v>2011</v>
      </c>
      <c r="CL6" s="15">
        <v>2012</v>
      </c>
      <c r="CM6" s="15">
        <v>2013</v>
      </c>
      <c r="CN6" s="15">
        <v>2014</v>
      </c>
      <c r="CO6" s="15">
        <v>2015</v>
      </c>
      <c r="CP6" s="15">
        <v>2016</v>
      </c>
      <c r="CQ6" s="15">
        <v>2017</v>
      </c>
      <c r="CR6" s="15">
        <v>2018</v>
      </c>
      <c r="CS6" s="15">
        <v>2019</v>
      </c>
      <c r="CT6" s="15">
        <v>2020</v>
      </c>
      <c r="CU6" s="15">
        <v>2021</v>
      </c>
      <c r="CV6" s="15">
        <v>2022</v>
      </c>
      <c r="CW6" s="15">
        <v>2023</v>
      </c>
      <c r="CX6" s="15">
        <v>2024</v>
      </c>
    </row>
    <row r="7" spans="1:102">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row>
    <row r="8" spans="1:102">
      <c r="A8" s="13">
        <v>1</v>
      </c>
      <c r="B8" s="12" t="s">
        <v>1099</v>
      </c>
      <c r="C8" s="12">
        <v>7955</v>
      </c>
      <c r="D8" s="12">
        <v>8524</v>
      </c>
      <c r="E8" s="12">
        <v>8828</v>
      </c>
      <c r="F8" s="12">
        <v>9076</v>
      </c>
      <c r="G8" s="12">
        <v>9409</v>
      </c>
      <c r="H8" s="12">
        <v>9219</v>
      </c>
      <c r="I8" s="12">
        <v>8549</v>
      </c>
      <c r="J8" s="12">
        <v>7464</v>
      </c>
      <c r="K8" s="12">
        <v>7041</v>
      </c>
      <c r="L8" s="12">
        <v>7288</v>
      </c>
      <c r="M8" s="12">
        <v>7324</v>
      </c>
      <c r="N8" s="12">
        <v>7508</v>
      </c>
      <c r="O8" s="12">
        <v>8371</v>
      </c>
      <c r="P8" s="12">
        <v>8580</v>
      </c>
      <c r="Q8" s="12">
        <v>8590</v>
      </c>
      <c r="R8" s="12">
        <v>8976</v>
      </c>
      <c r="S8" s="12">
        <v>9950</v>
      </c>
      <c r="T8" s="12">
        <v>11246</v>
      </c>
      <c r="U8" s="12">
        <v>11539</v>
      </c>
      <c r="V8" s="12">
        <v>12038</v>
      </c>
      <c r="W8" s="12">
        <v>12507</v>
      </c>
      <c r="X8" s="12">
        <v>14247</v>
      </c>
      <c r="Y8" s="12">
        <v>17736</v>
      </c>
      <c r="Z8" s="12">
        <v>20821</v>
      </c>
      <c r="AA8" s="12">
        <v>22590</v>
      </c>
      <c r="AB8" s="12">
        <v>24334</v>
      </c>
      <c r="AC8" s="12">
        <v>27747</v>
      </c>
      <c r="AD8" s="12">
        <v>29544</v>
      </c>
      <c r="AE8" s="12">
        <v>31345</v>
      </c>
      <c r="AF8" s="12">
        <v>32959</v>
      </c>
      <c r="AG8" s="12">
        <v>34996</v>
      </c>
      <c r="AH8" s="12">
        <v>38812</v>
      </c>
      <c r="AI8" s="12">
        <v>42260</v>
      </c>
      <c r="AJ8" s="12">
        <v>44911</v>
      </c>
      <c r="AK8" s="12">
        <v>46820</v>
      </c>
      <c r="AL8" s="12">
        <v>48210</v>
      </c>
      <c r="AM8" s="12">
        <v>49782</v>
      </c>
      <c r="AN8" s="12">
        <v>51796</v>
      </c>
      <c r="AO8" s="12">
        <v>54159</v>
      </c>
      <c r="AP8" s="12">
        <v>57277</v>
      </c>
      <c r="AQ8" s="12">
        <v>61569</v>
      </c>
      <c r="AR8" s="12">
        <v>67173</v>
      </c>
      <c r="AS8" s="12">
        <v>73329</v>
      </c>
      <c r="AT8" s="12">
        <v>80604</v>
      </c>
      <c r="AU8" s="12">
        <v>89434</v>
      </c>
      <c r="AV8" s="12">
        <v>98261</v>
      </c>
      <c r="AW8" s="12">
        <v>107637</v>
      </c>
      <c r="AX8" s="12">
        <v>117495</v>
      </c>
      <c r="AY8" s="12">
        <v>131493</v>
      </c>
      <c r="AZ8" s="12">
        <v>153159</v>
      </c>
      <c r="BA8" s="12">
        <v>178787</v>
      </c>
      <c r="BB8" s="12">
        <v>196508</v>
      </c>
      <c r="BC8" s="12">
        <v>221120</v>
      </c>
      <c r="BD8" s="12">
        <v>252105</v>
      </c>
      <c r="BE8" s="12">
        <v>290723</v>
      </c>
      <c r="BF8" s="12">
        <v>334967</v>
      </c>
      <c r="BG8" s="12">
        <v>381921</v>
      </c>
      <c r="BH8" s="12">
        <v>420389</v>
      </c>
      <c r="BI8" s="12">
        <v>438784</v>
      </c>
      <c r="BJ8" s="12">
        <v>463508</v>
      </c>
      <c r="BK8" s="12">
        <v>496400</v>
      </c>
      <c r="BL8" s="12">
        <v>531562</v>
      </c>
      <c r="BM8" s="12">
        <v>566012</v>
      </c>
      <c r="BN8" s="12">
        <v>607911</v>
      </c>
      <c r="BO8" s="12">
        <v>649618</v>
      </c>
      <c r="BP8" s="12">
        <v>688395</v>
      </c>
      <c r="BQ8" s="12">
        <v>721456</v>
      </c>
      <c r="BR8" s="12">
        <v>742886</v>
      </c>
      <c r="BS8" s="12">
        <v>778209</v>
      </c>
      <c r="BT8" s="12">
        <v>822507</v>
      </c>
      <c r="BU8" s="12">
        <v>880716</v>
      </c>
      <c r="BV8" s="12">
        <v>929122</v>
      </c>
      <c r="BW8" s="12">
        <v>987736</v>
      </c>
      <c r="BX8" s="12">
        <v>1052162</v>
      </c>
      <c r="BY8" s="12">
        <v>1132214</v>
      </c>
      <c r="BZ8" s="12">
        <v>1231526</v>
      </c>
      <c r="CA8" s="12">
        <v>1311694</v>
      </c>
      <c r="CB8" s="12">
        <v>1361824</v>
      </c>
      <c r="CC8" s="12">
        <v>1411966</v>
      </c>
      <c r="CD8" s="12">
        <v>1497124</v>
      </c>
      <c r="CE8" s="12">
        <v>1622632</v>
      </c>
      <c r="CF8" s="12">
        <v>1751846</v>
      </c>
      <c r="CG8" s="12">
        <v>1852444</v>
      </c>
      <c r="CH8" s="12">
        <v>1931948</v>
      </c>
      <c r="CI8" s="12">
        <v>1928510</v>
      </c>
      <c r="CJ8" s="12">
        <v>1933238</v>
      </c>
      <c r="CK8" s="12">
        <v>1997214</v>
      </c>
      <c r="CL8" s="12">
        <v>2081931</v>
      </c>
      <c r="CM8" s="12">
        <v>2176593</v>
      </c>
      <c r="CN8" s="12">
        <v>2301350</v>
      </c>
      <c r="CO8" s="12">
        <v>2397865</v>
      </c>
      <c r="CP8" s="12">
        <v>2475581</v>
      </c>
      <c r="CQ8" s="12">
        <v>2599066</v>
      </c>
      <c r="CR8" s="12">
        <v>2737301</v>
      </c>
      <c r="CS8" s="12">
        <v>2879704</v>
      </c>
      <c r="CT8" s="12">
        <v>3005721</v>
      </c>
      <c r="CU8" s="12">
        <v>3211856</v>
      </c>
      <c r="CV8" s="12">
        <v>3578376</v>
      </c>
      <c r="CW8" s="12">
        <v>3800377</v>
      </c>
      <c r="CX8" s="12">
        <v>3992907</v>
      </c>
    </row>
    <row r="9" spans="1:102">
      <c r="A9" s="13"/>
      <c r="B9" s="12" t="s">
        <v>1100</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row>
    <row r="10" spans="1:102">
      <c r="A10" s="13">
        <v>2</v>
      </c>
      <c r="B10" s="12" t="s">
        <v>1101</v>
      </c>
      <c r="C10" s="12">
        <v>4656</v>
      </c>
      <c r="D10" s="12">
        <v>4916</v>
      </c>
      <c r="E10" s="12">
        <v>5042</v>
      </c>
      <c r="F10" s="12">
        <v>5125</v>
      </c>
      <c r="G10" s="12">
        <v>5240</v>
      </c>
      <c r="H10" s="12">
        <v>5091</v>
      </c>
      <c r="I10" s="12">
        <v>4762</v>
      </c>
      <c r="J10" s="12">
        <v>4249</v>
      </c>
      <c r="K10" s="12">
        <v>4018</v>
      </c>
      <c r="L10" s="12">
        <v>4114</v>
      </c>
      <c r="M10" s="12">
        <v>4193</v>
      </c>
      <c r="N10" s="12">
        <v>4257</v>
      </c>
      <c r="O10" s="12">
        <v>4755</v>
      </c>
      <c r="P10" s="12">
        <v>4829</v>
      </c>
      <c r="Q10" s="12">
        <v>4832</v>
      </c>
      <c r="R10" s="12">
        <v>5050</v>
      </c>
      <c r="S10" s="12">
        <v>5594</v>
      </c>
      <c r="T10" s="12">
        <v>6401</v>
      </c>
      <c r="U10" s="12">
        <v>6565</v>
      </c>
      <c r="V10" s="12">
        <v>6760</v>
      </c>
      <c r="W10" s="12">
        <v>6982</v>
      </c>
      <c r="X10" s="12">
        <v>8015</v>
      </c>
      <c r="Y10" s="12">
        <v>9816</v>
      </c>
      <c r="Z10" s="12">
        <v>11506</v>
      </c>
      <c r="AA10" s="12">
        <v>12432</v>
      </c>
      <c r="AB10" s="12">
        <v>13307</v>
      </c>
      <c r="AC10" s="12">
        <v>15158</v>
      </c>
      <c r="AD10" s="12">
        <v>16140</v>
      </c>
      <c r="AE10" s="12">
        <v>17321</v>
      </c>
      <c r="AF10" s="12">
        <v>18362</v>
      </c>
      <c r="AG10" s="12">
        <v>19585</v>
      </c>
      <c r="AH10" s="12">
        <v>22116</v>
      </c>
      <c r="AI10" s="12">
        <v>24593</v>
      </c>
      <c r="AJ10" s="12">
        <v>26425</v>
      </c>
      <c r="AK10" s="12">
        <v>27653</v>
      </c>
      <c r="AL10" s="12">
        <v>28521</v>
      </c>
      <c r="AM10" s="12">
        <v>29559</v>
      </c>
      <c r="AN10" s="12">
        <v>30877</v>
      </c>
      <c r="AO10" s="12">
        <v>32457</v>
      </c>
      <c r="AP10" s="12">
        <v>34457</v>
      </c>
      <c r="AQ10" s="12">
        <v>37189</v>
      </c>
      <c r="AR10" s="12">
        <v>40912</v>
      </c>
      <c r="AS10" s="12">
        <v>45154</v>
      </c>
      <c r="AT10" s="12">
        <v>50055</v>
      </c>
      <c r="AU10" s="12">
        <v>55774</v>
      </c>
      <c r="AV10" s="12">
        <v>61888</v>
      </c>
      <c r="AW10" s="12">
        <v>67722</v>
      </c>
      <c r="AX10" s="12">
        <v>73569</v>
      </c>
      <c r="AY10" s="12">
        <v>82143</v>
      </c>
      <c r="AZ10" s="12">
        <v>96241</v>
      </c>
      <c r="BA10" s="12">
        <v>113760</v>
      </c>
      <c r="BB10" s="12">
        <v>125314</v>
      </c>
      <c r="BC10" s="12">
        <v>140799</v>
      </c>
      <c r="BD10" s="12">
        <v>159693</v>
      </c>
      <c r="BE10" s="12">
        <v>183846</v>
      </c>
      <c r="BF10" s="12">
        <v>212651</v>
      </c>
      <c r="BG10" s="12">
        <v>245507</v>
      </c>
      <c r="BH10" s="12">
        <v>273224</v>
      </c>
      <c r="BI10" s="12">
        <v>286630</v>
      </c>
      <c r="BJ10" s="12">
        <v>303950</v>
      </c>
      <c r="BK10" s="12">
        <v>327679</v>
      </c>
      <c r="BL10" s="12">
        <v>350721</v>
      </c>
      <c r="BM10" s="12">
        <v>372009</v>
      </c>
      <c r="BN10" s="12">
        <v>399854</v>
      </c>
      <c r="BO10" s="12">
        <v>427148</v>
      </c>
      <c r="BP10" s="12">
        <v>454686</v>
      </c>
      <c r="BQ10" s="12">
        <v>479628</v>
      </c>
      <c r="BR10" s="12">
        <v>494349</v>
      </c>
      <c r="BS10" s="12">
        <v>517187</v>
      </c>
      <c r="BT10" s="12">
        <v>547585</v>
      </c>
      <c r="BU10" s="12">
        <v>590418</v>
      </c>
      <c r="BV10" s="12">
        <v>626340</v>
      </c>
      <c r="BW10" s="12">
        <v>670041</v>
      </c>
      <c r="BX10" s="12">
        <v>714984</v>
      </c>
      <c r="BY10" s="12">
        <v>769635</v>
      </c>
      <c r="BZ10" s="12">
        <v>838620</v>
      </c>
      <c r="CA10" s="12">
        <v>888572</v>
      </c>
      <c r="CB10" s="12">
        <v>914587</v>
      </c>
      <c r="CC10" s="12">
        <v>932541</v>
      </c>
      <c r="CD10" s="12">
        <v>973014</v>
      </c>
      <c r="CE10" s="12">
        <v>1042069</v>
      </c>
      <c r="CF10" s="12">
        <v>1119303</v>
      </c>
      <c r="CG10" s="12">
        <v>1188944</v>
      </c>
      <c r="CH10" s="12">
        <v>1256741</v>
      </c>
      <c r="CI10" s="12">
        <v>1263659</v>
      </c>
      <c r="CJ10" s="12">
        <v>1270714</v>
      </c>
      <c r="CK10" s="12">
        <v>1324537</v>
      </c>
      <c r="CL10" s="12">
        <v>1392029</v>
      </c>
      <c r="CM10" s="12">
        <v>1447694</v>
      </c>
      <c r="CN10" s="12">
        <v>1524311</v>
      </c>
      <c r="CO10" s="12">
        <v>1587221</v>
      </c>
      <c r="CP10" s="12">
        <v>1629907</v>
      </c>
      <c r="CQ10" s="12">
        <v>1709313</v>
      </c>
      <c r="CR10" s="12">
        <v>1793566</v>
      </c>
      <c r="CS10" s="12">
        <v>1891831</v>
      </c>
      <c r="CT10" s="12">
        <v>1968202</v>
      </c>
      <c r="CU10" s="12">
        <v>2070269</v>
      </c>
      <c r="CV10" s="12">
        <v>2287902</v>
      </c>
      <c r="CW10" s="12">
        <v>2447353</v>
      </c>
      <c r="CX10" s="12">
        <v>2583318</v>
      </c>
    </row>
    <row r="11" spans="1:102">
      <c r="A11" s="13">
        <v>3</v>
      </c>
      <c r="B11" s="13" t="s">
        <v>1102</v>
      </c>
      <c r="C11" s="13">
        <v>172</v>
      </c>
      <c r="D11" s="13">
        <v>200</v>
      </c>
      <c r="E11" s="13">
        <v>202</v>
      </c>
      <c r="F11" s="13">
        <v>206</v>
      </c>
      <c r="G11" s="13">
        <v>211</v>
      </c>
      <c r="H11" s="13">
        <v>207</v>
      </c>
      <c r="I11" s="13">
        <v>189</v>
      </c>
      <c r="J11" s="13">
        <v>163</v>
      </c>
      <c r="K11" s="13">
        <v>148</v>
      </c>
      <c r="L11" s="13">
        <v>158</v>
      </c>
      <c r="M11" s="13">
        <v>161</v>
      </c>
      <c r="N11" s="13">
        <v>167</v>
      </c>
      <c r="O11" s="13">
        <v>185</v>
      </c>
      <c r="P11" s="13">
        <v>188</v>
      </c>
      <c r="Q11" s="13">
        <v>186</v>
      </c>
      <c r="R11" s="13">
        <v>193</v>
      </c>
      <c r="S11" s="13">
        <v>217</v>
      </c>
      <c r="T11" s="13">
        <v>261</v>
      </c>
      <c r="U11" s="13">
        <v>246</v>
      </c>
      <c r="V11" s="13">
        <v>249</v>
      </c>
      <c r="W11" s="13">
        <v>230</v>
      </c>
      <c r="X11" s="13">
        <v>243</v>
      </c>
      <c r="Y11" s="13">
        <v>314</v>
      </c>
      <c r="Z11" s="13">
        <v>364</v>
      </c>
      <c r="AA11" s="13">
        <v>398</v>
      </c>
      <c r="AB11" s="13">
        <v>431</v>
      </c>
      <c r="AC11" s="13">
        <v>491</v>
      </c>
      <c r="AD11" s="13">
        <v>525</v>
      </c>
      <c r="AE11" s="13">
        <v>564</v>
      </c>
      <c r="AF11" s="13">
        <v>605</v>
      </c>
      <c r="AG11" s="13">
        <v>636</v>
      </c>
      <c r="AH11" s="13">
        <v>719</v>
      </c>
      <c r="AI11" s="13">
        <v>792</v>
      </c>
      <c r="AJ11" s="13">
        <v>886</v>
      </c>
      <c r="AK11" s="13">
        <v>915</v>
      </c>
      <c r="AL11" s="13">
        <v>910</v>
      </c>
      <c r="AM11" s="13">
        <v>944</v>
      </c>
      <c r="AN11" s="13">
        <v>994</v>
      </c>
      <c r="AO11" s="13">
        <v>1056</v>
      </c>
      <c r="AP11" s="13">
        <v>1138</v>
      </c>
      <c r="AQ11" s="13">
        <v>1281</v>
      </c>
      <c r="AR11" s="13">
        <v>1429</v>
      </c>
      <c r="AS11" s="13">
        <v>1600</v>
      </c>
      <c r="AT11" s="13">
        <v>1843</v>
      </c>
      <c r="AU11" s="13">
        <v>2155</v>
      </c>
      <c r="AV11" s="13">
        <v>2463</v>
      </c>
      <c r="AW11" s="13">
        <v>2784</v>
      </c>
      <c r="AX11" s="13">
        <v>3128</v>
      </c>
      <c r="AY11" s="13">
        <v>3655</v>
      </c>
      <c r="AZ11" s="13">
        <v>4486</v>
      </c>
      <c r="BA11" s="13">
        <v>5609</v>
      </c>
      <c r="BB11" s="13">
        <v>6576</v>
      </c>
      <c r="BC11" s="13">
        <v>7711</v>
      </c>
      <c r="BD11" s="13">
        <v>8936</v>
      </c>
      <c r="BE11" s="13">
        <v>10705</v>
      </c>
      <c r="BF11" s="13">
        <v>12993</v>
      </c>
      <c r="BG11" s="13">
        <v>15526</v>
      </c>
      <c r="BH11" s="13">
        <v>18320</v>
      </c>
      <c r="BI11" s="13">
        <v>20884</v>
      </c>
      <c r="BJ11" s="13">
        <v>23767</v>
      </c>
      <c r="BK11" s="13">
        <v>27401</v>
      </c>
      <c r="BL11" s="13">
        <v>31464</v>
      </c>
      <c r="BM11" s="13">
        <v>35960</v>
      </c>
      <c r="BN11" s="13">
        <v>40984</v>
      </c>
      <c r="BO11" s="13">
        <v>46269</v>
      </c>
      <c r="BP11" s="13">
        <v>51305</v>
      </c>
      <c r="BQ11" s="13">
        <v>55280</v>
      </c>
      <c r="BR11" s="13">
        <v>57300</v>
      </c>
      <c r="BS11" s="13">
        <v>60519</v>
      </c>
      <c r="BT11" s="13">
        <v>64372</v>
      </c>
      <c r="BU11" s="13">
        <v>68647</v>
      </c>
      <c r="BV11" s="13">
        <v>71139</v>
      </c>
      <c r="BW11" s="13">
        <v>74279</v>
      </c>
      <c r="BX11" s="13">
        <v>79521</v>
      </c>
      <c r="BY11" s="13">
        <v>88929</v>
      </c>
      <c r="BZ11" s="13">
        <v>99282</v>
      </c>
      <c r="CA11" s="13">
        <v>105067</v>
      </c>
      <c r="CB11" s="13">
        <v>109563</v>
      </c>
      <c r="CC11" s="13">
        <v>114350</v>
      </c>
      <c r="CD11" s="13">
        <v>121060</v>
      </c>
      <c r="CE11" s="13">
        <v>128459</v>
      </c>
      <c r="CF11" s="13">
        <v>134858</v>
      </c>
      <c r="CG11" s="13">
        <v>141725</v>
      </c>
      <c r="CH11" s="13">
        <v>147991</v>
      </c>
      <c r="CI11" s="13">
        <v>149032</v>
      </c>
      <c r="CJ11" s="13">
        <v>147219</v>
      </c>
      <c r="CK11" s="13">
        <v>151074</v>
      </c>
      <c r="CL11" s="13">
        <v>157221</v>
      </c>
      <c r="CM11" s="13">
        <v>164899</v>
      </c>
      <c r="CN11" s="13">
        <v>171631</v>
      </c>
      <c r="CO11" s="13">
        <v>178958</v>
      </c>
      <c r="CP11" s="13">
        <v>188888</v>
      </c>
      <c r="CQ11" s="13">
        <v>199900</v>
      </c>
      <c r="CR11" s="13">
        <v>211419</v>
      </c>
      <c r="CS11" s="13">
        <v>227134</v>
      </c>
      <c r="CT11" s="13">
        <v>240087</v>
      </c>
      <c r="CU11" s="13">
        <v>254815</v>
      </c>
      <c r="CV11" s="13">
        <v>277417</v>
      </c>
      <c r="CW11" s="13">
        <v>293062</v>
      </c>
      <c r="CX11" s="13">
        <v>308962</v>
      </c>
    </row>
    <row r="12" spans="1:102">
      <c r="A12" s="13">
        <v>4</v>
      </c>
      <c r="B12" s="13" t="s">
        <v>1103</v>
      </c>
      <c r="C12" s="13">
        <v>4485</v>
      </c>
      <c r="D12" s="13">
        <v>4717</v>
      </c>
      <c r="E12" s="13">
        <v>4840</v>
      </c>
      <c r="F12" s="13">
        <v>4919</v>
      </c>
      <c r="G12" s="13">
        <v>5028</v>
      </c>
      <c r="H12" s="13">
        <v>4884</v>
      </c>
      <c r="I12" s="13">
        <v>4573</v>
      </c>
      <c r="J12" s="13">
        <v>4085</v>
      </c>
      <c r="K12" s="13">
        <v>3869</v>
      </c>
      <c r="L12" s="13">
        <v>3956</v>
      </c>
      <c r="M12" s="13">
        <v>4032</v>
      </c>
      <c r="N12" s="13">
        <v>4090</v>
      </c>
      <c r="O12" s="13">
        <v>4570</v>
      </c>
      <c r="P12" s="13">
        <v>4640</v>
      </c>
      <c r="Q12" s="13">
        <v>4646</v>
      </c>
      <c r="R12" s="13">
        <v>4857</v>
      </c>
      <c r="S12" s="13">
        <v>5376</v>
      </c>
      <c r="T12" s="13">
        <v>6140</v>
      </c>
      <c r="U12" s="13">
        <v>6319</v>
      </c>
      <c r="V12" s="13">
        <v>6510</v>
      </c>
      <c r="W12" s="13">
        <v>6752</v>
      </c>
      <c r="X12" s="13">
        <v>7772</v>
      </c>
      <c r="Y12" s="13">
        <v>9501</v>
      </c>
      <c r="Z12" s="13">
        <v>11142</v>
      </c>
      <c r="AA12" s="13">
        <v>12034</v>
      </c>
      <c r="AB12" s="13">
        <v>12877</v>
      </c>
      <c r="AC12" s="13">
        <v>14667</v>
      </c>
      <c r="AD12" s="13">
        <v>15615</v>
      </c>
      <c r="AE12" s="13">
        <v>16758</v>
      </c>
      <c r="AF12" s="13">
        <v>17757</v>
      </c>
      <c r="AG12" s="13">
        <v>18949</v>
      </c>
      <c r="AH12" s="13">
        <v>21397</v>
      </c>
      <c r="AI12" s="13">
        <v>23801</v>
      </c>
      <c r="AJ12" s="13">
        <v>25539</v>
      </c>
      <c r="AK12" s="13">
        <v>26738</v>
      </c>
      <c r="AL12" s="13">
        <v>27612</v>
      </c>
      <c r="AM12" s="13">
        <v>28615</v>
      </c>
      <c r="AN12" s="13">
        <v>29883</v>
      </c>
      <c r="AO12" s="13">
        <v>31401</v>
      </c>
      <c r="AP12" s="13">
        <v>33320</v>
      </c>
      <c r="AQ12" s="13">
        <v>35908</v>
      </c>
      <c r="AR12" s="13">
        <v>39484</v>
      </c>
      <c r="AS12" s="13">
        <v>43554</v>
      </c>
      <c r="AT12" s="13">
        <v>48212</v>
      </c>
      <c r="AU12" s="13">
        <v>53619</v>
      </c>
      <c r="AV12" s="13">
        <v>59426</v>
      </c>
      <c r="AW12" s="13">
        <v>64938</v>
      </c>
      <c r="AX12" s="13">
        <v>70441</v>
      </c>
      <c r="AY12" s="13">
        <v>78489</v>
      </c>
      <c r="AZ12" s="13">
        <v>91754</v>
      </c>
      <c r="BA12" s="13">
        <v>108151</v>
      </c>
      <c r="BB12" s="13">
        <v>118737</v>
      </c>
      <c r="BC12" s="13">
        <v>133088</v>
      </c>
      <c r="BD12" s="13">
        <v>150757</v>
      </c>
      <c r="BE12" s="13">
        <v>173141</v>
      </c>
      <c r="BF12" s="13">
        <v>199657</v>
      </c>
      <c r="BG12" s="13">
        <v>229981</v>
      </c>
      <c r="BH12" s="13">
        <v>254904</v>
      </c>
      <c r="BI12" s="13">
        <v>265746</v>
      </c>
      <c r="BJ12" s="13">
        <v>280183</v>
      </c>
      <c r="BK12" s="13">
        <v>300278</v>
      </c>
      <c r="BL12" s="13">
        <v>319257</v>
      </c>
      <c r="BM12" s="13">
        <v>336050</v>
      </c>
      <c r="BN12" s="13">
        <v>358870</v>
      </c>
      <c r="BO12" s="13">
        <v>380878</v>
      </c>
      <c r="BP12" s="13">
        <v>403382</v>
      </c>
      <c r="BQ12" s="13">
        <v>424348</v>
      </c>
      <c r="BR12" s="13">
        <v>437049</v>
      </c>
      <c r="BS12" s="13">
        <v>456669</v>
      </c>
      <c r="BT12" s="13">
        <v>483214</v>
      </c>
      <c r="BU12" s="13">
        <v>521771</v>
      </c>
      <c r="BV12" s="13">
        <v>555201</v>
      </c>
      <c r="BW12" s="13">
        <v>595762</v>
      </c>
      <c r="BX12" s="13">
        <v>635463</v>
      </c>
      <c r="BY12" s="13">
        <v>680706</v>
      </c>
      <c r="BZ12" s="13">
        <v>739337</v>
      </c>
      <c r="CA12" s="13">
        <v>783505</v>
      </c>
      <c r="CB12" s="13">
        <v>805024</v>
      </c>
      <c r="CC12" s="13">
        <v>818191</v>
      </c>
      <c r="CD12" s="13">
        <v>851954</v>
      </c>
      <c r="CE12" s="13">
        <v>913610</v>
      </c>
      <c r="CF12" s="13">
        <v>984445</v>
      </c>
      <c r="CG12" s="13">
        <v>1047219</v>
      </c>
      <c r="CH12" s="13">
        <v>1108750</v>
      </c>
      <c r="CI12" s="13">
        <v>1114626</v>
      </c>
      <c r="CJ12" s="13">
        <v>1123495</v>
      </c>
      <c r="CK12" s="13">
        <v>1173463</v>
      </c>
      <c r="CL12" s="13">
        <v>1234809</v>
      </c>
      <c r="CM12" s="13">
        <v>1282795</v>
      </c>
      <c r="CN12" s="13">
        <v>1352680</v>
      </c>
      <c r="CO12" s="13">
        <v>1408263</v>
      </c>
      <c r="CP12" s="13">
        <v>1441019</v>
      </c>
      <c r="CQ12" s="13">
        <v>1509413</v>
      </c>
      <c r="CR12" s="13">
        <v>1582147</v>
      </c>
      <c r="CS12" s="13">
        <v>1664696</v>
      </c>
      <c r="CT12" s="13">
        <v>1728115</v>
      </c>
      <c r="CU12" s="13">
        <v>1815454</v>
      </c>
      <c r="CV12" s="13">
        <v>2010486</v>
      </c>
      <c r="CW12" s="13">
        <v>2154291</v>
      </c>
      <c r="CX12" s="13">
        <v>2274356</v>
      </c>
    </row>
    <row r="13" spans="1:102">
      <c r="A13" s="13">
        <v>5</v>
      </c>
      <c r="B13" s="12" t="s">
        <v>1104</v>
      </c>
      <c r="C13" s="12">
        <v>3299</v>
      </c>
      <c r="D13" s="12">
        <v>3608</v>
      </c>
      <c r="E13" s="12">
        <v>3786</v>
      </c>
      <c r="F13" s="12">
        <v>3951</v>
      </c>
      <c r="G13" s="12">
        <v>4170</v>
      </c>
      <c r="H13" s="12">
        <v>4128</v>
      </c>
      <c r="I13" s="12">
        <v>3787</v>
      </c>
      <c r="J13" s="12">
        <v>3215</v>
      </c>
      <c r="K13" s="12">
        <v>3024</v>
      </c>
      <c r="L13" s="12">
        <v>3174</v>
      </c>
      <c r="M13" s="12">
        <v>3131</v>
      </c>
      <c r="N13" s="12">
        <v>3251</v>
      </c>
      <c r="O13" s="12">
        <v>3617</v>
      </c>
      <c r="P13" s="12">
        <v>3751</v>
      </c>
      <c r="Q13" s="12">
        <v>3759</v>
      </c>
      <c r="R13" s="12">
        <v>3926</v>
      </c>
      <c r="S13" s="12">
        <v>4356</v>
      </c>
      <c r="T13" s="12">
        <v>4845</v>
      </c>
      <c r="U13" s="12">
        <v>4975</v>
      </c>
      <c r="V13" s="12">
        <v>5278</v>
      </c>
      <c r="W13" s="12">
        <v>5525</v>
      </c>
      <c r="X13" s="12">
        <v>6232</v>
      </c>
      <c r="Y13" s="12">
        <v>7920</v>
      </c>
      <c r="Z13" s="12">
        <v>9315</v>
      </c>
      <c r="AA13" s="12">
        <v>10159</v>
      </c>
      <c r="AB13" s="12">
        <v>11027</v>
      </c>
      <c r="AC13" s="12">
        <v>12589</v>
      </c>
      <c r="AD13" s="12">
        <v>13404</v>
      </c>
      <c r="AE13" s="12">
        <v>14024</v>
      </c>
      <c r="AF13" s="12">
        <v>14597</v>
      </c>
      <c r="AG13" s="12">
        <v>15411</v>
      </c>
      <c r="AH13" s="12">
        <v>16696</v>
      </c>
      <c r="AI13" s="12">
        <v>17667</v>
      </c>
      <c r="AJ13" s="12">
        <v>18486</v>
      </c>
      <c r="AK13" s="12">
        <v>19167</v>
      </c>
      <c r="AL13" s="12">
        <v>19688</v>
      </c>
      <c r="AM13" s="12">
        <v>20224</v>
      </c>
      <c r="AN13" s="12">
        <v>20919</v>
      </c>
      <c r="AO13" s="12">
        <v>21703</v>
      </c>
      <c r="AP13" s="12">
        <v>22819</v>
      </c>
      <c r="AQ13" s="12">
        <v>24380</v>
      </c>
      <c r="AR13" s="12">
        <v>26261</v>
      </c>
      <c r="AS13" s="12">
        <v>28175</v>
      </c>
      <c r="AT13" s="12">
        <v>30549</v>
      </c>
      <c r="AU13" s="12">
        <v>33660</v>
      </c>
      <c r="AV13" s="12">
        <v>36373</v>
      </c>
      <c r="AW13" s="12">
        <v>39915</v>
      </c>
      <c r="AX13" s="12">
        <v>43926</v>
      </c>
      <c r="AY13" s="12">
        <v>49350</v>
      </c>
      <c r="AZ13" s="12">
        <v>56918</v>
      </c>
      <c r="BA13" s="12">
        <v>65027</v>
      </c>
      <c r="BB13" s="12">
        <v>71194</v>
      </c>
      <c r="BC13" s="12">
        <v>80321</v>
      </c>
      <c r="BD13" s="12">
        <v>92412</v>
      </c>
      <c r="BE13" s="12">
        <v>106877</v>
      </c>
      <c r="BF13" s="12">
        <v>122316</v>
      </c>
      <c r="BG13" s="12">
        <v>136414</v>
      </c>
      <c r="BH13" s="12">
        <v>147166</v>
      </c>
      <c r="BI13" s="12">
        <v>152154</v>
      </c>
      <c r="BJ13" s="12">
        <v>159557</v>
      </c>
      <c r="BK13" s="12">
        <v>168721</v>
      </c>
      <c r="BL13" s="12">
        <v>180842</v>
      </c>
      <c r="BM13" s="12">
        <v>194002</v>
      </c>
      <c r="BN13" s="12">
        <v>208057</v>
      </c>
      <c r="BO13" s="12">
        <v>222470</v>
      </c>
      <c r="BP13" s="12">
        <v>233709</v>
      </c>
      <c r="BQ13" s="12">
        <v>241828</v>
      </c>
      <c r="BR13" s="12">
        <v>248537</v>
      </c>
      <c r="BS13" s="12">
        <v>261022</v>
      </c>
      <c r="BT13" s="12">
        <v>274921</v>
      </c>
      <c r="BU13" s="12">
        <v>290298</v>
      </c>
      <c r="BV13" s="12">
        <v>302782</v>
      </c>
      <c r="BW13" s="12">
        <v>317695</v>
      </c>
      <c r="BX13" s="12">
        <v>337178</v>
      </c>
      <c r="BY13" s="12">
        <v>362578</v>
      </c>
      <c r="BZ13" s="12">
        <v>392906</v>
      </c>
      <c r="CA13" s="12">
        <v>423122</v>
      </c>
      <c r="CB13" s="12">
        <v>447237</v>
      </c>
      <c r="CC13" s="12">
        <v>479425</v>
      </c>
      <c r="CD13" s="12">
        <v>524111</v>
      </c>
      <c r="CE13" s="12">
        <v>580564</v>
      </c>
      <c r="CF13" s="12">
        <v>632543</v>
      </c>
      <c r="CG13" s="12">
        <v>663500</v>
      </c>
      <c r="CH13" s="12">
        <v>675207</v>
      </c>
      <c r="CI13" s="12">
        <v>664851</v>
      </c>
      <c r="CJ13" s="12">
        <v>662525</v>
      </c>
      <c r="CK13" s="12">
        <v>672677</v>
      </c>
      <c r="CL13" s="12">
        <v>689901</v>
      </c>
      <c r="CM13" s="12">
        <v>728898</v>
      </c>
      <c r="CN13" s="12">
        <v>777039</v>
      </c>
      <c r="CO13" s="12">
        <v>810643</v>
      </c>
      <c r="CP13" s="12">
        <v>845674</v>
      </c>
      <c r="CQ13" s="12">
        <v>889753</v>
      </c>
      <c r="CR13" s="12">
        <v>943735</v>
      </c>
      <c r="CS13" s="12">
        <v>987873</v>
      </c>
      <c r="CT13" s="12">
        <v>1037519</v>
      </c>
      <c r="CU13" s="12">
        <v>1141587</v>
      </c>
      <c r="CV13" s="12">
        <v>1290474</v>
      </c>
      <c r="CW13" s="12">
        <v>1353024</v>
      </c>
      <c r="CX13" s="12">
        <v>1409589</v>
      </c>
    </row>
    <row r="14" spans="1:102">
      <c r="A14" s="13">
        <v>6</v>
      </c>
      <c r="B14" s="13" t="s">
        <v>1105</v>
      </c>
      <c r="C14" s="13">
        <v>1322</v>
      </c>
      <c r="D14" s="13">
        <v>1479</v>
      </c>
      <c r="E14" s="13">
        <v>1567</v>
      </c>
      <c r="F14" s="13">
        <v>1644</v>
      </c>
      <c r="G14" s="13">
        <v>1723</v>
      </c>
      <c r="H14" s="13">
        <v>1705</v>
      </c>
      <c r="I14" s="13">
        <v>1569</v>
      </c>
      <c r="J14" s="13">
        <v>1360</v>
      </c>
      <c r="K14" s="13">
        <v>1246</v>
      </c>
      <c r="L14" s="13">
        <v>1253</v>
      </c>
      <c r="M14" s="13">
        <v>1218</v>
      </c>
      <c r="N14" s="13">
        <v>1244</v>
      </c>
      <c r="O14" s="13">
        <v>1370</v>
      </c>
      <c r="P14" s="13">
        <v>1419</v>
      </c>
      <c r="Q14" s="13">
        <v>1401</v>
      </c>
      <c r="R14" s="13">
        <v>1448</v>
      </c>
      <c r="S14" s="13">
        <v>1601</v>
      </c>
      <c r="T14" s="13">
        <v>1814</v>
      </c>
      <c r="U14" s="13">
        <v>1794</v>
      </c>
      <c r="V14" s="13">
        <v>1877</v>
      </c>
      <c r="W14" s="13">
        <v>1930</v>
      </c>
      <c r="X14" s="13">
        <v>2163</v>
      </c>
      <c r="Y14" s="13">
        <v>2737</v>
      </c>
      <c r="Z14" s="13">
        <v>3319</v>
      </c>
      <c r="AA14" s="13">
        <v>3724</v>
      </c>
      <c r="AB14" s="13">
        <v>4074</v>
      </c>
      <c r="AC14" s="13">
        <v>4653</v>
      </c>
      <c r="AD14" s="13">
        <v>4920</v>
      </c>
      <c r="AE14" s="13">
        <v>5095</v>
      </c>
      <c r="AF14" s="13">
        <v>5235</v>
      </c>
      <c r="AG14" s="13">
        <v>5412</v>
      </c>
      <c r="AH14" s="13">
        <v>5804</v>
      </c>
      <c r="AI14" s="13">
        <v>6124</v>
      </c>
      <c r="AJ14" s="13">
        <v>6451</v>
      </c>
      <c r="AK14" s="13">
        <v>6602</v>
      </c>
      <c r="AL14" s="13">
        <v>6564</v>
      </c>
      <c r="AM14" s="13">
        <v>6592</v>
      </c>
      <c r="AN14" s="13">
        <v>6690</v>
      </c>
      <c r="AO14" s="13">
        <v>6847</v>
      </c>
      <c r="AP14" s="13">
        <v>7089</v>
      </c>
      <c r="AQ14" s="13">
        <v>7472</v>
      </c>
      <c r="AR14" s="13">
        <v>7961</v>
      </c>
      <c r="AS14" s="13">
        <v>8471</v>
      </c>
      <c r="AT14" s="13">
        <v>9104</v>
      </c>
      <c r="AU14" s="13">
        <v>9958</v>
      </c>
      <c r="AV14" s="13">
        <v>10828</v>
      </c>
      <c r="AW14" s="13">
        <v>11871</v>
      </c>
      <c r="AX14" s="13">
        <v>12998</v>
      </c>
      <c r="AY14" s="13">
        <v>14451</v>
      </c>
      <c r="AZ14" s="13">
        <v>16782</v>
      </c>
      <c r="BA14" s="13">
        <v>19352</v>
      </c>
      <c r="BB14" s="13">
        <v>21004</v>
      </c>
      <c r="BC14" s="13">
        <v>23275</v>
      </c>
      <c r="BD14" s="13">
        <v>26248</v>
      </c>
      <c r="BE14" s="13">
        <v>30107</v>
      </c>
      <c r="BF14" s="13">
        <v>34406</v>
      </c>
      <c r="BG14" s="13">
        <v>38701</v>
      </c>
      <c r="BH14" s="13">
        <v>42157</v>
      </c>
      <c r="BI14" s="13">
        <v>43118</v>
      </c>
      <c r="BJ14" s="13">
        <v>44326</v>
      </c>
      <c r="BK14" s="13">
        <v>46071</v>
      </c>
      <c r="BL14" s="13">
        <v>48302</v>
      </c>
      <c r="BM14" s="13">
        <v>50494</v>
      </c>
      <c r="BN14" s="13">
        <v>53124</v>
      </c>
      <c r="BO14" s="13">
        <v>55652</v>
      </c>
      <c r="BP14" s="13">
        <v>57295</v>
      </c>
      <c r="BQ14" s="13">
        <v>58281</v>
      </c>
      <c r="BR14" s="13">
        <v>58630</v>
      </c>
      <c r="BS14" s="13">
        <v>59981</v>
      </c>
      <c r="BT14" s="13">
        <v>62132</v>
      </c>
      <c r="BU14" s="13">
        <v>65072</v>
      </c>
      <c r="BV14" s="13">
        <v>67415</v>
      </c>
      <c r="BW14" s="13">
        <v>70066</v>
      </c>
      <c r="BX14" s="13">
        <v>73339</v>
      </c>
      <c r="BY14" s="13">
        <v>76683</v>
      </c>
      <c r="BZ14" s="13">
        <v>80222</v>
      </c>
      <c r="CA14" s="13">
        <v>82866</v>
      </c>
      <c r="CB14" s="13">
        <v>84385</v>
      </c>
      <c r="CC14" s="13">
        <v>86383</v>
      </c>
      <c r="CD14" s="13">
        <v>90297</v>
      </c>
      <c r="CE14" s="13">
        <v>96569</v>
      </c>
      <c r="CF14" s="13">
        <v>102558</v>
      </c>
      <c r="CG14" s="13">
        <v>105935</v>
      </c>
      <c r="CH14" s="13">
        <v>107628</v>
      </c>
      <c r="CI14" s="13">
        <v>105274</v>
      </c>
      <c r="CJ14" s="13">
        <v>102763</v>
      </c>
      <c r="CK14" s="13">
        <v>102225</v>
      </c>
      <c r="CL14" s="13">
        <v>103203</v>
      </c>
      <c r="CM14" s="13">
        <v>105132</v>
      </c>
      <c r="CN14" s="13">
        <v>108924</v>
      </c>
      <c r="CO14" s="13">
        <v>113235</v>
      </c>
      <c r="CP14" s="13">
        <v>115941</v>
      </c>
      <c r="CQ14" s="13">
        <v>120275</v>
      </c>
      <c r="CR14" s="13">
        <v>127161</v>
      </c>
      <c r="CS14" s="13">
        <v>132384</v>
      </c>
      <c r="CT14" s="13">
        <v>137516</v>
      </c>
      <c r="CU14" s="13">
        <v>148108</v>
      </c>
      <c r="CV14" s="13">
        <v>166476</v>
      </c>
      <c r="CW14" s="13">
        <v>175127</v>
      </c>
      <c r="CX14" s="13">
        <v>182151</v>
      </c>
    </row>
    <row r="15" spans="1:102">
      <c r="A15" s="13">
        <v>7</v>
      </c>
      <c r="B15" s="13" t="s">
        <v>1106</v>
      </c>
      <c r="C15" s="13">
        <v>546</v>
      </c>
      <c r="D15" s="13">
        <v>606</v>
      </c>
      <c r="E15" s="13">
        <v>640</v>
      </c>
      <c r="F15" s="13">
        <v>669</v>
      </c>
      <c r="G15" s="13">
        <v>697</v>
      </c>
      <c r="H15" s="13">
        <v>691</v>
      </c>
      <c r="I15" s="13">
        <v>641</v>
      </c>
      <c r="J15" s="13">
        <v>567</v>
      </c>
      <c r="K15" s="13">
        <v>520</v>
      </c>
      <c r="L15" s="13">
        <v>525</v>
      </c>
      <c r="M15" s="13">
        <v>518</v>
      </c>
      <c r="N15" s="13">
        <v>530</v>
      </c>
      <c r="O15" s="13">
        <v>591</v>
      </c>
      <c r="P15" s="13">
        <v>614</v>
      </c>
      <c r="Q15" s="13">
        <v>612</v>
      </c>
      <c r="R15" s="13">
        <v>640</v>
      </c>
      <c r="S15" s="13">
        <v>711</v>
      </c>
      <c r="T15" s="13">
        <v>810</v>
      </c>
      <c r="U15" s="13">
        <v>804</v>
      </c>
      <c r="V15" s="13">
        <v>835</v>
      </c>
      <c r="W15" s="13">
        <v>861</v>
      </c>
      <c r="X15" s="13">
        <v>987</v>
      </c>
      <c r="Y15" s="13">
        <v>1257</v>
      </c>
      <c r="Z15" s="13">
        <v>1512</v>
      </c>
      <c r="AA15" s="13">
        <v>1684</v>
      </c>
      <c r="AB15" s="13">
        <v>1837</v>
      </c>
      <c r="AC15" s="13">
        <v>2113</v>
      </c>
      <c r="AD15" s="13">
        <v>2223</v>
      </c>
      <c r="AE15" s="13">
        <v>2314</v>
      </c>
      <c r="AF15" s="13">
        <v>2400</v>
      </c>
      <c r="AG15" s="13">
        <v>2513</v>
      </c>
      <c r="AH15" s="13">
        <v>2738</v>
      </c>
      <c r="AI15" s="13">
        <v>2931</v>
      </c>
      <c r="AJ15" s="13">
        <v>3076</v>
      </c>
      <c r="AK15" s="13">
        <v>3148</v>
      </c>
      <c r="AL15" s="13">
        <v>3171</v>
      </c>
      <c r="AM15" s="13">
        <v>3208</v>
      </c>
      <c r="AN15" s="13">
        <v>3280</v>
      </c>
      <c r="AO15" s="13">
        <v>3381</v>
      </c>
      <c r="AP15" s="13">
        <v>3534</v>
      </c>
      <c r="AQ15" s="13">
        <v>3752</v>
      </c>
      <c r="AR15" s="13">
        <v>4040</v>
      </c>
      <c r="AS15" s="13">
        <v>4344</v>
      </c>
      <c r="AT15" s="13">
        <v>4666</v>
      </c>
      <c r="AU15" s="13">
        <v>5055</v>
      </c>
      <c r="AV15" s="13">
        <v>5492</v>
      </c>
      <c r="AW15" s="13">
        <v>5941</v>
      </c>
      <c r="AX15" s="13">
        <v>6340</v>
      </c>
      <c r="AY15" s="13">
        <v>6848</v>
      </c>
      <c r="AZ15" s="13">
        <v>7738</v>
      </c>
      <c r="BA15" s="13">
        <v>8814</v>
      </c>
      <c r="BB15" s="13">
        <v>9420</v>
      </c>
      <c r="BC15" s="13">
        <v>10238</v>
      </c>
      <c r="BD15" s="13">
        <v>11400</v>
      </c>
      <c r="BE15" s="13">
        <v>13068</v>
      </c>
      <c r="BF15" s="13">
        <v>15104</v>
      </c>
      <c r="BG15" s="13">
        <v>17625</v>
      </c>
      <c r="BH15" s="13">
        <v>19897</v>
      </c>
      <c r="BI15" s="13">
        <v>20539</v>
      </c>
      <c r="BJ15" s="13">
        <v>21406</v>
      </c>
      <c r="BK15" s="13">
        <v>22881</v>
      </c>
      <c r="BL15" s="13">
        <v>24494</v>
      </c>
      <c r="BM15" s="13">
        <v>26055</v>
      </c>
      <c r="BN15" s="13">
        <v>28571</v>
      </c>
      <c r="BO15" s="13">
        <v>31342</v>
      </c>
      <c r="BP15" s="13">
        <v>33439</v>
      </c>
      <c r="BQ15" s="13">
        <v>34790</v>
      </c>
      <c r="BR15" s="13">
        <v>35313</v>
      </c>
      <c r="BS15" s="13">
        <v>36294</v>
      </c>
      <c r="BT15" s="13">
        <v>37770</v>
      </c>
      <c r="BU15" s="13">
        <v>39885</v>
      </c>
      <c r="BV15" s="13">
        <v>41542</v>
      </c>
      <c r="BW15" s="13">
        <v>43714</v>
      </c>
      <c r="BX15" s="13">
        <v>46724</v>
      </c>
      <c r="BY15" s="13">
        <v>51319</v>
      </c>
      <c r="BZ15" s="13">
        <v>57567</v>
      </c>
      <c r="CA15" s="13">
        <v>63482</v>
      </c>
      <c r="CB15" s="13">
        <v>68487</v>
      </c>
      <c r="CC15" s="13">
        <v>73072</v>
      </c>
      <c r="CD15" s="13">
        <v>79166</v>
      </c>
      <c r="CE15" s="13">
        <v>87910</v>
      </c>
      <c r="CF15" s="13">
        <v>97621</v>
      </c>
      <c r="CG15" s="13">
        <v>107087</v>
      </c>
      <c r="CH15" s="13">
        <v>115890</v>
      </c>
      <c r="CI15" s="13">
        <v>118659</v>
      </c>
      <c r="CJ15" s="13">
        <v>119892</v>
      </c>
      <c r="CK15" s="13">
        <v>124659</v>
      </c>
      <c r="CL15" s="13">
        <v>130311</v>
      </c>
      <c r="CM15" s="13">
        <v>137806</v>
      </c>
      <c r="CN15" s="13">
        <v>147193</v>
      </c>
      <c r="CO15" s="13">
        <v>153755</v>
      </c>
      <c r="CP15" s="13">
        <v>157695</v>
      </c>
      <c r="CQ15" s="13">
        <v>163509</v>
      </c>
      <c r="CR15" s="13">
        <v>169335</v>
      </c>
      <c r="CS15" s="13">
        <v>177960</v>
      </c>
      <c r="CT15" s="13">
        <v>185959</v>
      </c>
      <c r="CU15" s="13">
        <v>195871</v>
      </c>
      <c r="CV15" s="13">
        <v>221765</v>
      </c>
      <c r="CW15" s="13">
        <v>243302</v>
      </c>
      <c r="CX15" s="13">
        <v>260349</v>
      </c>
    </row>
    <row r="16" spans="1:102">
      <c r="A16" s="13">
        <v>8</v>
      </c>
      <c r="B16" s="13" t="s">
        <v>1107</v>
      </c>
      <c r="C16" s="13">
        <v>192</v>
      </c>
      <c r="D16" s="13">
        <v>209</v>
      </c>
      <c r="E16" s="13">
        <v>225</v>
      </c>
      <c r="F16" s="13">
        <v>239</v>
      </c>
      <c r="G16" s="13">
        <v>255</v>
      </c>
      <c r="H16" s="13">
        <v>255</v>
      </c>
      <c r="I16" s="13">
        <v>235</v>
      </c>
      <c r="J16" s="13">
        <v>203</v>
      </c>
      <c r="K16" s="13">
        <v>197</v>
      </c>
      <c r="L16" s="13">
        <v>215</v>
      </c>
      <c r="M16" s="13">
        <v>215</v>
      </c>
      <c r="N16" s="13">
        <v>228</v>
      </c>
      <c r="O16" s="13">
        <v>259</v>
      </c>
      <c r="P16" s="13">
        <v>266</v>
      </c>
      <c r="Q16" s="13">
        <v>272</v>
      </c>
      <c r="R16" s="13">
        <v>286</v>
      </c>
      <c r="S16" s="13">
        <v>314</v>
      </c>
      <c r="T16" s="13">
        <v>344</v>
      </c>
      <c r="U16" s="13">
        <v>365</v>
      </c>
      <c r="V16" s="13">
        <v>382</v>
      </c>
      <c r="W16" s="13">
        <v>396</v>
      </c>
      <c r="X16" s="13">
        <v>466</v>
      </c>
      <c r="Y16" s="13">
        <v>604</v>
      </c>
      <c r="Z16" s="13">
        <v>683</v>
      </c>
      <c r="AA16" s="13">
        <v>709</v>
      </c>
      <c r="AB16" s="13">
        <v>760</v>
      </c>
      <c r="AC16" s="13">
        <v>893</v>
      </c>
      <c r="AD16" s="13">
        <v>955</v>
      </c>
      <c r="AE16" s="13">
        <v>1011</v>
      </c>
      <c r="AF16" s="13">
        <v>1055</v>
      </c>
      <c r="AG16" s="13">
        <v>1134</v>
      </c>
      <c r="AH16" s="13">
        <v>1266</v>
      </c>
      <c r="AI16" s="13">
        <v>1385</v>
      </c>
      <c r="AJ16" s="13">
        <v>1450</v>
      </c>
      <c r="AK16" s="13">
        <v>1541</v>
      </c>
      <c r="AL16" s="13">
        <v>1640</v>
      </c>
      <c r="AM16" s="13">
        <v>1738</v>
      </c>
      <c r="AN16" s="13">
        <v>1869</v>
      </c>
      <c r="AO16" s="13">
        <v>2014</v>
      </c>
      <c r="AP16" s="13">
        <v>2181</v>
      </c>
      <c r="AQ16" s="13">
        <v>2388</v>
      </c>
      <c r="AR16" s="13">
        <v>2635</v>
      </c>
      <c r="AS16" s="13">
        <v>2884</v>
      </c>
      <c r="AT16" s="13">
        <v>3176</v>
      </c>
      <c r="AU16" s="13">
        <v>3549</v>
      </c>
      <c r="AV16" s="13">
        <v>3930</v>
      </c>
      <c r="AW16" s="13">
        <v>4376</v>
      </c>
      <c r="AX16" s="13">
        <v>4913</v>
      </c>
      <c r="AY16" s="13">
        <v>5612</v>
      </c>
      <c r="AZ16" s="13">
        <v>6620</v>
      </c>
      <c r="BA16" s="13">
        <v>7719</v>
      </c>
      <c r="BB16" s="13">
        <v>8454</v>
      </c>
      <c r="BC16" s="13">
        <v>9345</v>
      </c>
      <c r="BD16" s="13">
        <v>10537</v>
      </c>
      <c r="BE16" s="13">
        <v>11956</v>
      </c>
      <c r="BF16" s="13">
        <v>13649</v>
      </c>
      <c r="BG16" s="13">
        <v>15269</v>
      </c>
      <c r="BH16" s="13">
        <v>16638</v>
      </c>
      <c r="BI16" s="13">
        <v>17650</v>
      </c>
      <c r="BJ16" s="13">
        <v>18796</v>
      </c>
      <c r="BK16" s="13">
        <v>19879</v>
      </c>
      <c r="BL16" s="13">
        <v>21179</v>
      </c>
      <c r="BM16" s="13">
        <v>22776</v>
      </c>
      <c r="BN16" s="13">
        <v>24627</v>
      </c>
      <c r="BO16" s="13">
        <v>26762</v>
      </c>
      <c r="BP16" s="13">
        <v>29009</v>
      </c>
      <c r="BQ16" s="13">
        <v>31093</v>
      </c>
      <c r="BR16" s="13">
        <v>32990</v>
      </c>
      <c r="BS16" s="13">
        <v>34920</v>
      </c>
      <c r="BT16" s="13">
        <v>36459</v>
      </c>
      <c r="BU16" s="13">
        <v>38242</v>
      </c>
      <c r="BV16" s="13">
        <v>39351</v>
      </c>
      <c r="BW16" s="13">
        <v>41235</v>
      </c>
      <c r="BX16" s="13">
        <v>44202</v>
      </c>
      <c r="BY16" s="13">
        <v>48078</v>
      </c>
      <c r="BZ16" s="13">
        <v>52613</v>
      </c>
      <c r="CA16" s="13">
        <v>56719</v>
      </c>
      <c r="CB16" s="13">
        <v>60627</v>
      </c>
      <c r="CC16" s="13">
        <v>65044</v>
      </c>
      <c r="CD16" s="13">
        <v>70263</v>
      </c>
      <c r="CE16" s="13">
        <v>76517</v>
      </c>
      <c r="CF16" s="13">
        <v>82656</v>
      </c>
      <c r="CG16" s="13">
        <v>88988</v>
      </c>
      <c r="CH16" s="13">
        <v>95964</v>
      </c>
      <c r="CI16" s="13">
        <v>101546</v>
      </c>
      <c r="CJ16" s="13">
        <v>105770</v>
      </c>
      <c r="CK16" s="13">
        <v>112829</v>
      </c>
      <c r="CL16" s="13">
        <v>120750</v>
      </c>
      <c r="CM16" s="13">
        <v>129546</v>
      </c>
      <c r="CN16" s="13">
        <v>139017</v>
      </c>
      <c r="CO16" s="13">
        <v>147781</v>
      </c>
      <c r="CP16" s="13">
        <v>156311</v>
      </c>
      <c r="CQ16" s="13">
        <v>164845</v>
      </c>
      <c r="CR16" s="13">
        <v>174295</v>
      </c>
      <c r="CS16" s="13">
        <v>185300</v>
      </c>
      <c r="CT16" s="13">
        <v>195560</v>
      </c>
      <c r="CU16" s="13">
        <v>207334</v>
      </c>
      <c r="CV16" s="13">
        <v>225688</v>
      </c>
      <c r="CW16" s="13">
        <v>238474</v>
      </c>
      <c r="CX16" s="13">
        <v>248776</v>
      </c>
    </row>
    <row r="17" spans="1:102">
      <c r="A17" s="13">
        <v>9</v>
      </c>
      <c r="B17" s="13" t="s">
        <v>1108</v>
      </c>
      <c r="C17" s="13">
        <v>1238</v>
      </c>
      <c r="D17" s="13">
        <v>1314</v>
      </c>
      <c r="E17" s="13">
        <v>1354</v>
      </c>
      <c r="F17" s="13">
        <v>1400</v>
      </c>
      <c r="G17" s="13">
        <v>1494</v>
      </c>
      <c r="H17" s="13">
        <v>1477</v>
      </c>
      <c r="I17" s="13">
        <v>1341</v>
      </c>
      <c r="J17" s="13">
        <v>1084</v>
      </c>
      <c r="K17" s="13">
        <v>1060</v>
      </c>
      <c r="L17" s="13">
        <v>1180</v>
      </c>
      <c r="M17" s="13">
        <v>1174</v>
      </c>
      <c r="N17" s="13">
        <v>1234</v>
      </c>
      <c r="O17" s="13">
        <v>1371</v>
      </c>
      <c r="P17" s="13">
        <v>1418</v>
      </c>
      <c r="Q17" s="13">
        <v>1435</v>
      </c>
      <c r="R17" s="13">
        <v>1507</v>
      </c>
      <c r="S17" s="13">
        <v>1673</v>
      </c>
      <c r="T17" s="13">
        <v>1807</v>
      </c>
      <c r="U17" s="13">
        <v>1946</v>
      </c>
      <c r="V17" s="13">
        <v>2114</v>
      </c>
      <c r="W17" s="13">
        <v>2267</v>
      </c>
      <c r="X17" s="13">
        <v>2533</v>
      </c>
      <c r="Y17" s="13">
        <v>3212</v>
      </c>
      <c r="Z17" s="13">
        <v>3665</v>
      </c>
      <c r="AA17" s="13">
        <v>3887</v>
      </c>
      <c r="AB17" s="13">
        <v>4188</v>
      </c>
      <c r="AC17" s="13">
        <v>4734</v>
      </c>
      <c r="AD17" s="13">
        <v>5100</v>
      </c>
      <c r="AE17" s="13">
        <v>5385</v>
      </c>
      <c r="AF17" s="13">
        <v>5676</v>
      </c>
      <c r="AG17" s="13">
        <v>6114</v>
      </c>
      <c r="AH17" s="13">
        <v>6624</v>
      </c>
      <c r="AI17" s="13">
        <v>6947</v>
      </c>
      <c r="AJ17" s="13">
        <v>7212</v>
      </c>
      <c r="AK17" s="13">
        <v>7580</v>
      </c>
      <c r="AL17" s="13">
        <v>8023</v>
      </c>
      <c r="AM17" s="13">
        <v>8391</v>
      </c>
      <c r="AN17" s="13">
        <v>8778</v>
      </c>
      <c r="AO17" s="13">
        <v>9150</v>
      </c>
      <c r="AP17" s="13">
        <v>9698</v>
      </c>
      <c r="AQ17" s="13">
        <v>10442</v>
      </c>
      <c r="AR17" s="13">
        <v>11287</v>
      </c>
      <c r="AS17" s="13">
        <v>12120</v>
      </c>
      <c r="AT17" s="13">
        <v>13223</v>
      </c>
      <c r="AU17" s="13">
        <v>14696</v>
      </c>
      <c r="AV17" s="13">
        <v>15692</v>
      </c>
      <c r="AW17" s="13">
        <v>17259</v>
      </c>
      <c r="AX17" s="13">
        <v>19180</v>
      </c>
      <c r="AY17" s="13">
        <v>21905</v>
      </c>
      <c r="AZ17" s="13">
        <v>25166</v>
      </c>
      <c r="BA17" s="13">
        <v>28411</v>
      </c>
      <c r="BB17" s="13">
        <v>31491</v>
      </c>
      <c r="BC17" s="13">
        <v>36524</v>
      </c>
      <c r="BD17" s="13">
        <v>43186</v>
      </c>
      <c r="BE17" s="13">
        <v>50582</v>
      </c>
      <c r="BF17" s="13">
        <v>57826</v>
      </c>
      <c r="BG17" s="13">
        <v>63357</v>
      </c>
      <c r="BH17" s="13">
        <v>66934</v>
      </c>
      <c r="BI17" s="13">
        <v>69304</v>
      </c>
      <c r="BJ17" s="13">
        <v>73508</v>
      </c>
      <c r="BK17" s="13">
        <v>78292</v>
      </c>
      <c r="BL17" s="13">
        <v>85145</v>
      </c>
      <c r="BM17" s="13">
        <v>92890</v>
      </c>
      <c r="BN17" s="13">
        <v>99884</v>
      </c>
      <c r="BO17" s="13">
        <v>106800</v>
      </c>
      <c r="BP17" s="13">
        <v>111968</v>
      </c>
      <c r="BQ17" s="13">
        <v>115598</v>
      </c>
      <c r="BR17" s="13">
        <v>119486</v>
      </c>
      <c r="BS17" s="13">
        <v>127620</v>
      </c>
      <c r="BT17" s="13">
        <v>136255</v>
      </c>
      <c r="BU17" s="13">
        <v>144688</v>
      </c>
      <c r="BV17" s="13">
        <v>151994</v>
      </c>
      <c r="BW17" s="13">
        <v>160124</v>
      </c>
      <c r="BX17" s="13">
        <v>170292</v>
      </c>
      <c r="BY17" s="13">
        <v>183788</v>
      </c>
      <c r="BZ17" s="13">
        <v>199599</v>
      </c>
      <c r="CA17" s="13">
        <v>216952</v>
      </c>
      <c r="CB17" s="13">
        <v>230494</v>
      </c>
      <c r="CC17" s="13">
        <v>251598</v>
      </c>
      <c r="CD17" s="13">
        <v>280915</v>
      </c>
      <c r="CE17" s="13">
        <v>315899</v>
      </c>
      <c r="CF17" s="13">
        <v>345756</v>
      </c>
      <c r="CG17" s="13">
        <v>357181</v>
      </c>
      <c r="CH17" s="13">
        <v>350969</v>
      </c>
      <c r="CI17" s="13">
        <v>334323</v>
      </c>
      <c r="CJ17" s="13">
        <v>328714</v>
      </c>
      <c r="CK17" s="13">
        <v>327136</v>
      </c>
      <c r="CL17" s="13">
        <v>329371</v>
      </c>
      <c r="CM17" s="13">
        <v>349595</v>
      </c>
      <c r="CN17" s="13">
        <v>374348</v>
      </c>
      <c r="CO17" s="13">
        <v>387652</v>
      </c>
      <c r="CP17" s="13">
        <v>407069</v>
      </c>
      <c r="CQ17" s="13">
        <v>432084</v>
      </c>
      <c r="CR17" s="13">
        <v>463773</v>
      </c>
      <c r="CS17" s="13">
        <v>482629</v>
      </c>
      <c r="CT17" s="13">
        <v>508462</v>
      </c>
      <c r="CU17" s="13">
        <v>579228</v>
      </c>
      <c r="CV17" s="13">
        <v>664142</v>
      </c>
      <c r="CW17" s="13">
        <v>683535</v>
      </c>
      <c r="CX17" s="13">
        <v>705556</v>
      </c>
    </row>
    <row r="18" spans="1:102">
      <c r="A18" s="13">
        <v>10</v>
      </c>
      <c r="B18" s="13" t="s">
        <v>1109</v>
      </c>
      <c r="C18" s="13">
        <v>0</v>
      </c>
      <c r="D18" s="13">
        <v>0</v>
      </c>
      <c r="E18" s="13">
        <v>0</v>
      </c>
      <c r="F18" s="13">
        <v>0</v>
      </c>
      <c r="G18" s="13">
        <v>0</v>
      </c>
      <c r="H18" s="13">
        <v>0</v>
      </c>
      <c r="I18" s="13">
        <v>0</v>
      </c>
      <c r="J18" s="13">
        <v>0</v>
      </c>
      <c r="K18" s="13">
        <v>0</v>
      </c>
      <c r="L18" s="13">
        <v>0</v>
      </c>
      <c r="M18" s="13">
        <v>5</v>
      </c>
      <c r="N18" s="13">
        <v>15</v>
      </c>
      <c r="O18" s="13">
        <v>26</v>
      </c>
      <c r="P18" s="13">
        <v>33</v>
      </c>
      <c r="Q18" s="13">
        <v>39</v>
      </c>
      <c r="R18" s="13">
        <v>46</v>
      </c>
      <c r="S18" s="13">
        <v>57</v>
      </c>
      <c r="T18" s="13">
        <v>70</v>
      </c>
      <c r="U18" s="13">
        <v>66</v>
      </c>
      <c r="V18" s="13">
        <v>70</v>
      </c>
      <c r="W18" s="13">
        <v>71</v>
      </c>
      <c r="X18" s="13">
        <v>83</v>
      </c>
      <c r="Y18" s="13">
        <v>109</v>
      </c>
      <c r="Z18" s="13">
        <v>135</v>
      </c>
      <c r="AA18" s="13">
        <v>155</v>
      </c>
      <c r="AB18" s="13">
        <v>169</v>
      </c>
      <c r="AC18" s="13">
        <v>195</v>
      </c>
      <c r="AD18" s="13">
        <v>207</v>
      </c>
      <c r="AE18" s="13">
        <v>219</v>
      </c>
      <c r="AF18" s="13">
        <v>230</v>
      </c>
      <c r="AG18" s="13">
        <v>238</v>
      </c>
      <c r="AH18" s="13">
        <v>262</v>
      </c>
      <c r="AI18" s="13">
        <v>279</v>
      </c>
      <c r="AJ18" s="13">
        <v>297</v>
      </c>
      <c r="AK18" s="13">
        <v>296</v>
      </c>
      <c r="AL18" s="13">
        <v>289</v>
      </c>
      <c r="AM18" s="13">
        <v>295</v>
      </c>
      <c r="AN18" s="13">
        <v>302</v>
      </c>
      <c r="AO18" s="13">
        <v>311</v>
      </c>
      <c r="AP18" s="13">
        <v>318</v>
      </c>
      <c r="AQ18" s="13">
        <v>326</v>
      </c>
      <c r="AR18" s="13">
        <v>337</v>
      </c>
      <c r="AS18" s="13">
        <v>356</v>
      </c>
      <c r="AT18" s="13">
        <v>380</v>
      </c>
      <c r="AU18" s="13">
        <v>402</v>
      </c>
      <c r="AV18" s="13">
        <v>431</v>
      </c>
      <c r="AW18" s="13">
        <v>467</v>
      </c>
      <c r="AX18" s="13">
        <v>495</v>
      </c>
      <c r="AY18" s="13">
        <v>534</v>
      </c>
      <c r="AZ18" s="13">
        <v>612</v>
      </c>
      <c r="BA18" s="13">
        <v>732</v>
      </c>
      <c r="BB18" s="13">
        <v>825</v>
      </c>
      <c r="BC18" s="13">
        <v>938</v>
      </c>
      <c r="BD18" s="13">
        <v>1042</v>
      </c>
      <c r="BE18" s="13">
        <v>1165</v>
      </c>
      <c r="BF18" s="13">
        <v>1333</v>
      </c>
      <c r="BG18" s="13">
        <v>1463</v>
      </c>
      <c r="BH18" s="13">
        <v>1539</v>
      </c>
      <c r="BI18" s="13">
        <v>1543</v>
      </c>
      <c r="BJ18" s="13">
        <v>1521</v>
      </c>
      <c r="BK18" s="13">
        <v>1597</v>
      </c>
      <c r="BL18" s="13">
        <v>1722</v>
      </c>
      <c r="BM18" s="13">
        <v>1786</v>
      </c>
      <c r="BN18" s="13">
        <v>1851</v>
      </c>
      <c r="BO18" s="13">
        <v>1914</v>
      </c>
      <c r="BP18" s="13">
        <v>1998</v>
      </c>
      <c r="BQ18" s="13">
        <v>2066</v>
      </c>
      <c r="BR18" s="13">
        <v>2119</v>
      </c>
      <c r="BS18" s="13">
        <v>2207</v>
      </c>
      <c r="BT18" s="13">
        <v>2305</v>
      </c>
      <c r="BU18" s="13">
        <v>2410</v>
      </c>
      <c r="BV18" s="13">
        <v>2481</v>
      </c>
      <c r="BW18" s="13">
        <v>2557</v>
      </c>
      <c r="BX18" s="13">
        <v>2620</v>
      </c>
      <c r="BY18" s="13">
        <v>2711</v>
      </c>
      <c r="BZ18" s="13">
        <v>2905</v>
      </c>
      <c r="CA18" s="13">
        <v>3103</v>
      </c>
      <c r="CB18" s="13">
        <v>3244</v>
      </c>
      <c r="CC18" s="13">
        <v>3328</v>
      </c>
      <c r="CD18" s="13">
        <v>3469</v>
      </c>
      <c r="CE18" s="13">
        <v>3668</v>
      </c>
      <c r="CF18" s="13">
        <v>3952</v>
      </c>
      <c r="CG18" s="13">
        <v>4309</v>
      </c>
      <c r="CH18" s="13">
        <v>4757</v>
      </c>
      <c r="CI18" s="13">
        <v>5049</v>
      </c>
      <c r="CJ18" s="13">
        <v>5386</v>
      </c>
      <c r="CK18" s="13">
        <v>5828</v>
      </c>
      <c r="CL18" s="13">
        <v>6266</v>
      </c>
      <c r="CM18" s="13">
        <v>6820</v>
      </c>
      <c r="CN18" s="13">
        <v>7558</v>
      </c>
      <c r="CO18" s="13">
        <v>8221</v>
      </c>
      <c r="CP18" s="13">
        <v>8658</v>
      </c>
      <c r="CQ18" s="13">
        <v>9040</v>
      </c>
      <c r="CR18" s="13">
        <v>9172</v>
      </c>
      <c r="CS18" s="13">
        <v>9599</v>
      </c>
      <c r="CT18" s="13">
        <v>10022</v>
      </c>
      <c r="CU18" s="13">
        <v>11046</v>
      </c>
      <c r="CV18" s="13">
        <v>12402</v>
      </c>
      <c r="CW18" s="13">
        <v>12586</v>
      </c>
      <c r="CX18" s="13">
        <v>12757</v>
      </c>
    </row>
    <row r="19" spans="1:102">
      <c r="A19" s="13"/>
      <c r="B19" s="12" t="s">
        <v>1110</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row>
    <row r="20" spans="1:102">
      <c r="A20" s="13">
        <v>11</v>
      </c>
      <c r="B20" s="13" t="s">
        <v>1111</v>
      </c>
      <c r="C20" s="13">
        <v>579</v>
      </c>
      <c r="D20" s="13">
        <v>643</v>
      </c>
      <c r="E20" s="13">
        <v>674</v>
      </c>
      <c r="F20" s="13">
        <v>700</v>
      </c>
      <c r="G20" s="13">
        <v>722</v>
      </c>
      <c r="H20" s="13">
        <v>716</v>
      </c>
      <c r="I20" s="13">
        <v>665</v>
      </c>
      <c r="J20" s="13">
        <v>592</v>
      </c>
      <c r="K20" s="13">
        <v>555</v>
      </c>
      <c r="L20" s="13">
        <v>546</v>
      </c>
      <c r="M20" s="13">
        <v>528</v>
      </c>
      <c r="N20" s="13">
        <v>547</v>
      </c>
      <c r="O20" s="13">
        <v>599</v>
      </c>
      <c r="P20" s="13">
        <v>630</v>
      </c>
      <c r="Q20" s="13">
        <v>619</v>
      </c>
      <c r="R20" s="13">
        <v>629</v>
      </c>
      <c r="S20" s="13">
        <v>697</v>
      </c>
      <c r="T20" s="13">
        <v>820</v>
      </c>
      <c r="U20" s="13">
        <v>816</v>
      </c>
      <c r="V20" s="13">
        <v>865</v>
      </c>
      <c r="W20" s="13">
        <v>896</v>
      </c>
      <c r="X20" s="13">
        <v>989</v>
      </c>
      <c r="Y20" s="13">
        <v>1220</v>
      </c>
      <c r="Z20" s="13">
        <v>1543</v>
      </c>
      <c r="AA20" s="13">
        <v>1812</v>
      </c>
      <c r="AB20" s="13">
        <v>2032</v>
      </c>
      <c r="AC20" s="13">
        <v>2331</v>
      </c>
      <c r="AD20" s="13">
        <v>2507</v>
      </c>
      <c r="AE20" s="13">
        <v>2602</v>
      </c>
      <c r="AF20" s="13">
        <v>2663</v>
      </c>
      <c r="AG20" s="13">
        <v>2700</v>
      </c>
      <c r="AH20" s="13">
        <v>2829</v>
      </c>
      <c r="AI20" s="13">
        <v>2925</v>
      </c>
      <c r="AJ20" s="13">
        <v>3066</v>
      </c>
      <c r="AK20" s="13">
        <v>3139</v>
      </c>
      <c r="AL20" s="13">
        <v>3105</v>
      </c>
      <c r="AM20" s="13">
        <v>3112</v>
      </c>
      <c r="AN20" s="13">
        <v>3166</v>
      </c>
      <c r="AO20" s="13">
        <v>3260</v>
      </c>
      <c r="AP20" s="13">
        <v>3389</v>
      </c>
      <c r="AQ20" s="13">
        <v>3606</v>
      </c>
      <c r="AR20" s="13">
        <v>3883</v>
      </c>
      <c r="AS20" s="13">
        <v>4191</v>
      </c>
      <c r="AT20" s="13">
        <v>4473</v>
      </c>
      <c r="AU20" s="13">
        <v>4766</v>
      </c>
      <c r="AV20" s="13">
        <v>5061</v>
      </c>
      <c r="AW20" s="13">
        <v>5438</v>
      </c>
      <c r="AX20" s="13">
        <v>5847</v>
      </c>
      <c r="AY20" s="13">
        <v>6353</v>
      </c>
      <c r="AZ20" s="13">
        <v>7488</v>
      </c>
      <c r="BA20" s="13">
        <v>8949</v>
      </c>
      <c r="BB20" s="13">
        <v>9989</v>
      </c>
      <c r="BC20" s="13">
        <v>11194</v>
      </c>
      <c r="BD20" s="13">
        <v>12518</v>
      </c>
      <c r="BE20" s="13">
        <v>14278</v>
      </c>
      <c r="BF20" s="13">
        <v>16363</v>
      </c>
      <c r="BG20" s="13">
        <v>18015</v>
      </c>
      <c r="BH20" s="13">
        <v>19086</v>
      </c>
      <c r="BI20" s="13">
        <v>18944</v>
      </c>
      <c r="BJ20" s="13">
        <v>18632</v>
      </c>
      <c r="BK20" s="13">
        <v>18157</v>
      </c>
      <c r="BL20" s="13">
        <v>17852</v>
      </c>
      <c r="BM20" s="13">
        <v>17435</v>
      </c>
      <c r="BN20" s="13">
        <v>17290</v>
      </c>
      <c r="BO20" s="13">
        <v>17588</v>
      </c>
      <c r="BP20" s="13">
        <v>17948</v>
      </c>
      <c r="BQ20" s="13">
        <v>18253</v>
      </c>
      <c r="BR20" s="13">
        <v>18248</v>
      </c>
      <c r="BS20" s="13">
        <v>18277</v>
      </c>
      <c r="BT20" s="13">
        <v>18756</v>
      </c>
      <c r="BU20" s="13">
        <v>19555</v>
      </c>
      <c r="BV20" s="13">
        <v>20271</v>
      </c>
      <c r="BW20" s="13">
        <v>21089</v>
      </c>
      <c r="BX20" s="13">
        <v>22032</v>
      </c>
      <c r="BY20" s="13">
        <v>22612</v>
      </c>
      <c r="BZ20" s="13">
        <v>22807</v>
      </c>
      <c r="CA20" s="13">
        <v>23149</v>
      </c>
      <c r="CB20" s="13">
        <v>23551</v>
      </c>
      <c r="CC20" s="13">
        <v>24293</v>
      </c>
      <c r="CD20" s="13">
        <v>25658</v>
      </c>
      <c r="CE20" s="13">
        <v>27484</v>
      </c>
      <c r="CF20" s="13">
        <v>28896</v>
      </c>
      <c r="CG20" s="13">
        <v>30077</v>
      </c>
      <c r="CH20" s="13">
        <v>31690</v>
      </c>
      <c r="CI20" s="13">
        <v>32623</v>
      </c>
      <c r="CJ20" s="13">
        <v>33063</v>
      </c>
      <c r="CK20" s="13">
        <v>34701</v>
      </c>
      <c r="CL20" s="13">
        <v>37087</v>
      </c>
      <c r="CM20" s="13">
        <v>40342</v>
      </c>
      <c r="CN20" s="13">
        <v>44286</v>
      </c>
      <c r="CO20" s="13">
        <v>46489</v>
      </c>
      <c r="CP20" s="13">
        <v>46649</v>
      </c>
      <c r="CQ20" s="13">
        <v>46598</v>
      </c>
      <c r="CR20" s="13">
        <v>46899</v>
      </c>
      <c r="CS20" s="13">
        <v>47526</v>
      </c>
      <c r="CT20" s="13">
        <v>48063</v>
      </c>
      <c r="CU20" s="13">
        <v>50542</v>
      </c>
      <c r="CV20" s="13">
        <v>56821</v>
      </c>
      <c r="CW20" s="13">
        <v>59745</v>
      </c>
      <c r="CX20" s="13">
        <v>60924</v>
      </c>
    </row>
    <row r="21" spans="1:102">
      <c r="A21" s="13">
        <v>12</v>
      </c>
      <c r="B21" s="13" t="s">
        <v>1112</v>
      </c>
      <c r="C21" s="13">
        <v>1182</v>
      </c>
      <c r="D21" s="13">
        <v>1254</v>
      </c>
      <c r="E21" s="13">
        <v>1285</v>
      </c>
      <c r="F21" s="13">
        <v>1317</v>
      </c>
      <c r="G21" s="13">
        <v>1361</v>
      </c>
      <c r="H21" s="13">
        <v>1314</v>
      </c>
      <c r="I21" s="13">
        <v>1216</v>
      </c>
      <c r="J21" s="13">
        <v>1089</v>
      </c>
      <c r="K21" s="13">
        <v>1046</v>
      </c>
      <c r="L21" s="13">
        <v>1169</v>
      </c>
      <c r="M21" s="13">
        <v>1208</v>
      </c>
      <c r="N21" s="13">
        <v>1268</v>
      </c>
      <c r="O21" s="13">
        <v>1448</v>
      </c>
      <c r="P21" s="13">
        <v>1499</v>
      </c>
      <c r="Q21" s="13">
        <v>1520</v>
      </c>
      <c r="R21" s="13">
        <v>1646</v>
      </c>
      <c r="S21" s="13">
        <v>1893</v>
      </c>
      <c r="T21" s="13">
        <v>2239</v>
      </c>
      <c r="U21" s="13">
        <v>2342</v>
      </c>
      <c r="V21" s="13">
        <v>2424</v>
      </c>
      <c r="W21" s="13">
        <v>2536</v>
      </c>
      <c r="X21" s="13">
        <v>2961</v>
      </c>
      <c r="Y21" s="13">
        <v>3624</v>
      </c>
      <c r="Z21" s="13">
        <v>4318</v>
      </c>
      <c r="AA21" s="13">
        <v>4667</v>
      </c>
      <c r="AB21" s="13">
        <v>4941</v>
      </c>
      <c r="AC21" s="13">
        <v>5681</v>
      </c>
      <c r="AD21" s="13">
        <v>6073</v>
      </c>
      <c r="AE21" s="13">
        <v>6550</v>
      </c>
      <c r="AF21" s="13">
        <v>6972</v>
      </c>
      <c r="AG21" s="13">
        <v>7482</v>
      </c>
      <c r="AH21" s="13">
        <v>8527</v>
      </c>
      <c r="AI21" s="13">
        <v>9606</v>
      </c>
      <c r="AJ21" s="13">
        <v>10344</v>
      </c>
      <c r="AK21" s="13">
        <v>10806</v>
      </c>
      <c r="AL21" s="13">
        <v>11220</v>
      </c>
      <c r="AM21" s="13">
        <v>11632</v>
      </c>
      <c r="AN21" s="13">
        <v>12149</v>
      </c>
      <c r="AO21" s="13">
        <v>12770</v>
      </c>
      <c r="AP21" s="13">
        <v>13566</v>
      </c>
      <c r="AQ21" s="13">
        <v>14654</v>
      </c>
      <c r="AR21" s="13">
        <v>16220</v>
      </c>
      <c r="AS21" s="13">
        <v>18036</v>
      </c>
      <c r="AT21" s="13">
        <v>19970</v>
      </c>
      <c r="AU21" s="13">
        <v>22180</v>
      </c>
      <c r="AV21" s="13">
        <v>24515</v>
      </c>
      <c r="AW21" s="13">
        <v>26627</v>
      </c>
      <c r="AX21" s="13">
        <v>28613</v>
      </c>
      <c r="AY21" s="13">
        <v>31414</v>
      </c>
      <c r="AZ21" s="13">
        <v>36463</v>
      </c>
      <c r="BA21" s="13">
        <v>43066</v>
      </c>
      <c r="BB21" s="13">
        <v>47283</v>
      </c>
      <c r="BC21" s="13">
        <v>52635</v>
      </c>
      <c r="BD21" s="13">
        <v>58818</v>
      </c>
      <c r="BE21" s="13">
        <v>66860</v>
      </c>
      <c r="BF21" s="13">
        <v>77280</v>
      </c>
      <c r="BG21" s="13">
        <v>87839</v>
      </c>
      <c r="BH21" s="13">
        <v>96285</v>
      </c>
      <c r="BI21" s="13">
        <v>100947</v>
      </c>
      <c r="BJ21" s="13">
        <v>105952</v>
      </c>
      <c r="BK21" s="13">
        <v>113132</v>
      </c>
      <c r="BL21" s="13">
        <v>120837</v>
      </c>
      <c r="BM21" s="13">
        <v>128154</v>
      </c>
      <c r="BN21" s="13">
        <v>136350</v>
      </c>
      <c r="BO21" s="13">
        <v>143732</v>
      </c>
      <c r="BP21" s="13">
        <v>152433</v>
      </c>
      <c r="BQ21" s="13">
        <v>160877</v>
      </c>
      <c r="BR21" s="13">
        <v>167172</v>
      </c>
      <c r="BS21" s="13">
        <v>173196</v>
      </c>
      <c r="BT21" s="13">
        <v>180959</v>
      </c>
      <c r="BU21" s="13">
        <v>194884</v>
      </c>
      <c r="BV21" s="13">
        <v>206963</v>
      </c>
      <c r="BW21" s="13">
        <v>221502</v>
      </c>
      <c r="BX21" s="13">
        <v>235137</v>
      </c>
      <c r="BY21" s="13">
        <v>249356</v>
      </c>
      <c r="BZ21" s="13">
        <v>264881</v>
      </c>
      <c r="CA21" s="13">
        <v>274663</v>
      </c>
      <c r="CB21" s="13">
        <v>277956</v>
      </c>
      <c r="CC21" s="13">
        <v>279109</v>
      </c>
      <c r="CD21" s="13">
        <v>284333</v>
      </c>
      <c r="CE21" s="13">
        <v>295490</v>
      </c>
      <c r="CF21" s="13">
        <v>308686</v>
      </c>
      <c r="CG21" s="13">
        <v>326174</v>
      </c>
      <c r="CH21" s="13">
        <v>347546</v>
      </c>
      <c r="CI21" s="13">
        <v>353497</v>
      </c>
      <c r="CJ21" s="13">
        <v>356755</v>
      </c>
      <c r="CK21" s="13">
        <v>369312</v>
      </c>
      <c r="CL21" s="13">
        <v>383384</v>
      </c>
      <c r="CM21" s="13">
        <v>395562</v>
      </c>
      <c r="CN21" s="13">
        <v>411633</v>
      </c>
      <c r="CO21" s="13">
        <v>425340</v>
      </c>
      <c r="CP21" s="13">
        <v>433377</v>
      </c>
      <c r="CQ21" s="13">
        <v>453126</v>
      </c>
      <c r="CR21" s="13">
        <v>475898</v>
      </c>
      <c r="CS21" s="13">
        <v>494755</v>
      </c>
      <c r="CT21" s="13">
        <v>516953</v>
      </c>
      <c r="CU21" s="13">
        <v>543158</v>
      </c>
      <c r="CV21" s="13">
        <v>585329</v>
      </c>
      <c r="CW21" s="13">
        <v>614456</v>
      </c>
      <c r="CX21" s="13">
        <v>640286</v>
      </c>
    </row>
    <row r="22" spans="1:102">
      <c r="A22" s="13">
        <v>13</v>
      </c>
      <c r="B22" s="13" t="s">
        <v>1113</v>
      </c>
      <c r="C22" s="13">
        <v>4663</v>
      </c>
      <c r="D22" s="13">
        <v>4989</v>
      </c>
      <c r="E22" s="13">
        <v>5166</v>
      </c>
      <c r="F22" s="13">
        <v>5284</v>
      </c>
      <c r="G22" s="13">
        <v>5423</v>
      </c>
      <c r="H22" s="13">
        <v>5306</v>
      </c>
      <c r="I22" s="13">
        <v>4959</v>
      </c>
      <c r="J22" s="13">
        <v>4403</v>
      </c>
      <c r="K22" s="13">
        <v>4094</v>
      </c>
      <c r="L22" s="13">
        <v>4081</v>
      </c>
      <c r="M22" s="13">
        <v>4107</v>
      </c>
      <c r="N22" s="13">
        <v>4141</v>
      </c>
      <c r="O22" s="13">
        <v>4600</v>
      </c>
      <c r="P22" s="13">
        <v>4668</v>
      </c>
      <c r="Q22" s="13">
        <v>4649</v>
      </c>
      <c r="R22" s="13">
        <v>4813</v>
      </c>
      <c r="S22" s="13">
        <v>5265</v>
      </c>
      <c r="T22" s="13">
        <v>5927</v>
      </c>
      <c r="U22" s="13">
        <v>5956</v>
      </c>
      <c r="V22" s="13">
        <v>6123</v>
      </c>
      <c r="W22" s="13">
        <v>6272</v>
      </c>
      <c r="X22" s="13">
        <v>7182</v>
      </c>
      <c r="Y22" s="13">
        <v>8971</v>
      </c>
      <c r="Z22" s="13">
        <v>10504</v>
      </c>
      <c r="AA22" s="13">
        <v>11404</v>
      </c>
      <c r="AB22" s="13">
        <v>12312</v>
      </c>
      <c r="AC22" s="13">
        <v>14059</v>
      </c>
      <c r="AD22" s="13">
        <v>14885</v>
      </c>
      <c r="AE22" s="13">
        <v>15808</v>
      </c>
      <c r="AF22" s="13">
        <v>16631</v>
      </c>
      <c r="AG22" s="13">
        <v>17651</v>
      </c>
      <c r="AH22" s="13">
        <v>19745</v>
      </c>
      <c r="AI22" s="13">
        <v>21668</v>
      </c>
      <c r="AJ22" s="13">
        <v>23141</v>
      </c>
      <c r="AK22" s="13">
        <v>24091</v>
      </c>
      <c r="AL22" s="13">
        <v>24615</v>
      </c>
      <c r="AM22" s="13">
        <v>25365</v>
      </c>
      <c r="AN22" s="13">
        <v>26370</v>
      </c>
      <c r="AO22" s="13">
        <v>27600</v>
      </c>
      <c r="AP22" s="13">
        <v>29168</v>
      </c>
      <c r="AQ22" s="13">
        <v>31312</v>
      </c>
      <c r="AR22" s="13">
        <v>34105</v>
      </c>
      <c r="AS22" s="13">
        <v>37194</v>
      </c>
      <c r="AT22" s="13">
        <v>40936</v>
      </c>
      <c r="AU22" s="13">
        <v>45429</v>
      </c>
      <c r="AV22" s="13">
        <v>50315</v>
      </c>
      <c r="AW22" s="13">
        <v>55199</v>
      </c>
      <c r="AX22" s="13">
        <v>60191</v>
      </c>
      <c r="AY22" s="13">
        <v>67469</v>
      </c>
      <c r="AZ22" s="13">
        <v>78864</v>
      </c>
      <c r="BA22" s="13">
        <v>92496</v>
      </c>
      <c r="BB22" s="13">
        <v>101397</v>
      </c>
      <c r="BC22" s="13">
        <v>113699</v>
      </c>
      <c r="BD22" s="13">
        <v>129491</v>
      </c>
      <c r="BE22" s="13">
        <v>149794</v>
      </c>
      <c r="BF22" s="13">
        <v>173105</v>
      </c>
      <c r="BG22" s="13">
        <v>201314</v>
      </c>
      <c r="BH22" s="13">
        <v>225868</v>
      </c>
      <c r="BI22" s="13">
        <v>236769</v>
      </c>
      <c r="BJ22" s="13">
        <v>251852</v>
      </c>
      <c r="BK22" s="13">
        <v>272365</v>
      </c>
      <c r="BL22" s="13">
        <v>291943</v>
      </c>
      <c r="BM22" s="13">
        <v>310387</v>
      </c>
      <c r="BN22" s="13">
        <v>336202</v>
      </c>
      <c r="BO22" s="13">
        <v>362465</v>
      </c>
      <c r="BP22" s="13">
        <v>386482</v>
      </c>
      <c r="BQ22" s="13">
        <v>406750</v>
      </c>
      <c r="BR22" s="13">
        <v>417668</v>
      </c>
      <c r="BS22" s="13">
        <v>438062</v>
      </c>
      <c r="BT22" s="13">
        <v>464738</v>
      </c>
      <c r="BU22" s="13">
        <v>498914</v>
      </c>
      <c r="BV22" s="13">
        <v>526275</v>
      </c>
      <c r="BW22" s="13">
        <v>560343</v>
      </c>
      <c r="BX22" s="13">
        <v>598519</v>
      </c>
      <c r="BY22" s="13">
        <v>648786</v>
      </c>
      <c r="BZ22" s="13">
        <v>714631</v>
      </c>
      <c r="CA22" s="13">
        <v>765356</v>
      </c>
      <c r="CB22" s="13">
        <v>796697</v>
      </c>
      <c r="CC22" s="13">
        <v>821680</v>
      </c>
      <c r="CD22" s="13">
        <v>867829</v>
      </c>
      <c r="CE22" s="13">
        <v>941350</v>
      </c>
      <c r="CF22" s="13">
        <v>1022236</v>
      </c>
      <c r="CG22" s="13">
        <v>1090935</v>
      </c>
      <c r="CH22" s="13">
        <v>1153480</v>
      </c>
      <c r="CI22" s="13">
        <v>1161056</v>
      </c>
      <c r="CJ22" s="13">
        <v>1168210</v>
      </c>
      <c r="CK22" s="13">
        <v>1220240</v>
      </c>
      <c r="CL22" s="13">
        <v>1285810</v>
      </c>
      <c r="CM22" s="13">
        <v>1342858</v>
      </c>
      <c r="CN22" s="13">
        <v>1420410</v>
      </c>
      <c r="CO22" s="13">
        <v>1485067</v>
      </c>
      <c r="CP22" s="13">
        <v>1532648</v>
      </c>
      <c r="CQ22" s="13">
        <v>1608153</v>
      </c>
      <c r="CR22" s="13">
        <v>1686865</v>
      </c>
      <c r="CS22" s="13">
        <v>1788402</v>
      </c>
      <c r="CT22" s="13">
        <v>1862642</v>
      </c>
      <c r="CU22" s="13">
        <v>1960713</v>
      </c>
      <c r="CV22" s="13">
        <v>2183828</v>
      </c>
      <c r="CW22" s="13">
        <v>2352407</v>
      </c>
      <c r="CX22" s="13">
        <v>2492881</v>
      </c>
    </row>
    <row r="23" spans="1:102">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row>
    <row r="24" spans="1:10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row>
  </sheetData>
  <mergeCells count="4">
    <mergeCell ref="A1:CX1"/>
    <mergeCell ref="A2:CX2"/>
    <mergeCell ref="A3:CX3"/>
    <mergeCell ref="A4:CX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5C9B-4E8F-6A4C-AB68-B05CB0060C07}">
  <dimension ref="A1:DV22"/>
  <sheetViews>
    <sheetView topLeftCell="L1" workbookViewId="0">
      <selection activeCell="AV10" sqref="AV10:DV10"/>
    </sheetView>
  </sheetViews>
  <sheetFormatPr baseColWidth="10" defaultColWidth="11.5" defaultRowHeight="16"/>
  <sheetData>
    <row r="1" spans="1:126" ht="19">
      <c r="A1" s="53" t="s">
        <v>1115</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row>
    <row r="2" spans="1:126" ht="17">
      <c r="A2" s="54" t="s">
        <v>991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2"/>
      <c r="CS2" s="52"/>
      <c r="CT2" s="52"/>
      <c r="CU2" s="52"/>
      <c r="CV2" s="52"/>
      <c r="CW2" s="52"/>
      <c r="CX2" s="52"/>
      <c r="CY2" s="52"/>
      <c r="CZ2" s="52"/>
      <c r="DA2" s="52"/>
      <c r="DB2" s="52"/>
      <c r="DC2" s="52"/>
      <c r="DD2" s="52"/>
      <c r="DE2" s="52"/>
      <c r="DF2" s="52"/>
      <c r="DG2" s="52"/>
      <c r="DH2" s="52"/>
      <c r="DI2" s="52"/>
      <c r="DJ2" s="52"/>
      <c r="DK2" s="52"/>
      <c r="DL2" s="52"/>
      <c r="DM2" s="52"/>
      <c r="DN2" s="52"/>
      <c r="DO2" s="52"/>
      <c r="DP2" s="52"/>
      <c r="DQ2" s="52"/>
      <c r="DR2" s="52"/>
      <c r="DS2" s="52"/>
      <c r="DT2" s="52"/>
      <c r="DU2" s="52"/>
      <c r="DV2" s="52"/>
    </row>
    <row r="3" spans="1:126">
      <c r="A3" s="52" t="s">
        <v>992</v>
      </c>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2"/>
      <c r="CS3" s="52"/>
      <c r="CT3" s="52"/>
      <c r="CU3" s="52"/>
      <c r="CV3" s="52"/>
      <c r="CW3" s="52"/>
      <c r="CX3" s="52"/>
      <c r="CY3" s="52"/>
      <c r="CZ3" s="52"/>
      <c r="DA3" s="52"/>
      <c r="DB3" s="52"/>
      <c r="DC3" s="52"/>
      <c r="DD3" s="52"/>
      <c r="DE3" s="52"/>
      <c r="DF3" s="52"/>
      <c r="DG3" s="52"/>
      <c r="DH3" s="52"/>
      <c r="DI3" s="52"/>
      <c r="DJ3" s="52"/>
      <c r="DK3" s="52"/>
      <c r="DL3" s="52"/>
      <c r="DM3" s="52"/>
      <c r="DN3" s="52"/>
      <c r="DO3" s="52"/>
      <c r="DP3" s="52"/>
      <c r="DQ3" s="52"/>
      <c r="DR3" s="52"/>
      <c r="DS3" s="52"/>
      <c r="DT3" s="52"/>
      <c r="DU3" s="52"/>
      <c r="DV3" s="52"/>
    </row>
    <row r="4" spans="1:126">
      <c r="A4" s="52" t="s">
        <v>1094</v>
      </c>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c r="CV4" s="52"/>
      <c r="CW4" s="52"/>
      <c r="CX4" s="52"/>
      <c r="CY4" s="52"/>
      <c r="CZ4" s="52"/>
      <c r="DA4" s="52"/>
      <c r="DB4" s="52"/>
      <c r="DC4" s="52"/>
      <c r="DD4" s="52"/>
      <c r="DE4" s="52"/>
      <c r="DF4" s="52"/>
      <c r="DG4" s="52"/>
      <c r="DH4" s="52"/>
      <c r="DI4" s="52"/>
      <c r="DJ4" s="52"/>
      <c r="DK4" s="52"/>
      <c r="DL4" s="52"/>
      <c r="DM4" s="52"/>
      <c r="DN4" s="52"/>
      <c r="DO4" s="52"/>
      <c r="DP4" s="52"/>
      <c r="DQ4" s="52"/>
      <c r="DR4" s="52"/>
      <c r="DS4" s="52"/>
      <c r="DT4" s="52"/>
      <c r="DU4" s="52"/>
      <c r="DV4" s="52"/>
    </row>
    <row r="6" spans="1:126">
      <c r="A6" s="11" t="s">
        <v>994</v>
      </c>
      <c r="B6" s="11" t="s">
        <v>97</v>
      </c>
      <c r="C6" s="11" t="s">
        <v>1116</v>
      </c>
      <c r="D6" s="11" t="s">
        <v>1117</v>
      </c>
      <c r="E6" s="11" t="s">
        <v>1118</v>
      </c>
      <c r="F6" s="11" t="s">
        <v>1119</v>
      </c>
      <c r="G6" s="11" t="s">
        <v>1120</v>
      </c>
      <c r="H6" s="11" t="s">
        <v>1121</v>
      </c>
      <c r="I6" s="11" t="s">
        <v>1122</v>
      </c>
      <c r="J6" s="11" t="s">
        <v>1123</v>
      </c>
      <c r="K6" s="11" t="s">
        <v>1124</v>
      </c>
      <c r="L6" s="11" t="s">
        <v>1125</v>
      </c>
      <c r="M6" s="11" t="s">
        <v>1126</v>
      </c>
      <c r="N6" s="11" t="s">
        <v>1127</v>
      </c>
      <c r="O6" s="11" t="s">
        <v>1128</v>
      </c>
      <c r="P6" s="11" t="s">
        <v>1129</v>
      </c>
      <c r="Q6" s="11" t="s">
        <v>1130</v>
      </c>
      <c r="R6" s="11" t="s">
        <v>1131</v>
      </c>
      <c r="S6" s="11" t="s">
        <v>1132</v>
      </c>
      <c r="T6" s="11" t="s">
        <v>1133</v>
      </c>
      <c r="U6" s="11" t="s">
        <v>1134</v>
      </c>
      <c r="V6" s="11" t="s">
        <v>1135</v>
      </c>
      <c r="W6" s="11" t="s">
        <v>1136</v>
      </c>
      <c r="X6" s="11" t="s">
        <v>1137</v>
      </c>
      <c r="Y6" s="11" t="s">
        <v>1138</v>
      </c>
      <c r="Z6" s="11" t="s">
        <v>1139</v>
      </c>
      <c r="AA6" s="11" t="s">
        <v>1095</v>
      </c>
      <c r="AB6" s="11" t="s">
        <v>1096</v>
      </c>
      <c r="AC6" s="11" t="s">
        <v>1097</v>
      </c>
      <c r="AD6" s="11" t="s">
        <v>1098</v>
      </c>
      <c r="AE6" s="11" t="s">
        <v>995</v>
      </c>
      <c r="AF6" s="11" t="s">
        <v>996</v>
      </c>
      <c r="AG6" s="11" t="s">
        <v>997</v>
      </c>
      <c r="AH6" s="11" t="s">
        <v>998</v>
      </c>
      <c r="AI6" s="11" t="s">
        <v>999</v>
      </c>
      <c r="AJ6" s="11" t="s">
        <v>1000</v>
      </c>
      <c r="AK6" s="11" t="s">
        <v>1001</v>
      </c>
      <c r="AL6" s="11" t="s">
        <v>1002</v>
      </c>
      <c r="AM6" s="11" t="s">
        <v>1003</v>
      </c>
      <c r="AN6" s="11" t="s">
        <v>1004</v>
      </c>
      <c r="AO6" s="11" t="s">
        <v>1005</v>
      </c>
      <c r="AP6" s="11" t="s">
        <v>1006</v>
      </c>
      <c r="AQ6" s="11" t="s">
        <v>1007</v>
      </c>
      <c r="AR6" s="11" t="s">
        <v>1008</v>
      </c>
      <c r="AS6" s="11" t="s">
        <v>1009</v>
      </c>
      <c r="AT6" s="11" t="s">
        <v>1010</v>
      </c>
      <c r="AU6" s="11" t="s">
        <v>7</v>
      </c>
      <c r="AV6" s="11" t="s">
        <v>8</v>
      </c>
      <c r="AW6" s="11" t="s">
        <v>9</v>
      </c>
      <c r="AX6" s="11" t="s">
        <v>10</v>
      </c>
      <c r="AY6" s="11" t="s">
        <v>11</v>
      </c>
      <c r="AZ6" s="11" t="s">
        <v>12</v>
      </c>
      <c r="BA6" s="11" t="s">
        <v>13</v>
      </c>
      <c r="BB6" s="11" t="s">
        <v>14</v>
      </c>
      <c r="BC6" s="11" t="s">
        <v>15</v>
      </c>
      <c r="BD6" s="11" t="s">
        <v>16</v>
      </c>
      <c r="BE6" s="11" t="s">
        <v>17</v>
      </c>
      <c r="BF6" s="11" t="s">
        <v>18</v>
      </c>
      <c r="BG6" s="11" t="s">
        <v>19</v>
      </c>
      <c r="BH6" s="11" t="s">
        <v>20</v>
      </c>
      <c r="BI6" s="11" t="s">
        <v>21</v>
      </c>
      <c r="BJ6" s="11" t="s">
        <v>22</v>
      </c>
      <c r="BK6" s="11" t="s">
        <v>23</v>
      </c>
      <c r="BL6" s="11" t="s">
        <v>24</v>
      </c>
      <c r="BM6" s="11" t="s">
        <v>25</v>
      </c>
      <c r="BN6" s="11" t="s">
        <v>26</v>
      </c>
      <c r="BO6" s="11" t="s">
        <v>27</v>
      </c>
      <c r="BP6" s="11" t="s">
        <v>28</v>
      </c>
      <c r="BQ6" s="11" t="s">
        <v>29</v>
      </c>
      <c r="BR6" s="11" t="s">
        <v>30</v>
      </c>
      <c r="BS6" s="11" t="s">
        <v>31</v>
      </c>
      <c r="BT6" s="11" t="s">
        <v>32</v>
      </c>
      <c r="BU6" s="11" t="s">
        <v>33</v>
      </c>
      <c r="BV6" s="11" t="s">
        <v>34</v>
      </c>
      <c r="BW6" s="11" t="s">
        <v>35</v>
      </c>
      <c r="BX6" s="11" t="s">
        <v>36</v>
      </c>
      <c r="BY6" s="11" t="s">
        <v>37</v>
      </c>
      <c r="BZ6" s="11" t="s">
        <v>38</v>
      </c>
      <c r="CA6" s="11" t="s">
        <v>39</v>
      </c>
      <c r="CB6" s="11" t="s">
        <v>40</v>
      </c>
      <c r="CC6" s="11" t="s">
        <v>41</v>
      </c>
      <c r="CD6" s="11" t="s">
        <v>42</v>
      </c>
      <c r="CE6" s="11" t="s">
        <v>43</v>
      </c>
      <c r="CF6" s="11" t="s">
        <v>44</v>
      </c>
      <c r="CG6" s="11" t="s">
        <v>45</v>
      </c>
      <c r="CH6" s="11" t="s">
        <v>46</v>
      </c>
      <c r="CI6" s="11" t="s">
        <v>47</v>
      </c>
      <c r="CJ6" s="11" t="s">
        <v>48</v>
      </c>
      <c r="CK6" s="11" t="s">
        <v>49</v>
      </c>
      <c r="CL6" s="11" t="s">
        <v>50</v>
      </c>
      <c r="CM6" s="11" t="s">
        <v>51</v>
      </c>
      <c r="CN6" s="11" t="s">
        <v>52</v>
      </c>
      <c r="CO6" s="11" t="s">
        <v>53</v>
      </c>
      <c r="CP6" s="11" t="s">
        <v>54</v>
      </c>
      <c r="CQ6" s="11" t="s">
        <v>55</v>
      </c>
      <c r="CR6" s="11" t="s">
        <v>56</v>
      </c>
      <c r="CS6" s="11" t="s">
        <v>57</v>
      </c>
      <c r="CT6" s="11" t="s">
        <v>58</v>
      </c>
      <c r="CU6" s="11" t="s">
        <v>59</v>
      </c>
      <c r="CV6" s="11" t="s">
        <v>60</v>
      </c>
      <c r="CW6" s="11" t="s">
        <v>61</v>
      </c>
      <c r="CX6" s="11" t="s">
        <v>62</v>
      </c>
      <c r="CY6" s="11" t="s">
        <v>63</v>
      </c>
      <c r="CZ6" s="11" t="s">
        <v>64</v>
      </c>
      <c r="DA6" s="11" t="s">
        <v>65</v>
      </c>
      <c r="DB6" s="11" t="s">
        <v>66</v>
      </c>
      <c r="DC6" s="11" t="s">
        <v>67</v>
      </c>
      <c r="DD6" s="11" t="s">
        <v>68</v>
      </c>
      <c r="DE6" s="11" t="s">
        <v>69</v>
      </c>
      <c r="DF6" s="11" t="s">
        <v>70</v>
      </c>
      <c r="DG6" s="11" t="s">
        <v>71</v>
      </c>
      <c r="DH6" s="11" t="s">
        <v>72</v>
      </c>
      <c r="DI6" s="11" t="s">
        <v>73</v>
      </c>
      <c r="DJ6" s="11" t="s">
        <v>74</v>
      </c>
      <c r="DK6" s="11" t="s">
        <v>75</v>
      </c>
      <c r="DL6" s="11" t="s">
        <v>76</v>
      </c>
      <c r="DM6" s="11" t="s">
        <v>77</v>
      </c>
      <c r="DN6" s="11" t="s">
        <v>78</v>
      </c>
      <c r="DO6" s="11" t="s">
        <v>79</v>
      </c>
      <c r="DP6" s="11" t="s">
        <v>80</v>
      </c>
      <c r="DQ6" s="11" t="s">
        <v>81</v>
      </c>
      <c r="DR6" s="11" t="s">
        <v>82</v>
      </c>
      <c r="DS6" s="11" t="s">
        <v>83</v>
      </c>
      <c r="DT6" s="11" t="s">
        <v>84</v>
      </c>
      <c r="DU6" s="11" t="s">
        <v>85</v>
      </c>
      <c r="DV6" s="11" t="s">
        <v>86</v>
      </c>
    </row>
    <row r="7" spans="1:126">
      <c r="A7" t="s">
        <v>97</v>
      </c>
      <c r="B7" t="s">
        <v>97</v>
      </c>
      <c r="C7" t="s">
        <v>97</v>
      </c>
      <c r="D7" t="s">
        <v>97</v>
      </c>
      <c r="E7" t="s">
        <v>97</v>
      </c>
      <c r="F7" t="s">
        <v>97</v>
      </c>
      <c r="G7" t="s">
        <v>97</v>
      </c>
      <c r="H7" t="s">
        <v>97</v>
      </c>
      <c r="I7" t="s">
        <v>97</v>
      </c>
      <c r="J7" t="s">
        <v>97</v>
      </c>
      <c r="K7" t="s">
        <v>97</v>
      </c>
      <c r="L7" t="s">
        <v>97</v>
      </c>
      <c r="M7" t="s">
        <v>97</v>
      </c>
      <c r="N7" t="s">
        <v>97</v>
      </c>
      <c r="O7" t="s">
        <v>97</v>
      </c>
      <c r="P7" t="s">
        <v>97</v>
      </c>
      <c r="Q7" t="s">
        <v>97</v>
      </c>
      <c r="R7" t="s">
        <v>97</v>
      </c>
      <c r="S7" t="s">
        <v>97</v>
      </c>
      <c r="T7" t="s">
        <v>97</v>
      </c>
      <c r="U7" t="s">
        <v>97</v>
      </c>
      <c r="V7" t="s">
        <v>97</v>
      </c>
      <c r="W7" t="s">
        <v>97</v>
      </c>
      <c r="X7" t="s">
        <v>97</v>
      </c>
      <c r="Y7" t="s">
        <v>97</v>
      </c>
      <c r="Z7" t="s">
        <v>97</v>
      </c>
      <c r="AA7" t="s">
        <v>97</v>
      </c>
      <c r="AB7" t="s">
        <v>97</v>
      </c>
      <c r="AC7" t="s">
        <v>97</v>
      </c>
      <c r="AD7" t="s">
        <v>97</v>
      </c>
      <c r="AE7" t="s">
        <v>97</v>
      </c>
      <c r="AF7" t="s">
        <v>97</v>
      </c>
      <c r="AG7" t="s">
        <v>97</v>
      </c>
      <c r="AH7" t="s">
        <v>97</v>
      </c>
      <c r="AI7" t="s">
        <v>97</v>
      </c>
      <c r="AJ7" t="s">
        <v>97</v>
      </c>
      <c r="AK7" t="s">
        <v>97</v>
      </c>
      <c r="AL7" t="s">
        <v>97</v>
      </c>
      <c r="AM7" t="s">
        <v>97</v>
      </c>
      <c r="AN7" t="s">
        <v>97</v>
      </c>
      <c r="AO7" t="s">
        <v>97</v>
      </c>
      <c r="AP7" t="s">
        <v>97</v>
      </c>
      <c r="AQ7" t="s">
        <v>97</v>
      </c>
      <c r="AR7" t="s">
        <v>97</v>
      </c>
      <c r="AS7" t="s">
        <v>97</v>
      </c>
      <c r="AT7" t="s">
        <v>97</v>
      </c>
      <c r="AU7" t="s">
        <v>97</v>
      </c>
      <c r="AV7" t="s">
        <v>97</v>
      </c>
      <c r="AW7" t="s">
        <v>97</v>
      </c>
      <c r="AX7" t="s">
        <v>97</v>
      </c>
      <c r="AY7" t="s">
        <v>97</v>
      </c>
      <c r="AZ7" t="s">
        <v>97</v>
      </c>
      <c r="BA7" t="s">
        <v>97</v>
      </c>
      <c r="BB7" t="s">
        <v>97</v>
      </c>
      <c r="BC7" t="s">
        <v>97</v>
      </c>
      <c r="BD7" t="s">
        <v>97</v>
      </c>
      <c r="BE7" t="s">
        <v>97</v>
      </c>
      <c r="BF7" t="s">
        <v>97</v>
      </c>
      <c r="BG7" t="s">
        <v>97</v>
      </c>
      <c r="BH7" t="s">
        <v>97</v>
      </c>
      <c r="BI7" t="s">
        <v>97</v>
      </c>
      <c r="BJ7" t="s">
        <v>97</v>
      </c>
      <c r="BK7" t="s">
        <v>97</v>
      </c>
      <c r="BL7" t="s">
        <v>97</v>
      </c>
      <c r="BM7" t="s">
        <v>97</v>
      </c>
      <c r="BN7" t="s">
        <v>97</v>
      </c>
      <c r="BO7" t="s">
        <v>97</v>
      </c>
      <c r="BP7" t="s">
        <v>97</v>
      </c>
      <c r="BQ7" t="s">
        <v>97</v>
      </c>
      <c r="BR7" t="s">
        <v>97</v>
      </c>
      <c r="BS7" t="s">
        <v>97</v>
      </c>
      <c r="BT7" t="s">
        <v>97</v>
      </c>
      <c r="BU7" t="s">
        <v>97</v>
      </c>
      <c r="BV7" t="s">
        <v>97</v>
      </c>
      <c r="BW7" t="s">
        <v>97</v>
      </c>
      <c r="BX7" t="s">
        <v>97</v>
      </c>
      <c r="BY7" t="s">
        <v>97</v>
      </c>
      <c r="BZ7" t="s">
        <v>97</v>
      </c>
      <c r="CA7" t="s">
        <v>97</v>
      </c>
      <c r="CB7" t="s">
        <v>97</v>
      </c>
      <c r="CC7" t="s">
        <v>97</v>
      </c>
      <c r="CD7" t="s">
        <v>97</v>
      </c>
      <c r="CE7" t="s">
        <v>97</v>
      </c>
      <c r="CF7" t="s">
        <v>97</v>
      </c>
      <c r="CG7" t="s">
        <v>97</v>
      </c>
      <c r="CH7" t="s">
        <v>97</v>
      </c>
      <c r="CI7" t="s">
        <v>97</v>
      </c>
      <c r="CJ7" t="s">
        <v>97</v>
      </c>
      <c r="CK7" t="s">
        <v>97</v>
      </c>
      <c r="CL7" t="s">
        <v>97</v>
      </c>
      <c r="CM7" t="s">
        <v>97</v>
      </c>
      <c r="CN7" t="s">
        <v>97</v>
      </c>
      <c r="CO7" t="s">
        <v>97</v>
      </c>
      <c r="CP7" t="s">
        <v>97</v>
      </c>
      <c r="CQ7" t="s">
        <v>97</v>
      </c>
      <c r="CR7" t="s">
        <v>97</v>
      </c>
      <c r="CS7" t="s">
        <v>97</v>
      </c>
      <c r="CT7" t="s">
        <v>97</v>
      </c>
      <c r="CU7" t="s">
        <v>97</v>
      </c>
      <c r="CV7" t="s">
        <v>97</v>
      </c>
      <c r="CW7" t="s">
        <v>97</v>
      </c>
      <c r="CX7" t="s">
        <v>97</v>
      </c>
      <c r="CY7" t="s">
        <v>97</v>
      </c>
      <c r="CZ7" t="s">
        <v>97</v>
      </c>
      <c r="DA7" t="s">
        <v>97</v>
      </c>
      <c r="DB7" t="s">
        <v>97</v>
      </c>
      <c r="DC7" t="s">
        <v>97</v>
      </c>
      <c r="DD7" t="s">
        <v>97</v>
      </c>
      <c r="DE7" t="s">
        <v>97</v>
      </c>
      <c r="DF7" t="s">
        <v>97</v>
      </c>
      <c r="DG7" t="s">
        <v>97</v>
      </c>
      <c r="DH7" t="s">
        <v>97</v>
      </c>
      <c r="DI7" t="s">
        <v>97</v>
      </c>
      <c r="DJ7" t="s">
        <v>97</v>
      </c>
      <c r="DK7" t="s">
        <v>97</v>
      </c>
      <c r="DL7" t="s">
        <v>97</v>
      </c>
      <c r="DM7" t="s">
        <v>97</v>
      </c>
      <c r="DN7" t="s">
        <v>97</v>
      </c>
      <c r="DO7" t="s">
        <v>97</v>
      </c>
      <c r="DP7" t="s">
        <v>97</v>
      </c>
      <c r="DQ7" t="s">
        <v>97</v>
      </c>
      <c r="DR7" t="s">
        <v>97</v>
      </c>
      <c r="DS7" t="s">
        <v>97</v>
      </c>
      <c r="DT7" t="s">
        <v>97</v>
      </c>
      <c r="DU7" t="s">
        <v>97</v>
      </c>
      <c r="DV7" t="s">
        <v>97</v>
      </c>
    </row>
    <row r="8" spans="1:126">
      <c r="A8" t="s">
        <v>1012</v>
      </c>
      <c r="B8" s="12" t="s">
        <v>1099</v>
      </c>
      <c r="C8" s="12">
        <v>2912</v>
      </c>
      <c r="D8" s="12">
        <v>3364</v>
      </c>
      <c r="E8" s="12">
        <v>3619</v>
      </c>
      <c r="F8" s="12">
        <v>3465</v>
      </c>
      <c r="G8" s="12">
        <v>4114</v>
      </c>
      <c r="H8" s="12">
        <v>4687</v>
      </c>
      <c r="I8" s="12">
        <v>4968</v>
      </c>
      <c r="J8" s="12">
        <v>4188</v>
      </c>
      <c r="K8" s="12">
        <v>4924</v>
      </c>
      <c r="L8" s="12">
        <v>5178</v>
      </c>
      <c r="M8" s="12">
        <v>4959</v>
      </c>
      <c r="N8" s="12">
        <v>5730</v>
      </c>
      <c r="O8" s="12">
        <v>5940</v>
      </c>
      <c r="P8" s="12">
        <v>5043</v>
      </c>
      <c r="Q8" s="12">
        <v>5011</v>
      </c>
      <c r="R8" s="12">
        <v>6634</v>
      </c>
      <c r="S8" s="12">
        <v>7700</v>
      </c>
      <c r="T8" s="12">
        <v>8678</v>
      </c>
      <c r="U8" s="12">
        <v>10585</v>
      </c>
      <c r="V8" s="12">
        <v>12433</v>
      </c>
      <c r="W8" s="12">
        <v>10080</v>
      </c>
      <c r="X8" s="12">
        <v>11812</v>
      </c>
      <c r="Y8" s="12">
        <v>15531</v>
      </c>
      <c r="Z8" s="12">
        <v>14589</v>
      </c>
      <c r="AA8" s="12">
        <v>16858</v>
      </c>
      <c r="AB8" s="12">
        <v>16993</v>
      </c>
      <c r="AC8" s="12">
        <v>16231</v>
      </c>
      <c r="AD8" s="12">
        <v>15998</v>
      </c>
      <c r="AE8" s="12">
        <v>15822</v>
      </c>
      <c r="AF8" s="12">
        <v>12153</v>
      </c>
      <c r="AG8" s="12">
        <v>8226</v>
      </c>
      <c r="AH8" s="12">
        <v>4765</v>
      </c>
      <c r="AI8" s="12">
        <v>4174</v>
      </c>
      <c r="AJ8" s="12">
        <v>5308</v>
      </c>
      <c r="AK8" s="12">
        <v>6591</v>
      </c>
      <c r="AL8" s="12">
        <v>8502</v>
      </c>
      <c r="AM8" s="12">
        <v>10632</v>
      </c>
      <c r="AN8" s="12">
        <v>9023</v>
      </c>
      <c r="AO8" s="12">
        <v>10429</v>
      </c>
      <c r="AP8" s="12">
        <v>12439</v>
      </c>
      <c r="AQ8" s="12">
        <v>14966</v>
      </c>
      <c r="AR8" s="12">
        <v>10432</v>
      </c>
      <c r="AS8" s="12">
        <v>8727</v>
      </c>
      <c r="AT8" s="12">
        <v>10596</v>
      </c>
      <c r="AU8" s="12">
        <v>14336</v>
      </c>
      <c r="AV8" s="12">
        <v>26862</v>
      </c>
      <c r="AW8" s="12">
        <v>37391</v>
      </c>
      <c r="AX8" s="12">
        <v>44724</v>
      </c>
      <c r="AY8" s="12">
        <v>41957</v>
      </c>
      <c r="AZ8" s="12">
        <v>50916</v>
      </c>
      <c r="BA8" s="12">
        <v>53053</v>
      </c>
      <c r="BB8" s="12">
        <v>53956</v>
      </c>
      <c r="BC8" s="12">
        <v>58620</v>
      </c>
      <c r="BD8" s="12">
        <v>59829</v>
      </c>
      <c r="BE8" s="12">
        <v>68353</v>
      </c>
      <c r="BF8" s="12">
        <v>73428</v>
      </c>
      <c r="BG8" s="12">
        <v>75471</v>
      </c>
      <c r="BH8" s="12">
        <v>71549</v>
      </c>
      <c r="BI8" s="12">
        <v>81339</v>
      </c>
      <c r="BJ8" s="12">
        <v>82775</v>
      </c>
      <c r="BK8" s="12">
        <v>83267</v>
      </c>
      <c r="BL8" s="12">
        <v>90694</v>
      </c>
      <c r="BM8" s="12">
        <v>97330</v>
      </c>
      <c r="BN8" s="12">
        <v>107126</v>
      </c>
      <c r="BO8" s="12">
        <v>120124</v>
      </c>
      <c r="BP8" s="12">
        <v>129826</v>
      </c>
      <c r="BQ8" s="12">
        <v>132030</v>
      </c>
      <c r="BR8" s="12">
        <v>146934</v>
      </c>
      <c r="BS8" s="12">
        <v>163461</v>
      </c>
      <c r="BT8" s="12">
        <v>166401</v>
      </c>
      <c r="BU8" s="12">
        <v>186630</v>
      </c>
      <c r="BV8" s="12">
        <v>217319</v>
      </c>
      <c r="BW8" s="12">
        <v>249544</v>
      </c>
      <c r="BX8" s="12">
        <v>259180</v>
      </c>
      <c r="BY8" s="12">
        <v>262193</v>
      </c>
      <c r="BZ8" s="12">
        <v>304065</v>
      </c>
      <c r="CA8" s="12">
        <v>371522</v>
      </c>
      <c r="CB8" s="12">
        <v>448826</v>
      </c>
      <c r="CC8" s="12">
        <v>518382</v>
      </c>
      <c r="CD8" s="12">
        <v>531853</v>
      </c>
      <c r="CE8" s="12">
        <v>596071</v>
      </c>
      <c r="CF8" s="12">
        <v>588011</v>
      </c>
      <c r="CG8" s="12">
        <v>635372</v>
      </c>
      <c r="CH8" s="12">
        <v>747897</v>
      </c>
      <c r="CI8" s="12">
        <v>802428</v>
      </c>
      <c r="CJ8" s="12">
        <v>830635</v>
      </c>
      <c r="CK8" s="12">
        <v>857857</v>
      </c>
      <c r="CL8" s="12">
        <v>910616</v>
      </c>
      <c r="CM8" s="12">
        <v>961849</v>
      </c>
      <c r="CN8" s="12">
        <v>972005</v>
      </c>
      <c r="CO8" s="12">
        <v>934872</v>
      </c>
      <c r="CP8" s="12">
        <v>983196</v>
      </c>
      <c r="CQ8" s="12">
        <v>1079329</v>
      </c>
      <c r="CR8" s="12">
        <v>1184248</v>
      </c>
      <c r="CS8" s="12">
        <v>1281270</v>
      </c>
      <c r="CT8" s="12">
        <v>1399683</v>
      </c>
      <c r="CU8" s="12">
        <v>1518378</v>
      </c>
      <c r="CV8" s="12">
        <v>1664013</v>
      </c>
      <c r="CW8" s="12">
        <v>1813779</v>
      </c>
      <c r="CX8" s="12">
        <v>1964244</v>
      </c>
      <c r="CY8" s="12">
        <v>1950478</v>
      </c>
      <c r="CZ8" s="12">
        <v>1885461</v>
      </c>
      <c r="DA8" s="12">
        <v>1986153</v>
      </c>
      <c r="DB8" s="12">
        <v>2193823</v>
      </c>
      <c r="DC8" s="12">
        <v>2454381</v>
      </c>
      <c r="DD8" s="12">
        <v>2608928</v>
      </c>
      <c r="DE8" s="12">
        <v>2614336</v>
      </c>
      <c r="DF8" s="12">
        <v>2488371</v>
      </c>
      <c r="DG8" s="12">
        <v>2054282</v>
      </c>
      <c r="DH8" s="12">
        <v>2103802</v>
      </c>
      <c r="DI8" s="12">
        <v>2280068</v>
      </c>
      <c r="DJ8" s="12">
        <v>2529119</v>
      </c>
      <c r="DK8" s="12">
        <v>2714633</v>
      </c>
      <c r="DL8" s="12">
        <v>2966116</v>
      </c>
      <c r="DM8" s="12">
        <v>3107108</v>
      </c>
      <c r="DN8" s="12">
        <v>3187747</v>
      </c>
      <c r="DO8" s="12">
        <v>3383806</v>
      </c>
      <c r="DP8" s="12">
        <v>3616842</v>
      </c>
      <c r="DQ8" s="12">
        <v>3763127</v>
      </c>
      <c r="DR8" s="12">
        <v>3731264</v>
      </c>
      <c r="DS8" s="12">
        <v>4168764</v>
      </c>
      <c r="DT8" s="12">
        <v>4605988</v>
      </c>
      <c r="DU8" s="12">
        <v>4902368</v>
      </c>
      <c r="DV8" s="12">
        <v>5142683</v>
      </c>
    </row>
    <row r="9" spans="1:126">
      <c r="A9" t="s">
        <v>97</v>
      </c>
      <c r="B9" s="12" t="s">
        <v>1100</v>
      </c>
      <c r="C9" s="12" t="s">
        <v>97</v>
      </c>
      <c r="D9" s="12" t="s">
        <v>97</v>
      </c>
      <c r="E9" s="12" t="s">
        <v>97</v>
      </c>
      <c r="F9" s="12" t="s">
        <v>97</v>
      </c>
      <c r="G9" s="12" t="s">
        <v>97</v>
      </c>
      <c r="H9" s="12" t="s">
        <v>97</v>
      </c>
      <c r="I9" s="12" t="s">
        <v>97</v>
      </c>
      <c r="J9" s="12" t="s">
        <v>97</v>
      </c>
      <c r="K9" s="12" t="s">
        <v>97</v>
      </c>
      <c r="L9" s="12" t="s">
        <v>97</v>
      </c>
      <c r="M9" s="12" t="s">
        <v>97</v>
      </c>
      <c r="N9" s="12" t="s">
        <v>97</v>
      </c>
      <c r="O9" s="12" t="s">
        <v>97</v>
      </c>
      <c r="P9" s="12" t="s">
        <v>97</v>
      </c>
      <c r="Q9" s="12" t="s">
        <v>97</v>
      </c>
      <c r="R9" s="12" t="s">
        <v>97</v>
      </c>
      <c r="S9" s="12" t="s">
        <v>97</v>
      </c>
      <c r="T9" s="12" t="s">
        <v>97</v>
      </c>
      <c r="U9" s="12" t="s">
        <v>97</v>
      </c>
      <c r="V9" s="12" t="s">
        <v>97</v>
      </c>
      <c r="W9" s="12" t="s">
        <v>97</v>
      </c>
      <c r="X9" s="12" t="s">
        <v>97</v>
      </c>
      <c r="Y9" s="12" t="s">
        <v>97</v>
      </c>
      <c r="Z9" s="12" t="s">
        <v>97</v>
      </c>
      <c r="AA9" s="12" t="s">
        <v>97</v>
      </c>
      <c r="AB9" s="12" t="s">
        <v>97</v>
      </c>
      <c r="AC9" s="12" t="s">
        <v>97</v>
      </c>
      <c r="AD9" s="12" t="s">
        <v>97</v>
      </c>
      <c r="AE9" s="12" t="s">
        <v>97</v>
      </c>
      <c r="AF9" s="12" t="s">
        <v>97</v>
      </c>
      <c r="AG9" s="12" t="s">
        <v>97</v>
      </c>
      <c r="AH9" s="12" t="s">
        <v>97</v>
      </c>
      <c r="AI9" s="12" t="s">
        <v>97</v>
      </c>
      <c r="AJ9" s="12" t="s">
        <v>97</v>
      </c>
      <c r="AK9" s="12" t="s">
        <v>97</v>
      </c>
      <c r="AL9" s="12" t="s">
        <v>97</v>
      </c>
      <c r="AM9" s="12" t="s">
        <v>97</v>
      </c>
      <c r="AN9" s="12" t="s">
        <v>97</v>
      </c>
      <c r="AO9" s="12" t="s">
        <v>97</v>
      </c>
      <c r="AP9" s="12" t="s">
        <v>97</v>
      </c>
      <c r="AQ9" s="12" t="s">
        <v>97</v>
      </c>
      <c r="AR9" s="12" t="s">
        <v>97</v>
      </c>
      <c r="AS9" s="12" t="s">
        <v>97</v>
      </c>
      <c r="AT9" s="12" t="s">
        <v>97</v>
      </c>
      <c r="AU9" s="12" t="s">
        <v>97</v>
      </c>
      <c r="AV9" s="12" t="s">
        <v>97</v>
      </c>
      <c r="AW9" s="12" t="s">
        <v>97</v>
      </c>
      <c r="AX9" s="12" t="s">
        <v>97</v>
      </c>
      <c r="AY9" s="12" t="s">
        <v>97</v>
      </c>
      <c r="AZ9" s="12" t="s">
        <v>97</v>
      </c>
      <c r="BA9" s="12" t="s">
        <v>97</v>
      </c>
      <c r="BB9" s="12" t="s">
        <v>97</v>
      </c>
      <c r="BC9" s="12" t="s">
        <v>97</v>
      </c>
      <c r="BD9" s="12" t="s">
        <v>97</v>
      </c>
      <c r="BE9" s="12" t="s">
        <v>97</v>
      </c>
      <c r="BF9" s="12" t="s">
        <v>97</v>
      </c>
      <c r="BG9" s="12" t="s">
        <v>97</v>
      </c>
      <c r="BH9" s="12" t="s">
        <v>97</v>
      </c>
      <c r="BI9" s="12" t="s">
        <v>97</v>
      </c>
      <c r="BJ9" s="12" t="s">
        <v>97</v>
      </c>
      <c r="BK9" s="12" t="s">
        <v>97</v>
      </c>
      <c r="BL9" s="12" t="s">
        <v>97</v>
      </c>
      <c r="BM9" s="12" t="s">
        <v>97</v>
      </c>
      <c r="BN9" s="12" t="s">
        <v>97</v>
      </c>
      <c r="BO9" s="12" t="s">
        <v>97</v>
      </c>
      <c r="BP9" s="12" t="s">
        <v>97</v>
      </c>
      <c r="BQ9" s="12" t="s">
        <v>97</v>
      </c>
      <c r="BR9" s="12" t="s">
        <v>97</v>
      </c>
      <c r="BS9" s="12" t="s">
        <v>97</v>
      </c>
      <c r="BT9" s="12" t="s">
        <v>97</v>
      </c>
      <c r="BU9" s="12" t="s">
        <v>97</v>
      </c>
      <c r="BV9" s="12" t="s">
        <v>97</v>
      </c>
      <c r="BW9" s="12" t="s">
        <v>97</v>
      </c>
      <c r="BX9" s="12" t="s">
        <v>97</v>
      </c>
      <c r="BY9" s="12" t="s">
        <v>97</v>
      </c>
      <c r="BZ9" s="12" t="s">
        <v>97</v>
      </c>
      <c r="CA9" s="12" t="s">
        <v>97</v>
      </c>
      <c r="CB9" s="12" t="s">
        <v>97</v>
      </c>
      <c r="CC9" s="12" t="s">
        <v>97</v>
      </c>
      <c r="CD9" s="12" t="s">
        <v>97</v>
      </c>
      <c r="CE9" s="12" t="s">
        <v>97</v>
      </c>
      <c r="CF9" s="12" t="s">
        <v>97</v>
      </c>
      <c r="CG9" s="12" t="s">
        <v>97</v>
      </c>
      <c r="CH9" s="12" t="s">
        <v>97</v>
      </c>
      <c r="CI9" s="12" t="s">
        <v>97</v>
      </c>
      <c r="CJ9" s="12" t="s">
        <v>97</v>
      </c>
      <c r="CK9" s="12" t="s">
        <v>97</v>
      </c>
      <c r="CL9" s="12" t="s">
        <v>97</v>
      </c>
      <c r="CM9" s="12" t="s">
        <v>97</v>
      </c>
      <c r="CN9" s="12" t="s">
        <v>97</v>
      </c>
      <c r="CO9" s="12" t="s">
        <v>97</v>
      </c>
      <c r="CP9" s="12" t="s">
        <v>97</v>
      </c>
      <c r="CQ9" s="12" t="s">
        <v>97</v>
      </c>
      <c r="CR9" s="12" t="s">
        <v>97</v>
      </c>
      <c r="CS9" s="12" t="s">
        <v>97</v>
      </c>
      <c r="CT9" s="12" t="s">
        <v>97</v>
      </c>
      <c r="CU9" s="12" t="s">
        <v>97</v>
      </c>
      <c r="CV9" s="12" t="s">
        <v>97</v>
      </c>
      <c r="CW9" s="12" t="s">
        <v>97</v>
      </c>
      <c r="CX9" s="12" t="s">
        <v>97</v>
      </c>
      <c r="CY9" s="12" t="s">
        <v>97</v>
      </c>
      <c r="CZ9" s="12" t="s">
        <v>97</v>
      </c>
      <c r="DA9" s="12" t="s">
        <v>97</v>
      </c>
      <c r="DB9" s="12" t="s">
        <v>97</v>
      </c>
      <c r="DC9" s="12" t="s">
        <v>97</v>
      </c>
      <c r="DD9" s="12" t="s">
        <v>97</v>
      </c>
      <c r="DE9" s="12" t="s">
        <v>97</v>
      </c>
      <c r="DF9" s="12" t="s">
        <v>97</v>
      </c>
      <c r="DG9" s="12" t="s">
        <v>97</v>
      </c>
      <c r="DH9" s="12" t="s">
        <v>97</v>
      </c>
      <c r="DI9" s="12" t="s">
        <v>97</v>
      </c>
      <c r="DJ9" s="12" t="s">
        <v>97</v>
      </c>
      <c r="DK9" s="12" t="s">
        <v>97</v>
      </c>
      <c r="DL9" s="12" t="s">
        <v>97</v>
      </c>
      <c r="DM9" s="12" t="s">
        <v>97</v>
      </c>
      <c r="DN9" s="12" t="s">
        <v>97</v>
      </c>
      <c r="DO9" s="12" t="s">
        <v>97</v>
      </c>
      <c r="DP9" s="12" t="s">
        <v>97</v>
      </c>
      <c r="DQ9" s="12" t="s">
        <v>97</v>
      </c>
      <c r="DR9" s="12" t="s">
        <v>97</v>
      </c>
      <c r="DS9" s="12" t="s">
        <v>97</v>
      </c>
      <c r="DT9" s="12" t="s">
        <v>97</v>
      </c>
      <c r="DU9" s="12" t="s">
        <v>97</v>
      </c>
      <c r="DV9" s="12" t="s">
        <v>97</v>
      </c>
    </row>
    <row r="10" spans="1:126">
      <c r="A10" t="s">
        <v>1015</v>
      </c>
      <c r="B10" s="12" t="s">
        <v>1101</v>
      </c>
      <c r="C10" s="12">
        <v>1662</v>
      </c>
      <c r="D10" s="12">
        <v>2023</v>
      </c>
      <c r="E10" s="12">
        <v>2270</v>
      </c>
      <c r="F10" s="12">
        <v>2054</v>
      </c>
      <c r="G10" s="12">
        <v>2215</v>
      </c>
      <c r="H10" s="12">
        <v>2647</v>
      </c>
      <c r="I10" s="12">
        <v>2946</v>
      </c>
      <c r="J10" s="12">
        <v>2226</v>
      </c>
      <c r="K10" s="12">
        <v>2592</v>
      </c>
      <c r="L10" s="12">
        <v>3076</v>
      </c>
      <c r="M10" s="12">
        <v>2836</v>
      </c>
      <c r="N10" s="12">
        <v>3240</v>
      </c>
      <c r="O10" s="12">
        <v>3489</v>
      </c>
      <c r="P10" s="12">
        <v>2720</v>
      </c>
      <c r="Q10" s="12">
        <v>2551</v>
      </c>
      <c r="R10" s="12">
        <v>3678</v>
      </c>
      <c r="S10" s="12">
        <v>4844</v>
      </c>
      <c r="T10" s="12">
        <v>5710</v>
      </c>
      <c r="U10" s="12">
        <v>6156</v>
      </c>
      <c r="V10" s="12">
        <v>7781</v>
      </c>
      <c r="W10" s="12">
        <v>5656</v>
      </c>
      <c r="X10" s="12">
        <v>5928</v>
      </c>
      <c r="Y10" s="12">
        <v>7922</v>
      </c>
      <c r="Z10" s="12">
        <v>6703</v>
      </c>
      <c r="AA10" s="12">
        <v>7515</v>
      </c>
      <c r="AB10" s="12">
        <v>7566</v>
      </c>
      <c r="AC10" s="12">
        <v>7162</v>
      </c>
      <c r="AD10" s="12">
        <v>7333</v>
      </c>
      <c r="AE10" s="12">
        <v>8158</v>
      </c>
      <c r="AF10" s="12">
        <v>6759</v>
      </c>
      <c r="AG10" s="12">
        <v>4381</v>
      </c>
      <c r="AH10" s="12">
        <v>2687</v>
      </c>
      <c r="AI10" s="12">
        <v>2487</v>
      </c>
      <c r="AJ10" s="12">
        <v>3085</v>
      </c>
      <c r="AK10" s="12">
        <v>3574</v>
      </c>
      <c r="AL10" s="12">
        <v>4598</v>
      </c>
      <c r="AM10" s="12">
        <v>5941</v>
      </c>
      <c r="AN10" s="12">
        <v>4632</v>
      </c>
      <c r="AO10" s="12">
        <v>5000</v>
      </c>
      <c r="AP10" s="12">
        <v>6205</v>
      </c>
      <c r="AQ10" s="12">
        <v>7644</v>
      </c>
      <c r="AR10" s="12">
        <v>6138</v>
      </c>
      <c r="AS10" s="12">
        <v>5324</v>
      </c>
      <c r="AT10" s="12">
        <v>6745</v>
      </c>
      <c r="AU10" s="12">
        <v>9152</v>
      </c>
      <c r="AV10" s="12">
        <v>13368</v>
      </c>
      <c r="AW10" s="12">
        <v>17308</v>
      </c>
      <c r="AX10" s="12">
        <v>19456</v>
      </c>
      <c r="AY10" s="12">
        <v>17762</v>
      </c>
      <c r="AZ10" s="12">
        <v>19541</v>
      </c>
      <c r="BA10" s="12">
        <v>23560</v>
      </c>
      <c r="BB10" s="12">
        <v>25179</v>
      </c>
      <c r="BC10" s="12">
        <v>27907</v>
      </c>
      <c r="BD10" s="12">
        <v>27377</v>
      </c>
      <c r="BE10" s="12">
        <v>30232</v>
      </c>
      <c r="BF10" s="12">
        <v>36751</v>
      </c>
      <c r="BG10" s="12">
        <v>39716</v>
      </c>
      <c r="BH10" s="12">
        <v>35312</v>
      </c>
      <c r="BI10" s="12">
        <v>38340</v>
      </c>
      <c r="BJ10" s="12">
        <v>41698</v>
      </c>
      <c r="BK10" s="12">
        <v>41863</v>
      </c>
      <c r="BL10" s="12">
        <v>45401</v>
      </c>
      <c r="BM10" s="12">
        <v>48072</v>
      </c>
      <c r="BN10" s="12">
        <v>54222</v>
      </c>
      <c r="BO10" s="12">
        <v>64408</v>
      </c>
      <c r="BP10" s="12">
        <v>74352</v>
      </c>
      <c r="BQ10" s="12">
        <v>76530</v>
      </c>
      <c r="BR10" s="12">
        <v>83905</v>
      </c>
      <c r="BS10" s="12">
        <v>93218</v>
      </c>
      <c r="BT10" s="12">
        <v>95643</v>
      </c>
      <c r="BU10" s="12">
        <v>99378</v>
      </c>
      <c r="BV10" s="12">
        <v>112722</v>
      </c>
      <c r="BW10" s="12">
        <v>132952</v>
      </c>
      <c r="BX10" s="12">
        <v>151149</v>
      </c>
      <c r="BY10" s="12">
        <v>154861</v>
      </c>
      <c r="BZ10" s="12">
        <v>172987</v>
      </c>
      <c r="CA10" s="12">
        <v>205344</v>
      </c>
      <c r="CB10" s="12">
        <v>249098</v>
      </c>
      <c r="CC10" s="12">
        <v>295657</v>
      </c>
      <c r="CD10" s="12">
        <v>324889</v>
      </c>
      <c r="CE10" s="12">
        <v>372344</v>
      </c>
      <c r="CF10" s="12">
        <v>380674</v>
      </c>
      <c r="CG10" s="12">
        <v>383070</v>
      </c>
      <c r="CH10" s="12">
        <v>451779</v>
      </c>
      <c r="CI10" s="12">
        <v>486853</v>
      </c>
      <c r="CJ10" s="12">
        <v>481761</v>
      </c>
      <c r="CK10" s="12">
        <v>484819</v>
      </c>
      <c r="CL10" s="12">
        <v>518364</v>
      </c>
      <c r="CM10" s="12">
        <v>565175</v>
      </c>
      <c r="CN10" s="12">
        <v>602591</v>
      </c>
      <c r="CO10" s="12">
        <v>590570</v>
      </c>
      <c r="CP10" s="12">
        <v>608234</v>
      </c>
      <c r="CQ10" s="12">
        <v>660680</v>
      </c>
      <c r="CR10" s="12">
        <v>720597</v>
      </c>
      <c r="CS10" s="12">
        <v>808110</v>
      </c>
      <c r="CT10" s="12">
        <v>883000</v>
      </c>
      <c r="CU10" s="12">
        <v>963381</v>
      </c>
      <c r="CV10" s="12">
        <v>1040534</v>
      </c>
      <c r="CW10" s="12">
        <v>1129231</v>
      </c>
      <c r="CX10" s="12">
        <v>1231396</v>
      </c>
      <c r="CY10" s="12">
        <v>1187409</v>
      </c>
      <c r="CZ10" s="12">
        <v>1070121</v>
      </c>
      <c r="DA10" s="12">
        <v>1086552</v>
      </c>
      <c r="DB10" s="12">
        <v>1163895</v>
      </c>
      <c r="DC10" s="12">
        <v>1295107</v>
      </c>
      <c r="DD10" s="12">
        <v>1432255</v>
      </c>
      <c r="DE10" s="12">
        <v>1547563</v>
      </c>
      <c r="DF10" s="12">
        <v>1575381</v>
      </c>
      <c r="DG10" s="12">
        <v>1313817</v>
      </c>
      <c r="DH10" s="12">
        <v>1386906</v>
      </c>
      <c r="DI10" s="12">
        <v>1541669</v>
      </c>
      <c r="DJ10" s="12">
        <v>1702357</v>
      </c>
      <c r="DK10" s="12">
        <v>1752317</v>
      </c>
      <c r="DL10" s="12">
        <v>1937696</v>
      </c>
      <c r="DM10" s="12">
        <v>1971670</v>
      </c>
      <c r="DN10" s="12">
        <v>2003456</v>
      </c>
      <c r="DO10" s="12">
        <v>2101896</v>
      </c>
      <c r="DP10" s="12">
        <v>2278745</v>
      </c>
      <c r="DQ10" s="12">
        <v>2349717</v>
      </c>
      <c r="DR10" s="12">
        <v>2249910</v>
      </c>
      <c r="DS10" s="12">
        <v>2463629</v>
      </c>
      <c r="DT10" s="12">
        <v>2769959</v>
      </c>
      <c r="DU10" s="12">
        <v>3057004</v>
      </c>
      <c r="DV10" s="12">
        <v>3196161</v>
      </c>
    </row>
    <row r="11" spans="1:126">
      <c r="A11" t="s">
        <v>1017</v>
      </c>
      <c r="B11" t="s">
        <v>1102</v>
      </c>
      <c r="C11">
        <v>27</v>
      </c>
      <c r="D11">
        <v>36</v>
      </c>
      <c r="E11">
        <v>39</v>
      </c>
      <c r="F11">
        <v>27</v>
      </c>
      <c r="G11">
        <v>44</v>
      </c>
      <c r="H11">
        <v>60</v>
      </c>
      <c r="I11">
        <v>66</v>
      </c>
      <c r="J11">
        <v>47</v>
      </c>
      <c r="K11">
        <v>50</v>
      </c>
      <c r="L11">
        <v>64</v>
      </c>
      <c r="M11">
        <v>49</v>
      </c>
      <c r="N11">
        <v>73</v>
      </c>
      <c r="O11">
        <v>87</v>
      </c>
      <c r="P11">
        <v>70</v>
      </c>
      <c r="Q11">
        <v>75</v>
      </c>
      <c r="R11">
        <v>98</v>
      </c>
      <c r="S11">
        <v>135</v>
      </c>
      <c r="T11">
        <v>182</v>
      </c>
      <c r="U11">
        <v>317</v>
      </c>
      <c r="V11">
        <v>422</v>
      </c>
      <c r="W11">
        <v>319</v>
      </c>
      <c r="X11">
        <v>300</v>
      </c>
      <c r="Y11">
        <v>387</v>
      </c>
      <c r="Z11">
        <v>264</v>
      </c>
      <c r="AA11">
        <v>375</v>
      </c>
      <c r="AB11">
        <v>304</v>
      </c>
      <c r="AC11">
        <v>320</v>
      </c>
      <c r="AD11">
        <v>325</v>
      </c>
      <c r="AE11">
        <v>389</v>
      </c>
      <c r="AF11">
        <v>313</v>
      </c>
      <c r="AG11">
        <v>206</v>
      </c>
      <c r="AH11">
        <v>135</v>
      </c>
      <c r="AI11">
        <v>107</v>
      </c>
      <c r="AJ11">
        <v>129</v>
      </c>
      <c r="AK11">
        <v>146</v>
      </c>
      <c r="AL11">
        <v>176</v>
      </c>
      <c r="AM11">
        <v>218</v>
      </c>
      <c r="AN11">
        <v>164</v>
      </c>
      <c r="AO11">
        <v>176</v>
      </c>
      <c r="AP11">
        <v>226</v>
      </c>
      <c r="AQ11">
        <v>305</v>
      </c>
      <c r="AR11">
        <v>154</v>
      </c>
      <c r="AS11">
        <v>108</v>
      </c>
      <c r="AT11">
        <v>99</v>
      </c>
      <c r="AU11">
        <v>130</v>
      </c>
      <c r="AV11">
        <v>404</v>
      </c>
      <c r="AW11">
        <v>476</v>
      </c>
      <c r="AX11">
        <v>541</v>
      </c>
      <c r="AY11">
        <v>557</v>
      </c>
      <c r="AZ11">
        <v>614</v>
      </c>
      <c r="BA11">
        <v>770</v>
      </c>
      <c r="BB11">
        <v>744</v>
      </c>
      <c r="BC11">
        <v>976</v>
      </c>
      <c r="BD11">
        <v>1000</v>
      </c>
      <c r="BE11">
        <v>1276</v>
      </c>
      <c r="BF11">
        <v>1409</v>
      </c>
      <c r="BG11">
        <v>1411</v>
      </c>
      <c r="BH11">
        <v>1358</v>
      </c>
      <c r="BI11">
        <v>1481</v>
      </c>
      <c r="BJ11">
        <v>1651</v>
      </c>
      <c r="BK11">
        <v>1662</v>
      </c>
      <c r="BL11">
        <v>1890</v>
      </c>
      <c r="BM11">
        <v>1871</v>
      </c>
      <c r="BN11">
        <v>2465</v>
      </c>
      <c r="BO11">
        <v>2841</v>
      </c>
      <c r="BP11">
        <v>2976</v>
      </c>
      <c r="BQ11">
        <v>3320</v>
      </c>
      <c r="BR11">
        <v>4346</v>
      </c>
      <c r="BS11">
        <v>4647</v>
      </c>
      <c r="BT11">
        <v>4725</v>
      </c>
      <c r="BU11">
        <v>5596</v>
      </c>
      <c r="BV11">
        <v>5905</v>
      </c>
      <c r="BW11">
        <v>7985</v>
      </c>
      <c r="BX11">
        <v>10415</v>
      </c>
      <c r="BY11">
        <v>11559</v>
      </c>
      <c r="BZ11">
        <v>12735</v>
      </c>
      <c r="CA11">
        <v>14138</v>
      </c>
      <c r="CB11">
        <v>18414</v>
      </c>
      <c r="CC11">
        <v>23185</v>
      </c>
      <c r="CD11">
        <v>28220</v>
      </c>
      <c r="CE11">
        <v>33206</v>
      </c>
      <c r="CF11">
        <v>36847</v>
      </c>
      <c r="CG11">
        <v>40945</v>
      </c>
      <c r="CH11">
        <v>50771</v>
      </c>
      <c r="CI11">
        <v>58784</v>
      </c>
      <c r="CJ11">
        <v>64641</v>
      </c>
      <c r="CK11">
        <v>67295</v>
      </c>
      <c r="CL11">
        <v>74454</v>
      </c>
      <c r="CM11">
        <v>84183</v>
      </c>
      <c r="CN11">
        <v>82506</v>
      </c>
      <c r="CO11">
        <v>75658</v>
      </c>
      <c r="CP11">
        <v>75898</v>
      </c>
      <c r="CQ11">
        <v>82360</v>
      </c>
      <c r="CR11">
        <v>90075</v>
      </c>
      <c r="CS11">
        <v>91472</v>
      </c>
      <c r="CT11">
        <v>101993</v>
      </c>
      <c r="CU11">
        <v>107475</v>
      </c>
      <c r="CV11">
        <v>128992</v>
      </c>
      <c r="CW11">
        <v>141943</v>
      </c>
      <c r="CX11">
        <v>144149</v>
      </c>
      <c r="CY11">
        <v>138913</v>
      </c>
      <c r="CZ11">
        <v>134940</v>
      </c>
      <c r="DA11">
        <v>133222</v>
      </c>
      <c r="DB11">
        <v>146389</v>
      </c>
      <c r="DC11">
        <v>151486</v>
      </c>
      <c r="DD11">
        <v>160450</v>
      </c>
      <c r="DE11">
        <v>175994</v>
      </c>
      <c r="DF11">
        <v>160375</v>
      </c>
      <c r="DG11">
        <v>131255</v>
      </c>
      <c r="DH11">
        <v>137760</v>
      </c>
      <c r="DI11">
        <v>152113</v>
      </c>
      <c r="DJ11">
        <v>172464</v>
      </c>
      <c r="DK11">
        <v>179662</v>
      </c>
      <c r="DL11">
        <v>193193</v>
      </c>
      <c r="DM11">
        <v>211067</v>
      </c>
      <c r="DN11">
        <v>228154</v>
      </c>
      <c r="DO11">
        <v>233278</v>
      </c>
      <c r="DP11">
        <v>250069</v>
      </c>
      <c r="DQ11">
        <v>280334</v>
      </c>
      <c r="DR11">
        <v>261208</v>
      </c>
      <c r="DS11">
        <v>277668</v>
      </c>
      <c r="DT11">
        <v>278261</v>
      </c>
      <c r="DU11">
        <v>314436</v>
      </c>
      <c r="DV11">
        <v>344971</v>
      </c>
    </row>
    <row r="12" spans="1:126">
      <c r="A12" t="s">
        <v>1019</v>
      </c>
      <c r="B12" t="s">
        <v>1103</v>
      </c>
      <c r="C12">
        <v>1635</v>
      </c>
      <c r="D12">
        <v>1987</v>
      </c>
      <c r="E12">
        <v>2231</v>
      </c>
      <c r="F12">
        <v>2028</v>
      </c>
      <c r="G12">
        <v>2171</v>
      </c>
      <c r="H12">
        <v>2587</v>
      </c>
      <c r="I12">
        <v>2880</v>
      </c>
      <c r="J12">
        <v>2179</v>
      </c>
      <c r="K12">
        <v>2542</v>
      </c>
      <c r="L12">
        <v>3012</v>
      </c>
      <c r="M12">
        <v>2787</v>
      </c>
      <c r="N12">
        <v>3167</v>
      </c>
      <c r="O12">
        <v>3402</v>
      </c>
      <c r="P12">
        <v>2651</v>
      </c>
      <c r="Q12">
        <v>2476</v>
      </c>
      <c r="R12">
        <v>3581</v>
      </c>
      <c r="S12">
        <v>4709</v>
      </c>
      <c r="T12">
        <v>5528</v>
      </c>
      <c r="U12">
        <v>5839</v>
      </c>
      <c r="V12">
        <v>7359</v>
      </c>
      <c r="W12">
        <v>5337</v>
      </c>
      <c r="X12">
        <v>5628</v>
      </c>
      <c r="Y12">
        <v>7535</v>
      </c>
      <c r="Z12">
        <v>6439</v>
      </c>
      <c r="AA12">
        <v>7140</v>
      </c>
      <c r="AB12">
        <v>7262</v>
      </c>
      <c r="AC12">
        <v>6842</v>
      </c>
      <c r="AD12">
        <v>7007</v>
      </c>
      <c r="AE12">
        <v>7769</v>
      </c>
      <c r="AF12">
        <v>6446</v>
      </c>
      <c r="AG12">
        <v>4175</v>
      </c>
      <c r="AH12">
        <v>2552</v>
      </c>
      <c r="AI12">
        <v>2380</v>
      </c>
      <c r="AJ12">
        <v>2956</v>
      </c>
      <c r="AK12">
        <v>3428</v>
      </c>
      <c r="AL12">
        <v>4422</v>
      </c>
      <c r="AM12">
        <v>5723</v>
      </c>
      <c r="AN12">
        <v>4467</v>
      </c>
      <c r="AO12">
        <v>4824</v>
      </c>
      <c r="AP12">
        <v>5979</v>
      </c>
      <c r="AQ12">
        <v>7339</v>
      </c>
      <c r="AR12">
        <v>5984</v>
      </c>
      <c r="AS12">
        <v>5216</v>
      </c>
      <c r="AT12">
        <v>6646</v>
      </c>
      <c r="AU12">
        <v>9022</v>
      </c>
      <c r="AV12">
        <v>12964</v>
      </c>
      <c r="AW12">
        <v>16831</v>
      </c>
      <c r="AX12">
        <v>18915</v>
      </c>
      <c r="AY12">
        <v>17205</v>
      </c>
      <c r="AZ12">
        <v>18927</v>
      </c>
      <c r="BA12">
        <v>22791</v>
      </c>
      <c r="BB12">
        <v>24435</v>
      </c>
      <c r="BC12">
        <v>26931</v>
      </c>
      <c r="BD12">
        <v>26377</v>
      </c>
      <c r="BE12">
        <v>28956</v>
      </c>
      <c r="BF12">
        <v>35341</v>
      </c>
      <c r="BG12">
        <v>38305</v>
      </c>
      <c r="BH12">
        <v>33954</v>
      </c>
      <c r="BI12">
        <v>36860</v>
      </c>
      <c r="BJ12">
        <v>40047</v>
      </c>
      <c r="BK12">
        <v>40201</v>
      </c>
      <c r="BL12">
        <v>43511</v>
      </c>
      <c r="BM12">
        <v>46201</v>
      </c>
      <c r="BN12">
        <v>51757</v>
      </c>
      <c r="BO12">
        <v>61567</v>
      </c>
      <c r="BP12">
        <v>71377</v>
      </c>
      <c r="BQ12">
        <v>73210</v>
      </c>
      <c r="BR12">
        <v>79559</v>
      </c>
      <c r="BS12">
        <v>88572</v>
      </c>
      <c r="BT12">
        <v>90918</v>
      </c>
      <c r="BU12">
        <v>93782</v>
      </c>
      <c r="BV12">
        <v>106816</v>
      </c>
      <c r="BW12">
        <v>124968</v>
      </c>
      <c r="BX12">
        <v>140734</v>
      </c>
      <c r="BY12">
        <v>143302</v>
      </c>
      <c r="BZ12">
        <v>160253</v>
      </c>
      <c r="CA12">
        <v>191207</v>
      </c>
      <c r="CB12">
        <v>230684</v>
      </c>
      <c r="CC12">
        <v>272473</v>
      </c>
      <c r="CD12">
        <v>296668</v>
      </c>
      <c r="CE12">
        <v>339138</v>
      </c>
      <c r="CF12">
        <v>343827</v>
      </c>
      <c r="CG12">
        <v>342125</v>
      </c>
      <c r="CH12">
        <v>401008</v>
      </c>
      <c r="CI12">
        <v>428068</v>
      </c>
      <c r="CJ12">
        <v>417120</v>
      </c>
      <c r="CK12">
        <v>417524</v>
      </c>
      <c r="CL12">
        <v>443910</v>
      </c>
      <c r="CM12">
        <v>480992</v>
      </c>
      <c r="CN12">
        <v>520085</v>
      </c>
      <c r="CO12">
        <v>514912</v>
      </c>
      <c r="CP12">
        <v>532336</v>
      </c>
      <c r="CQ12">
        <v>578320</v>
      </c>
      <c r="CR12">
        <v>630521</v>
      </c>
      <c r="CS12">
        <v>716637</v>
      </c>
      <c r="CT12">
        <v>781007</v>
      </c>
      <c r="CU12">
        <v>855906</v>
      </c>
      <c r="CV12">
        <v>911542</v>
      </c>
      <c r="CW12">
        <v>987288</v>
      </c>
      <c r="CX12">
        <v>1087247</v>
      </c>
      <c r="CY12">
        <v>1048496</v>
      </c>
      <c r="CZ12">
        <v>935180</v>
      </c>
      <c r="DA12">
        <v>953330</v>
      </c>
      <c r="DB12">
        <v>1017506</v>
      </c>
      <c r="DC12">
        <v>1143620</v>
      </c>
      <c r="DD12">
        <v>1271805</v>
      </c>
      <c r="DE12">
        <v>1371569</v>
      </c>
      <c r="DF12">
        <v>1415006</v>
      </c>
      <c r="DG12">
        <v>1182561</v>
      </c>
      <c r="DH12">
        <v>1249146</v>
      </c>
      <c r="DI12">
        <v>1389556</v>
      </c>
      <c r="DJ12">
        <v>1529893</v>
      </c>
      <c r="DK12">
        <v>1572655</v>
      </c>
      <c r="DL12">
        <v>1744503</v>
      </c>
      <c r="DM12">
        <v>1760602</v>
      </c>
      <c r="DN12">
        <v>1775302</v>
      </c>
      <c r="DO12">
        <v>1868618</v>
      </c>
      <c r="DP12">
        <v>2028676</v>
      </c>
      <c r="DQ12">
        <v>2069383</v>
      </c>
      <c r="DR12">
        <v>1988702</v>
      </c>
      <c r="DS12">
        <v>2185960</v>
      </c>
      <c r="DT12">
        <v>2491698</v>
      </c>
      <c r="DU12">
        <v>2742568</v>
      </c>
      <c r="DV12">
        <v>2851190</v>
      </c>
    </row>
    <row r="13" spans="1:126">
      <c r="A13" t="s">
        <v>1021</v>
      </c>
      <c r="B13" s="12" t="s">
        <v>1104</v>
      </c>
      <c r="C13" s="12">
        <v>1250</v>
      </c>
      <c r="D13" s="12">
        <v>1341</v>
      </c>
      <c r="E13" s="12">
        <v>1349</v>
      </c>
      <c r="F13" s="12">
        <v>1411</v>
      </c>
      <c r="G13" s="12">
        <v>1899</v>
      </c>
      <c r="H13" s="12">
        <v>2039</v>
      </c>
      <c r="I13" s="12">
        <v>2023</v>
      </c>
      <c r="J13" s="12">
        <v>1962</v>
      </c>
      <c r="K13" s="12">
        <v>2332</v>
      </c>
      <c r="L13" s="12">
        <v>2102</v>
      </c>
      <c r="M13" s="12">
        <v>2123</v>
      </c>
      <c r="N13" s="12">
        <v>2490</v>
      </c>
      <c r="O13" s="12">
        <v>2451</v>
      </c>
      <c r="P13" s="12">
        <v>2322</v>
      </c>
      <c r="Q13" s="12">
        <v>2460</v>
      </c>
      <c r="R13" s="12">
        <v>2955</v>
      </c>
      <c r="S13" s="12">
        <v>2856</v>
      </c>
      <c r="T13" s="12">
        <v>2969</v>
      </c>
      <c r="U13" s="12">
        <v>4429</v>
      </c>
      <c r="V13" s="12">
        <v>4652</v>
      </c>
      <c r="W13" s="12">
        <v>4424</v>
      </c>
      <c r="X13" s="12">
        <v>5884</v>
      </c>
      <c r="Y13" s="12">
        <v>7609</v>
      </c>
      <c r="Z13" s="12">
        <v>7886</v>
      </c>
      <c r="AA13" s="12">
        <v>9344</v>
      </c>
      <c r="AB13" s="12">
        <v>9428</v>
      </c>
      <c r="AC13" s="12">
        <v>9069</v>
      </c>
      <c r="AD13" s="12">
        <v>8665</v>
      </c>
      <c r="AE13" s="12">
        <v>7664</v>
      </c>
      <c r="AF13" s="12">
        <v>5394</v>
      </c>
      <c r="AG13" s="12">
        <v>3845</v>
      </c>
      <c r="AH13" s="12">
        <v>2078</v>
      </c>
      <c r="AI13" s="12">
        <v>1686</v>
      </c>
      <c r="AJ13" s="12">
        <v>2224</v>
      </c>
      <c r="AK13" s="12">
        <v>3017</v>
      </c>
      <c r="AL13" s="12">
        <v>3904</v>
      </c>
      <c r="AM13" s="12">
        <v>4690</v>
      </c>
      <c r="AN13" s="12">
        <v>4391</v>
      </c>
      <c r="AO13" s="12">
        <v>5428</v>
      </c>
      <c r="AP13" s="12">
        <v>6234</v>
      </c>
      <c r="AQ13" s="12">
        <v>7322</v>
      </c>
      <c r="AR13" s="12">
        <v>4295</v>
      </c>
      <c r="AS13" s="12">
        <v>3403</v>
      </c>
      <c r="AT13" s="12">
        <v>3851</v>
      </c>
      <c r="AU13" s="12">
        <v>5184</v>
      </c>
      <c r="AV13" s="12">
        <v>13494</v>
      </c>
      <c r="AW13" s="12">
        <v>20083</v>
      </c>
      <c r="AX13" s="12">
        <v>25269</v>
      </c>
      <c r="AY13" s="12">
        <v>24196</v>
      </c>
      <c r="AZ13" s="12">
        <v>31375</v>
      </c>
      <c r="BA13" s="12">
        <v>29493</v>
      </c>
      <c r="BB13" s="12">
        <v>28777</v>
      </c>
      <c r="BC13" s="12">
        <v>30713</v>
      </c>
      <c r="BD13" s="12">
        <v>32452</v>
      </c>
      <c r="BE13" s="12">
        <v>38121</v>
      </c>
      <c r="BF13" s="12">
        <v>36677</v>
      </c>
      <c r="BG13" s="12">
        <v>35755</v>
      </c>
      <c r="BH13" s="12">
        <v>36236</v>
      </c>
      <c r="BI13" s="12">
        <v>42998</v>
      </c>
      <c r="BJ13" s="12">
        <v>41076</v>
      </c>
      <c r="BK13" s="12">
        <v>41404</v>
      </c>
      <c r="BL13" s="12">
        <v>45293</v>
      </c>
      <c r="BM13" s="12">
        <v>49258</v>
      </c>
      <c r="BN13" s="12">
        <v>52904</v>
      </c>
      <c r="BO13" s="12">
        <v>55716</v>
      </c>
      <c r="BP13" s="12">
        <v>55474</v>
      </c>
      <c r="BQ13" s="12">
        <v>55501</v>
      </c>
      <c r="BR13" s="12">
        <v>63029</v>
      </c>
      <c r="BS13" s="12">
        <v>70243</v>
      </c>
      <c r="BT13" s="12">
        <v>70758</v>
      </c>
      <c r="BU13" s="12">
        <v>87252</v>
      </c>
      <c r="BV13" s="12">
        <v>104598</v>
      </c>
      <c r="BW13" s="12">
        <v>116592</v>
      </c>
      <c r="BX13" s="12">
        <v>108032</v>
      </c>
      <c r="BY13" s="12">
        <v>107332</v>
      </c>
      <c r="BZ13" s="12">
        <v>131077</v>
      </c>
      <c r="CA13" s="12">
        <v>166177</v>
      </c>
      <c r="CB13" s="12">
        <v>199728</v>
      </c>
      <c r="CC13" s="12">
        <v>222724</v>
      </c>
      <c r="CD13" s="12">
        <v>206964</v>
      </c>
      <c r="CE13" s="12">
        <v>223727</v>
      </c>
      <c r="CF13" s="12">
        <v>207337</v>
      </c>
      <c r="CG13" s="12">
        <v>252302</v>
      </c>
      <c r="CH13" s="12">
        <v>296118</v>
      </c>
      <c r="CI13" s="12">
        <v>315575</v>
      </c>
      <c r="CJ13" s="12">
        <v>348874</v>
      </c>
      <c r="CK13" s="12">
        <v>373039</v>
      </c>
      <c r="CL13" s="12">
        <v>392252</v>
      </c>
      <c r="CM13" s="12">
        <v>396675</v>
      </c>
      <c r="CN13" s="12">
        <v>369415</v>
      </c>
      <c r="CO13" s="12">
        <v>344302</v>
      </c>
      <c r="CP13" s="12">
        <v>374962</v>
      </c>
      <c r="CQ13" s="12">
        <v>418649</v>
      </c>
      <c r="CR13" s="12">
        <v>463652</v>
      </c>
      <c r="CS13" s="12">
        <v>473161</v>
      </c>
      <c r="CT13" s="12">
        <v>516683</v>
      </c>
      <c r="CU13" s="12">
        <v>554997</v>
      </c>
      <c r="CV13" s="12">
        <v>623479</v>
      </c>
      <c r="CW13" s="12">
        <v>684549</v>
      </c>
      <c r="CX13" s="12">
        <v>732848</v>
      </c>
      <c r="CY13" s="12">
        <v>763070</v>
      </c>
      <c r="CZ13" s="12">
        <v>815340</v>
      </c>
      <c r="DA13" s="12">
        <v>899601</v>
      </c>
      <c r="DB13" s="12">
        <v>1029928</v>
      </c>
      <c r="DC13" s="12">
        <v>1159274</v>
      </c>
      <c r="DD13" s="12">
        <v>1176673</v>
      </c>
      <c r="DE13" s="12">
        <v>1066773</v>
      </c>
      <c r="DF13" s="12">
        <v>912990</v>
      </c>
      <c r="DG13" s="12">
        <v>740465</v>
      </c>
      <c r="DH13" s="12">
        <v>716896</v>
      </c>
      <c r="DI13" s="12">
        <v>738399</v>
      </c>
      <c r="DJ13" s="12">
        <v>826762</v>
      </c>
      <c r="DK13" s="12">
        <v>962317</v>
      </c>
      <c r="DL13" s="12">
        <v>1028420</v>
      </c>
      <c r="DM13" s="12">
        <v>1135438</v>
      </c>
      <c r="DN13" s="12">
        <v>1184291</v>
      </c>
      <c r="DO13" s="12">
        <v>1281911</v>
      </c>
      <c r="DP13" s="12">
        <v>1338097</v>
      </c>
      <c r="DQ13" s="12">
        <v>1413410</v>
      </c>
      <c r="DR13" s="12">
        <v>1481354</v>
      </c>
      <c r="DS13" s="12">
        <v>1705135</v>
      </c>
      <c r="DT13" s="12">
        <v>1836029</v>
      </c>
      <c r="DU13" s="12">
        <v>1845365</v>
      </c>
      <c r="DV13" s="12">
        <v>1946521</v>
      </c>
    </row>
    <row r="14" spans="1:126">
      <c r="A14" t="s">
        <v>1023</v>
      </c>
      <c r="B14" t="s">
        <v>1105</v>
      </c>
      <c r="C14">
        <v>316</v>
      </c>
      <c r="D14">
        <v>364</v>
      </c>
      <c r="E14">
        <v>353</v>
      </c>
      <c r="F14">
        <v>361</v>
      </c>
      <c r="G14">
        <v>433</v>
      </c>
      <c r="H14">
        <v>477</v>
      </c>
      <c r="I14">
        <v>534</v>
      </c>
      <c r="J14">
        <v>501</v>
      </c>
      <c r="K14">
        <v>601</v>
      </c>
      <c r="L14">
        <v>590</v>
      </c>
      <c r="M14">
        <v>612</v>
      </c>
      <c r="N14">
        <v>741</v>
      </c>
      <c r="O14">
        <v>755</v>
      </c>
      <c r="P14">
        <v>727</v>
      </c>
      <c r="Q14">
        <v>790</v>
      </c>
      <c r="R14">
        <v>1002</v>
      </c>
      <c r="S14">
        <v>1174</v>
      </c>
      <c r="T14">
        <v>1500</v>
      </c>
      <c r="U14">
        <v>1889</v>
      </c>
      <c r="V14">
        <v>2020</v>
      </c>
      <c r="W14">
        <v>1502</v>
      </c>
      <c r="X14">
        <v>1790</v>
      </c>
      <c r="Y14">
        <v>2405</v>
      </c>
      <c r="Z14">
        <v>2233</v>
      </c>
      <c r="AA14">
        <v>3068</v>
      </c>
      <c r="AB14">
        <v>3119</v>
      </c>
      <c r="AC14">
        <v>3143</v>
      </c>
      <c r="AD14">
        <v>3014</v>
      </c>
      <c r="AE14">
        <v>2782</v>
      </c>
      <c r="AF14">
        <v>1904</v>
      </c>
      <c r="AG14">
        <v>1294</v>
      </c>
      <c r="AH14">
        <v>741</v>
      </c>
      <c r="AI14">
        <v>637</v>
      </c>
      <c r="AJ14">
        <v>798</v>
      </c>
      <c r="AK14">
        <v>1082</v>
      </c>
      <c r="AL14">
        <v>1418</v>
      </c>
      <c r="AM14">
        <v>1706</v>
      </c>
      <c r="AN14">
        <v>1442</v>
      </c>
      <c r="AO14">
        <v>1645</v>
      </c>
      <c r="AP14">
        <v>1807</v>
      </c>
      <c r="AQ14">
        <v>2125</v>
      </c>
      <c r="AR14">
        <v>1332</v>
      </c>
      <c r="AS14">
        <v>1209</v>
      </c>
      <c r="AT14">
        <v>1523</v>
      </c>
      <c r="AU14">
        <v>1967</v>
      </c>
      <c r="AV14">
        <v>3504</v>
      </c>
      <c r="AW14">
        <v>5222</v>
      </c>
      <c r="AX14">
        <v>6334</v>
      </c>
      <c r="AY14">
        <v>6228</v>
      </c>
      <c r="AZ14">
        <v>6944</v>
      </c>
      <c r="BA14">
        <v>6555</v>
      </c>
      <c r="BB14">
        <v>6103</v>
      </c>
      <c r="BC14">
        <v>6621</v>
      </c>
      <c r="BD14">
        <v>6450</v>
      </c>
      <c r="BE14">
        <v>7494</v>
      </c>
      <c r="BF14">
        <v>7234</v>
      </c>
      <c r="BG14">
        <v>7553</v>
      </c>
      <c r="BH14">
        <v>8405</v>
      </c>
      <c r="BI14">
        <v>7980</v>
      </c>
      <c r="BJ14">
        <v>7625</v>
      </c>
      <c r="BK14">
        <v>7799</v>
      </c>
      <c r="BL14">
        <v>8752</v>
      </c>
      <c r="BM14">
        <v>9591</v>
      </c>
      <c r="BN14">
        <v>10282</v>
      </c>
      <c r="BO14">
        <v>11213</v>
      </c>
      <c r="BP14">
        <v>11707</v>
      </c>
      <c r="BQ14">
        <v>11519</v>
      </c>
      <c r="BR14">
        <v>15961</v>
      </c>
      <c r="BS14">
        <v>18874</v>
      </c>
      <c r="BT14">
        <v>19722</v>
      </c>
      <c r="BU14">
        <v>22590</v>
      </c>
      <c r="BV14">
        <v>26484</v>
      </c>
      <c r="BW14">
        <v>31097</v>
      </c>
      <c r="BX14">
        <v>28590</v>
      </c>
      <c r="BY14">
        <v>25048</v>
      </c>
      <c r="BZ14">
        <v>27415</v>
      </c>
      <c r="CA14">
        <v>32852</v>
      </c>
      <c r="CB14">
        <v>42053</v>
      </c>
      <c r="CC14">
        <v>50348</v>
      </c>
      <c r="CD14">
        <v>48695</v>
      </c>
      <c r="CE14">
        <v>55791</v>
      </c>
      <c r="CF14">
        <v>50885</v>
      </c>
      <c r="CG14">
        <v>53438</v>
      </c>
      <c r="CH14">
        <v>60372</v>
      </c>
      <c r="CI14">
        <v>63438</v>
      </c>
      <c r="CJ14">
        <v>66531</v>
      </c>
      <c r="CK14">
        <v>66854</v>
      </c>
      <c r="CL14">
        <v>68771</v>
      </c>
      <c r="CM14">
        <v>70061</v>
      </c>
      <c r="CN14">
        <v>62986</v>
      </c>
      <c r="CO14">
        <v>57104</v>
      </c>
      <c r="CP14">
        <v>56721</v>
      </c>
      <c r="CQ14">
        <v>65396</v>
      </c>
      <c r="CR14">
        <v>72974</v>
      </c>
      <c r="CS14">
        <v>80905</v>
      </c>
      <c r="CT14">
        <v>83964</v>
      </c>
      <c r="CU14">
        <v>90678</v>
      </c>
      <c r="CV14">
        <v>93027</v>
      </c>
      <c r="CW14">
        <v>96931</v>
      </c>
      <c r="CX14">
        <v>98145</v>
      </c>
      <c r="CY14">
        <v>94827</v>
      </c>
      <c r="CZ14">
        <v>94720</v>
      </c>
      <c r="DA14">
        <v>99273</v>
      </c>
      <c r="DB14">
        <v>106995</v>
      </c>
      <c r="DC14">
        <v>116302</v>
      </c>
      <c r="DD14">
        <v>119573</v>
      </c>
      <c r="DE14">
        <v>118078</v>
      </c>
      <c r="DF14">
        <v>112592</v>
      </c>
      <c r="DG14">
        <v>90474</v>
      </c>
      <c r="DH14">
        <v>82089</v>
      </c>
      <c r="DI14">
        <v>85899</v>
      </c>
      <c r="DJ14">
        <v>98158</v>
      </c>
      <c r="DK14">
        <v>100365</v>
      </c>
      <c r="DL14">
        <v>118914</v>
      </c>
      <c r="DM14">
        <v>131407</v>
      </c>
      <c r="DN14">
        <v>126884</v>
      </c>
      <c r="DO14">
        <v>146464</v>
      </c>
      <c r="DP14">
        <v>150978</v>
      </c>
      <c r="DQ14">
        <v>161549</v>
      </c>
      <c r="DR14">
        <v>169603</v>
      </c>
      <c r="DS14">
        <v>182772</v>
      </c>
      <c r="DT14">
        <v>207146</v>
      </c>
      <c r="DU14">
        <v>218680</v>
      </c>
      <c r="DV14">
        <v>222016</v>
      </c>
    </row>
    <row r="15" spans="1:126">
      <c r="A15" t="s">
        <v>1025</v>
      </c>
      <c r="B15" t="s">
        <v>1106</v>
      </c>
      <c r="C15">
        <v>122</v>
      </c>
      <c r="D15">
        <v>156</v>
      </c>
      <c r="E15">
        <v>150</v>
      </c>
      <c r="F15">
        <v>140</v>
      </c>
      <c r="G15">
        <v>140</v>
      </c>
      <c r="H15">
        <v>173</v>
      </c>
      <c r="I15">
        <v>217</v>
      </c>
      <c r="J15">
        <v>193</v>
      </c>
      <c r="K15">
        <v>231</v>
      </c>
      <c r="L15">
        <v>233</v>
      </c>
      <c r="M15">
        <v>249</v>
      </c>
      <c r="N15">
        <v>319</v>
      </c>
      <c r="O15">
        <v>323</v>
      </c>
      <c r="P15">
        <v>286</v>
      </c>
      <c r="Q15">
        <v>299</v>
      </c>
      <c r="R15">
        <v>407</v>
      </c>
      <c r="S15">
        <v>515</v>
      </c>
      <c r="T15">
        <v>670</v>
      </c>
      <c r="U15">
        <v>796</v>
      </c>
      <c r="V15">
        <v>938</v>
      </c>
      <c r="W15">
        <v>675</v>
      </c>
      <c r="X15">
        <v>716</v>
      </c>
      <c r="Y15">
        <v>913</v>
      </c>
      <c r="Z15">
        <v>766</v>
      </c>
      <c r="AA15">
        <v>1041</v>
      </c>
      <c r="AB15">
        <v>1064</v>
      </c>
      <c r="AC15">
        <v>1055</v>
      </c>
      <c r="AD15">
        <v>1053</v>
      </c>
      <c r="AE15">
        <v>1091</v>
      </c>
      <c r="AF15">
        <v>868</v>
      </c>
      <c r="AG15">
        <v>564</v>
      </c>
      <c r="AH15">
        <v>360</v>
      </c>
      <c r="AI15">
        <v>316</v>
      </c>
      <c r="AJ15">
        <v>390</v>
      </c>
      <c r="AK15">
        <v>499</v>
      </c>
      <c r="AL15">
        <v>634</v>
      </c>
      <c r="AM15">
        <v>774</v>
      </c>
      <c r="AN15">
        <v>646</v>
      </c>
      <c r="AO15">
        <v>693</v>
      </c>
      <c r="AP15">
        <v>796</v>
      </c>
      <c r="AQ15">
        <v>956</v>
      </c>
      <c r="AR15">
        <v>609</v>
      </c>
      <c r="AS15">
        <v>587</v>
      </c>
      <c r="AT15">
        <v>739</v>
      </c>
      <c r="AU15">
        <v>1064</v>
      </c>
      <c r="AV15">
        <v>1651</v>
      </c>
      <c r="AW15">
        <v>2317</v>
      </c>
      <c r="AX15">
        <v>2675</v>
      </c>
      <c r="AY15">
        <v>2557</v>
      </c>
      <c r="AZ15">
        <v>2938</v>
      </c>
      <c r="BA15">
        <v>2972</v>
      </c>
      <c r="BB15">
        <v>2669</v>
      </c>
      <c r="BC15">
        <v>3096</v>
      </c>
      <c r="BD15">
        <v>3031</v>
      </c>
      <c r="BE15">
        <v>3667</v>
      </c>
      <c r="BF15">
        <v>3611</v>
      </c>
      <c r="BG15">
        <v>3642</v>
      </c>
      <c r="BH15">
        <v>3561</v>
      </c>
      <c r="BI15">
        <v>4100</v>
      </c>
      <c r="BJ15">
        <v>3949</v>
      </c>
      <c r="BK15">
        <v>4049</v>
      </c>
      <c r="BL15">
        <v>4396</v>
      </c>
      <c r="BM15">
        <v>4696</v>
      </c>
      <c r="BN15">
        <v>5259</v>
      </c>
      <c r="BO15">
        <v>6050</v>
      </c>
      <c r="BP15">
        <v>6553</v>
      </c>
      <c r="BQ15">
        <v>6332</v>
      </c>
      <c r="BR15">
        <v>6429</v>
      </c>
      <c r="BS15">
        <v>7514</v>
      </c>
      <c r="BT15">
        <v>7926</v>
      </c>
      <c r="BU15">
        <v>8455</v>
      </c>
      <c r="BV15">
        <v>8975</v>
      </c>
      <c r="BW15">
        <v>10876</v>
      </c>
      <c r="BX15">
        <v>10277</v>
      </c>
      <c r="BY15">
        <v>10724</v>
      </c>
      <c r="BZ15">
        <v>11554</v>
      </c>
      <c r="CA15">
        <v>13161</v>
      </c>
      <c r="CB15">
        <v>17152</v>
      </c>
      <c r="CC15">
        <v>23157</v>
      </c>
      <c r="CD15">
        <v>25365</v>
      </c>
      <c r="CE15">
        <v>33863</v>
      </c>
      <c r="CF15">
        <v>35116</v>
      </c>
      <c r="CG15">
        <v>31055</v>
      </c>
      <c r="CH15">
        <v>38689</v>
      </c>
      <c r="CI15">
        <v>45244</v>
      </c>
      <c r="CJ15">
        <v>43482</v>
      </c>
      <c r="CK15">
        <v>46397</v>
      </c>
      <c r="CL15">
        <v>52498</v>
      </c>
      <c r="CM15">
        <v>52629</v>
      </c>
      <c r="CN15">
        <v>42974</v>
      </c>
      <c r="CO15">
        <v>38241</v>
      </c>
      <c r="CP15">
        <v>34298</v>
      </c>
      <c r="CQ15">
        <v>40490</v>
      </c>
      <c r="CR15">
        <v>43283</v>
      </c>
      <c r="CS15">
        <v>47687</v>
      </c>
      <c r="CT15">
        <v>51367</v>
      </c>
      <c r="CU15">
        <v>56457</v>
      </c>
      <c r="CV15">
        <v>68291</v>
      </c>
      <c r="CW15">
        <v>81366</v>
      </c>
      <c r="CX15">
        <v>95885</v>
      </c>
      <c r="CY15">
        <v>99179</v>
      </c>
      <c r="CZ15">
        <v>101420</v>
      </c>
      <c r="DA15">
        <v>102235</v>
      </c>
      <c r="DB15">
        <v>113148</v>
      </c>
      <c r="DC15">
        <v>129352</v>
      </c>
      <c r="DD15">
        <v>149423</v>
      </c>
      <c r="DE15">
        <v>170258</v>
      </c>
      <c r="DF15">
        <v>174557</v>
      </c>
      <c r="DG15">
        <v>141241</v>
      </c>
      <c r="DH15">
        <v>139412</v>
      </c>
      <c r="DI15">
        <v>145854</v>
      </c>
      <c r="DJ15">
        <v>161551</v>
      </c>
      <c r="DK15">
        <v>201686</v>
      </c>
      <c r="DL15">
        <v>196911</v>
      </c>
      <c r="DM15">
        <v>207050</v>
      </c>
      <c r="DN15">
        <v>186394</v>
      </c>
      <c r="DO15">
        <v>208297</v>
      </c>
      <c r="DP15">
        <v>205890</v>
      </c>
      <c r="DQ15">
        <v>239097</v>
      </c>
      <c r="DR15">
        <v>221332</v>
      </c>
      <c r="DS15">
        <v>229097</v>
      </c>
      <c r="DT15">
        <v>293096</v>
      </c>
      <c r="DU15">
        <v>327856</v>
      </c>
      <c r="DV15">
        <v>339925</v>
      </c>
    </row>
    <row r="16" spans="1:126">
      <c r="A16" t="s">
        <v>1027</v>
      </c>
      <c r="B16" t="s">
        <v>1107</v>
      </c>
      <c r="C16">
        <v>85</v>
      </c>
      <c r="D16">
        <v>121</v>
      </c>
      <c r="E16">
        <v>115</v>
      </c>
      <c r="F16">
        <v>95</v>
      </c>
      <c r="G16">
        <v>98</v>
      </c>
      <c r="H16">
        <v>129</v>
      </c>
      <c r="I16">
        <v>132</v>
      </c>
      <c r="J16">
        <v>126</v>
      </c>
      <c r="K16">
        <v>146</v>
      </c>
      <c r="L16">
        <v>144</v>
      </c>
      <c r="M16">
        <v>157</v>
      </c>
      <c r="N16">
        <v>215</v>
      </c>
      <c r="O16">
        <v>166</v>
      </c>
      <c r="P16">
        <v>146</v>
      </c>
      <c r="Q16">
        <v>131</v>
      </c>
      <c r="R16">
        <v>181</v>
      </c>
      <c r="S16">
        <v>164</v>
      </c>
      <c r="T16">
        <v>123</v>
      </c>
      <c r="U16">
        <v>191</v>
      </c>
      <c r="V16">
        <v>304</v>
      </c>
      <c r="W16">
        <v>355</v>
      </c>
      <c r="X16">
        <v>506</v>
      </c>
      <c r="Y16">
        <v>589</v>
      </c>
      <c r="Z16">
        <v>657</v>
      </c>
      <c r="AA16">
        <v>814</v>
      </c>
      <c r="AB16">
        <v>915</v>
      </c>
      <c r="AC16">
        <v>906</v>
      </c>
      <c r="AD16">
        <v>843</v>
      </c>
      <c r="AE16">
        <v>786</v>
      </c>
      <c r="AF16">
        <v>682</v>
      </c>
      <c r="AG16">
        <v>472</v>
      </c>
      <c r="AH16">
        <v>248</v>
      </c>
      <c r="AI16">
        <v>141</v>
      </c>
      <c r="AJ16">
        <v>156</v>
      </c>
      <c r="AK16">
        <v>185</v>
      </c>
      <c r="AL16">
        <v>258</v>
      </c>
      <c r="AM16">
        <v>324</v>
      </c>
      <c r="AN16">
        <v>340</v>
      </c>
      <c r="AO16">
        <v>371</v>
      </c>
      <c r="AP16">
        <v>399</v>
      </c>
      <c r="AQ16">
        <v>437</v>
      </c>
      <c r="AR16">
        <v>217</v>
      </c>
      <c r="AS16">
        <v>177</v>
      </c>
      <c r="AT16">
        <v>165</v>
      </c>
      <c r="AU16">
        <v>345</v>
      </c>
      <c r="AV16">
        <v>716</v>
      </c>
      <c r="AW16">
        <v>897</v>
      </c>
      <c r="AX16">
        <v>1315</v>
      </c>
      <c r="AY16">
        <v>1533</v>
      </c>
      <c r="AZ16">
        <v>1911</v>
      </c>
      <c r="BA16">
        <v>2065</v>
      </c>
      <c r="BB16">
        <v>1980</v>
      </c>
      <c r="BC16">
        <v>2190</v>
      </c>
      <c r="BD16">
        <v>2516</v>
      </c>
      <c r="BE16">
        <v>2715</v>
      </c>
      <c r="BF16">
        <v>3057</v>
      </c>
      <c r="BG16">
        <v>3395</v>
      </c>
      <c r="BH16">
        <v>3747</v>
      </c>
      <c r="BI16">
        <v>3929</v>
      </c>
      <c r="BJ16">
        <v>4150</v>
      </c>
      <c r="BK16">
        <v>4579</v>
      </c>
      <c r="BL16">
        <v>5322</v>
      </c>
      <c r="BM16">
        <v>5370</v>
      </c>
      <c r="BN16">
        <v>5964</v>
      </c>
      <c r="BO16">
        <v>6736</v>
      </c>
      <c r="BP16">
        <v>6970</v>
      </c>
      <c r="BQ16">
        <v>6869</v>
      </c>
      <c r="BR16">
        <v>7422</v>
      </c>
      <c r="BS16">
        <v>8462</v>
      </c>
      <c r="BT16">
        <v>8768</v>
      </c>
      <c r="BU16">
        <v>9733</v>
      </c>
      <c r="BV16">
        <v>11751</v>
      </c>
      <c r="BW16">
        <v>12388</v>
      </c>
      <c r="BX16">
        <v>12126</v>
      </c>
      <c r="BY16">
        <v>11615</v>
      </c>
      <c r="BZ16">
        <v>12624</v>
      </c>
      <c r="CA16">
        <v>14577</v>
      </c>
      <c r="CB16">
        <v>16344</v>
      </c>
      <c r="CC16">
        <v>17918</v>
      </c>
      <c r="CD16">
        <v>19015</v>
      </c>
      <c r="CE16">
        <v>20906</v>
      </c>
      <c r="CF16">
        <v>23958</v>
      </c>
      <c r="CG16">
        <v>26966</v>
      </c>
      <c r="CH16">
        <v>29265</v>
      </c>
      <c r="CI16">
        <v>30241</v>
      </c>
      <c r="CJ16">
        <v>33237</v>
      </c>
      <c r="CK16">
        <v>37800</v>
      </c>
      <c r="CL16">
        <v>40412</v>
      </c>
      <c r="CM16">
        <v>44232</v>
      </c>
      <c r="CN16">
        <v>47204</v>
      </c>
      <c r="CO16">
        <v>46583</v>
      </c>
      <c r="CP16">
        <v>48491</v>
      </c>
      <c r="CQ16">
        <v>47502</v>
      </c>
      <c r="CR16">
        <v>48272</v>
      </c>
      <c r="CS16">
        <v>50803</v>
      </c>
      <c r="CT16">
        <v>53781</v>
      </c>
      <c r="CU16">
        <v>66538</v>
      </c>
      <c r="CV16">
        <v>78208</v>
      </c>
      <c r="CW16">
        <v>83934</v>
      </c>
      <c r="CX16">
        <v>93142</v>
      </c>
      <c r="CY16">
        <v>97382</v>
      </c>
      <c r="CZ16">
        <v>105695</v>
      </c>
      <c r="DA16">
        <v>111697</v>
      </c>
      <c r="DB16">
        <v>116508</v>
      </c>
      <c r="DC16">
        <v>119987</v>
      </c>
      <c r="DD16">
        <v>131607</v>
      </c>
      <c r="DE16">
        <v>143593</v>
      </c>
      <c r="DF16">
        <v>158218</v>
      </c>
      <c r="DG16">
        <v>154068</v>
      </c>
      <c r="DH16">
        <v>146889</v>
      </c>
      <c r="DI16">
        <v>158644</v>
      </c>
      <c r="DJ16">
        <v>172440</v>
      </c>
      <c r="DK16">
        <v>194531</v>
      </c>
      <c r="DL16">
        <v>200506</v>
      </c>
      <c r="DM16">
        <v>216925</v>
      </c>
      <c r="DN16">
        <v>232196</v>
      </c>
      <c r="DO16">
        <v>231100</v>
      </c>
      <c r="DP16">
        <v>251577</v>
      </c>
      <c r="DQ16">
        <v>267861</v>
      </c>
      <c r="DR16">
        <v>263438</v>
      </c>
      <c r="DS16">
        <v>265830</v>
      </c>
      <c r="DT16">
        <v>274797</v>
      </c>
      <c r="DU16">
        <v>302904</v>
      </c>
      <c r="DV16">
        <v>318335</v>
      </c>
    </row>
    <row r="17" spans="1:126">
      <c r="A17" t="s">
        <v>1029</v>
      </c>
      <c r="B17" t="s">
        <v>1108</v>
      </c>
      <c r="C17">
        <v>727</v>
      </c>
      <c r="D17">
        <v>700</v>
      </c>
      <c r="E17">
        <v>730</v>
      </c>
      <c r="F17">
        <v>814</v>
      </c>
      <c r="G17">
        <v>1228</v>
      </c>
      <c r="H17">
        <v>1260</v>
      </c>
      <c r="I17">
        <v>1141</v>
      </c>
      <c r="J17">
        <v>1142</v>
      </c>
      <c r="K17">
        <v>1353</v>
      </c>
      <c r="L17">
        <v>1135</v>
      </c>
      <c r="M17">
        <v>1104</v>
      </c>
      <c r="N17">
        <v>1215</v>
      </c>
      <c r="O17">
        <v>1207</v>
      </c>
      <c r="P17">
        <v>1163</v>
      </c>
      <c r="Q17">
        <v>1239</v>
      </c>
      <c r="R17">
        <v>1365</v>
      </c>
      <c r="S17">
        <v>1002</v>
      </c>
      <c r="T17">
        <v>675</v>
      </c>
      <c r="U17">
        <v>1553</v>
      </c>
      <c r="V17">
        <v>1391</v>
      </c>
      <c r="W17">
        <v>1892</v>
      </c>
      <c r="X17">
        <v>2873</v>
      </c>
      <c r="Y17">
        <v>3702</v>
      </c>
      <c r="Z17">
        <v>4229</v>
      </c>
      <c r="AA17">
        <v>4420</v>
      </c>
      <c r="AB17">
        <v>4329</v>
      </c>
      <c r="AC17">
        <v>3965</v>
      </c>
      <c r="AD17">
        <v>3755</v>
      </c>
      <c r="AE17">
        <v>3005</v>
      </c>
      <c r="AF17">
        <v>1940</v>
      </c>
      <c r="AG17">
        <v>1513</v>
      </c>
      <c r="AH17">
        <v>728</v>
      </c>
      <c r="AI17">
        <v>592</v>
      </c>
      <c r="AJ17">
        <v>879</v>
      </c>
      <c r="AK17">
        <v>1189</v>
      </c>
      <c r="AL17">
        <v>1514</v>
      </c>
      <c r="AM17">
        <v>1783</v>
      </c>
      <c r="AN17">
        <v>1865</v>
      </c>
      <c r="AO17">
        <v>2610</v>
      </c>
      <c r="AP17">
        <v>3105</v>
      </c>
      <c r="AQ17">
        <v>3667</v>
      </c>
      <c r="AR17">
        <v>2052</v>
      </c>
      <c r="AS17">
        <v>1367</v>
      </c>
      <c r="AT17">
        <v>1338</v>
      </c>
      <c r="AU17">
        <v>1672</v>
      </c>
      <c r="AV17">
        <v>7402</v>
      </c>
      <c r="AW17">
        <v>11296</v>
      </c>
      <c r="AX17">
        <v>14540</v>
      </c>
      <c r="AY17">
        <v>13536</v>
      </c>
      <c r="AZ17">
        <v>19214</v>
      </c>
      <c r="BA17">
        <v>17512</v>
      </c>
      <c r="BB17">
        <v>17661</v>
      </c>
      <c r="BC17">
        <v>18390</v>
      </c>
      <c r="BD17">
        <v>20056</v>
      </c>
      <c r="BE17">
        <v>23826</v>
      </c>
      <c r="BF17">
        <v>22355</v>
      </c>
      <c r="BG17">
        <v>20756</v>
      </c>
      <c r="BH17">
        <v>20129</v>
      </c>
      <c r="BI17">
        <v>26575</v>
      </c>
      <c r="BJ17">
        <v>24869</v>
      </c>
      <c r="BK17">
        <v>24509</v>
      </c>
      <c r="BL17">
        <v>26332</v>
      </c>
      <c r="BM17">
        <v>29097</v>
      </c>
      <c r="BN17">
        <v>30926</v>
      </c>
      <c r="BO17">
        <v>31189</v>
      </c>
      <c r="BP17">
        <v>29658</v>
      </c>
      <c r="BQ17">
        <v>30160</v>
      </c>
      <c r="BR17">
        <v>32552</v>
      </c>
      <c r="BS17">
        <v>34696</v>
      </c>
      <c r="BT17">
        <v>33560</v>
      </c>
      <c r="BU17">
        <v>45666</v>
      </c>
      <c r="BV17">
        <v>56521</v>
      </c>
      <c r="BW17">
        <v>61274</v>
      </c>
      <c r="BX17">
        <v>55957</v>
      </c>
      <c r="BY17">
        <v>58427</v>
      </c>
      <c r="BZ17">
        <v>77802</v>
      </c>
      <c r="CA17">
        <v>103477</v>
      </c>
      <c r="CB17">
        <v>122765</v>
      </c>
      <c r="CC17">
        <v>128951</v>
      </c>
      <c r="CD17">
        <v>112163</v>
      </c>
      <c r="CE17">
        <v>111113</v>
      </c>
      <c r="CF17">
        <v>96085</v>
      </c>
      <c r="CG17">
        <v>139889</v>
      </c>
      <c r="CH17">
        <v>166768</v>
      </c>
      <c r="CI17">
        <v>173567</v>
      </c>
      <c r="CJ17">
        <v>203220</v>
      </c>
      <c r="CK17">
        <v>220276</v>
      </c>
      <c r="CL17">
        <v>228831</v>
      </c>
      <c r="CM17">
        <v>228038</v>
      </c>
      <c r="CN17">
        <v>213878</v>
      </c>
      <c r="CO17">
        <v>200125</v>
      </c>
      <c r="CP17">
        <v>233072</v>
      </c>
      <c r="CQ17">
        <v>262531</v>
      </c>
      <c r="CR17">
        <v>296585</v>
      </c>
      <c r="CS17">
        <v>290857</v>
      </c>
      <c r="CT17">
        <v>324349</v>
      </c>
      <c r="CU17">
        <v>337972</v>
      </c>
      <c r="CV17">
        <v>380299</v>
      </c>
      <c r="CW17">
        <v>418065</v>
      </c>
      <c r="CX17">
        <v>439687</v>
      </c>
      <c r="CY17">
        <v>464852</v>
      </c>
      <c r="CZ17">
        <v>507557</v>
      </c>
      <c r="DA17">
        <v>580408</v>
      </c>
      <c r="DB17">
        <v>687901</v>
      </c>
      <c r="DC17">
        <v>787691</v>
      </c>
      <c r="DD17">
        <v>768992</v>
      </c>
      <c r="DE17">
        <v>625688</v>
      </c>
      <c r="DF17">
        <v>459038</v>
      </c>
      <c r="DG17">
        <v>346442</v>
      </c>
      <c r="DH17">
        <v>341264</v>
      </c>
      <c r="DI17">
        <v>341296</v>
      </c>
      <c r="DJ17">
        <v>388316</v>
      </c>
      <c r="DK17">
        <v>458210</v>
      </c>
      <c r="DL17">
        <v>503023</v>
      </c>
      <c r="DM17">
        <v>568990</v>
      </c>
      <c r="DN17">
        <v>628370</v>
      </c>
      <c r="DO17">
        <v>687083</v>
      </c>
      <c r="DP17">
        <v>722087</v>
      </c>
      <c r="DQ17">
        <v>732927</v>
      </c>
      <c r="DR17">
        <v>817969</v>
      </c>
      <c r="DS17">
        <v>1011104</v>
      </c>
      <c r="DT17">
        <v>1049569</v>
      </c>
      <c r="DU17">
        <v>983406</v>
      </c>
      <c r="DV17">
        <v>1053350</v>
      </c>
    </row>
    <row r="18" spans="1:126">
      <c r="A18" t="s">
        <v>1031</v>
      </c>
      <c r="B18" t="s">
        <v>1109</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63</v>
      </c>
      <c r="AL18">
        <v>80</v>
      </c>
      <c r="AM18">
        <v>103</v>
      </c>
      <c r="AN18">
        <v>98</v>
      </c>
      <c r="AO18">
        <v>109</v>
      </c>
      <c r="AP18">
        <v>127</v>
      </c>
      <c r="AQ18">
        <v>136</v>
      </c>
      <c r="AR18">
        <v>85</v>
      </c>
      <c r="AS18">
        <v>63</v>
      </c>
      <c r="AT18">
        <v>87</v>
      </c>
      <c r="AU18">
        <v>136</v>
      </c>
      <c r="AV18">
        <v>222</v>
      </c>
      <c r="AW18">
        <v>351</v>
      </c>
      <c r="AX18">
        <v>405</v>
      </c>
      <c r="AY18">
        <v>342</v>
      </c>
      <c r="AZ18">
        <v>368</v>
      </c>
      <c r="BA18">
        <v>389</v>
      </c>
      <c r="BB18">
        <v>364</v>
      </c>
      <c r="BC18">
        <v>415</v>
      </c>
      <c r="BD18">
        <v>399</v>
      </c>
      <c r="BE18">
        <v>418</v>
      </c>
      <c r="BF18">
        <v>419</v>
      </c>
      <c r="BG18">
        <v>409</v>
      </c>
      <c r="BH18">
        <v>394</v>
      </c>
      <c r="BI18">
        <v>414</v>
      </c>
      <c r="BJ18">
        <v>484</v>
      </c>
      <c r="BK18">
        <v>467</v>
      </c>
      <c r="BL18">
        <v>491</v>
      </c>
      <c r="BM18">
        <v>504</v>
      </c>
      <c r="BN18">
        <v>474</v>
      </c>
      <c r="BO18">
        <v>528</v>
      </c>
      <c r="BP18">
        <v>586</v>
      </c>
      <c r="BQ18">
        <v>620</v>
      </c>
      <c r="BR18">
        <v>665</v>
      </c>
      <c r="BS18">
        <v>697</v>
      </c>
      <c r="BT18">
        <v>781</v>
      </c>
      <c r="BU18">
        <v>807</v>
      </c>
      <c r="BV18">
        <v>866</v>
      </c>
      <c r="BW18">
        <v>957</v>
      </c>
      <c r="BX18">
        <v>1081</v>
      </c>
      <c r="BY18">
        <v>1518</v>
      </c>
      <c r="BZ18">
        <v>1682</v>
      </c>
      <c r="CA18">
        <v>2111</v>
      </c>
      <c r="CB18">
        <v>1414</v>
      </c>
      <c r="CC18">
        <v>2350</v>
      </c>
      <c r="CD18">
        <v>1727</v>
      </c>
      <c r="CE18">
        <v>2053</v>
      </c>
      <c r="CF18">
        <v>1293</v>
      </c>
      <c r="CG18">
        <v>954</v>
      </c>
      <c r="CH18">
        <v>1024</v>
      </c>
      <c r="CI18">
        <v>3085</v>
      </c>
      <c r="CJ18">
        <v>2403</v>
      </c>
      <c r="CK18">
        <v>1710</v>
      </c>
      <c r="CL18">
        <v>1740</v>
      </c>
      <c r="CM18">
        <v>1714</v>
      </c>
      <c r="CN18">
        <v>2373</v>
      </c>
      <c r="CO18">
        <v>2248</v>
      </c>
      <c r="CP18">
        <v>2379</v>
      </c>
      <c r="CQ18">
        <v>2731</v>
      </c>
      <c r="CR18">
        <v>2537</v>
      </c>
      <c r="CS18">
        <v>2909</v>
      </c>
      <c r="CT18">
        <v>3223</v>
      </c>
      <c r="CU18">
        <v>3351</v>
      </c>
      <c r="CV18">
        <v>3654</v>
      </c>
      <c r="CW18">
        <v>4254</v>
      </c>
      <c r="CX18">
        <v>5988</v>
      </c>
      <c r="CY18">
        <v>6830</v>
      </c>
      <c r="CZ18">
        <v>5949</v>
      </c>
      <c r="DA18">
        <v>5988</v>
      </c>
      <c r="DB18">
        <v>5376</v>
      </c>
      <c r="DC18">
        <v>5943</v>
      </c>
      <c r="DD18">
        <v>7078</v>
      </c>
      <c r="DE18">
        <v>9156</v>
      </c>
      <c r="DF18">
        <v>8585</v>
      </c>
      <c r="DG18">
        <v>8241</v>
      </c>
      <c r="DH18">
        <v>7242</v>
      </c>
      <c r="DI18">
        <v>6706</v>
      </c>
      <c r="DJ18">
        <v>6298</v>
      </c>
      <c r="DK18">
        <v>7525</v>
      </c>
      <c r="DL18">
        <v>9067</v>
      </c>
      <c r="DM18">
        <v>11066</v>
      </c>
      <c r="DN18">
        <v>10447</v>
      </c>
      <c r="DO18">
        <v>8966</v>
      </c>
      <c r="DP18">
        <v>7565</v>
      </c>
      <c r="DQ18">
        <v>11976</v>
      </c>
      <c r="DR18">
        <v>9012</v>
      </c>
      <c r="DS18">
        <v>16332</v>
      </c>
      <c r="DT18">
        <v>11421</v>
      </c>
      <c r="DU18">
        <v>12519</v>
      </c>
      <c r="DV18">
        <v>12895</v>
      </c>
    </row>
    <row r="19" spans="1:126">
      <c r="A19" t="s">
        <v>97</v>
      </c>
      <c r="B19" s="12" t="s">
        <v>1110</v>
      </c>
      <c r="C19" s="12" t="s">
        <v>97</v>
      </c>
      <c r="D19" s="12" t="s">
        <v>97</v>
      </c>
      <c r="E19" s="12" t="s">
        <v>97</v>
      </c>
      <c r="F19" s="12" t="s">
        <v>97</v>
      </c>
      <c r="G19" s="12" t="s">
        <v>97</v>
      </c>
      <c r="H19" s="12" t="s">
        <v>97</v>
      </c>
      <c r="I19" s="12" t="s">
        <v>97</v>
      </c>
      <c r="J19" s="12" t="s">
        <v>97</v>
      </c>
      <c r="K19" s="12" t="s">
        <v>97</v>
      </c>
      <c r="L19" s="12" t="s">
        <v>97</v>
      </c>
      <c r="M19" s="12" t="s">
        <v>97</v>
      </c>
      <c r="N19" s="12" t="s">
        <v>97</v>
      </c>
      <c r="O19" s="12" t="s">
        <v>97</v>
      </c>
      <c r="P19" s="12" t="s">
        <v>97</v>
      </c>
      <c r="Q19" s="12" t="s">
        <v>97</v>
      </c>
      <c r="R19" s="12" t="s">
        <v>97</v>
      </c>
      <c r="S19" s="12" t="s">
        <v>97</v>
      </c>
      <c r="T19" s="12" t="s">
        <v>97</v>
      </c>
      <c r="U19" s="12" t="s">
        <v>97</v>
      </c>
      <c r="V19" s="12" t="s">
        <v>97</v>
      </c>
      <c r="W19" s="12" t="s">
        <v>97</v>
      </c>
      <c r="X19" s="12" t="s">
        <v>97</v>
      </c>
      <c r="Y19" s="12" t="s">
        <v>97</v>
      </c>
      <c r="Z19" s="12" t="s">
        <v>97</v>
      </c>
      <c r="AA19" s="12" t="s">
        <v>97</v>
      </c>
      <c r="AB19" s="12" t="s">
        <v>97</v>
      </c>
      <c r="AC19" s="12" t="s">
        <v>97</v>
      </c>
      <c r="AD19" s="12" t="s">
        <v>97</v>
      </c>
      <c r="AE19" s="12" t="s">
        <v>97</v>
      </c>
      <c r="AF19" s="12" t="s">
        <v>97</v>
      </c>
      <c r="AG19" s="12" t="s">
        <v>97</v>
      </c>
      <c r="AH19" s="12" t="s">
        <v>97</v>
      </c>
      <c r="AI19" s="12" t="s">
        <v>97</v>
      </c>
      <c r="AJ19" s="12" t="s">
        <v>97</v>
      </c>
      <c r="AK19" s="12" t="s">
        <v>97</v>
      </c>
      <c r="AL19" s="12" t="s">
        <v>97</v>
      </c>
      <c r="AM19" s="12" t="s">
        <v>97</v>
      </c>
      <c r="AN19" s="12" t="s">
        <v>97</v>
      </c>
      <c r="AO19" s="12" t="s">
        <v>97</v>
      </c>
      <c r="AP19" s="12" t="s">
        <v>97</v>
      </c>
      <c r="AQ19" s="12" t="s">
        <v>97</v>
      </c>
      <c r="AR19" s="12" t="s">
        <v>97</v>
      </c>
      <c r="AS19" s="12" t="s">
        <v>97</v>
      </c>
      <c r="AT19" s="12" t="s">
        <v>97</v>
      </c>
      <c r="AU19" s="12" t="s">
        <v>97</v>
      </c>
      <c r="AV19" s="12" t="s">
        <v>97</v>
      </c>
      <c r="AW19" s="12" t="s">
        <v>97</v>
      </c>
      <c r="AX19" s="12" t="s">
        <v>97</v>
      </c>
      <c r="AY19" s="12" t="s">
        <v>97</v>
      </c>
      <c r="AZ19" s="12" t="s">
        <v>97</v>
      </c>
      <c r="BA19" s="12" t="s">
        <v>97</v>
      </c>
      <c r="BB19" s="12" t="s">
        <v>97</v>
      </c>
      <c r="BC19" s="12" t="s">
        <v>97</v>
      </c>
      <c r="BD19" s="12" t="s">
        <v>97</v>
      </c>
      <c r="BE19" s="12" t="s">
        <v>97</v>
      </c>
      <c r="BF19" s="12" t="s">
        <v>97</v>
      </c>
      <c r="BG19" s="12" t="s">
        <v>97</v>
      </c>
      <c r="BH19" s="12" t="s">
        <v>97</v>
      </c>
      <c r="BI19" s="12" t="s">
        <v>97</v>
      </c>
      <c r="BJ19" s="12" t="s">
        <v>97</v>
      </c>
      <c r="BK19" s="12" t="s">
        <v>97</v>
      </c>
      <c r="BL19" s="12" t="s">
        <v>97</v>
      </c>
      <c r="BM19" s="12" t="s">
        <v>97</v>
      </c>
      <c r="BN19" s="12" t="s">
        <v>97</v>
      </c>
      <c r="BO19" s="12" t="s">
        <v>97</v>
      </c>
      <c r="BP19" s="12" t="s">
        <v>97</v>
      </c>
      <c r="BQ19" s="12" t="s">
        <v>97</v>
      </c>
      <c r="BR19" s="12" t="s">
        <v>97</v>
      </c>
      <c r="BS19" s="12" t="s">
        <v>97</v>
      </c>
      <c r="BT19" s="12" t="s">
        <v>97</v>
      </c>
      <c r="BU19" s="12" t="s">
        <v>97</v>
      </c>
      <c r="BV19" s="12" t="s">
        <v>97</v>
      </c>
      <c r="BW19" s="12" t="s">
        <v>97</v>
      </c>
      <c r="BX19" s="12" t="s">
        <v>97</v>
      </c>
      <c r="BY19" s="12" t="s">
        <v>97</v>
      </c>
      <c r="BZ19" s="12" t="s">
        <v>97</v>
      </c>
      <c r="CA19" s="12" t="s">
        <v>97</v>
      </c>
      <c r="CB19" s="12" t="s">
        <v>97</v>
      </c>
      <c r="CC19" s="12" t="s">
        <v>97</v>
      </c>
      <c r="CD19" s="12" t="s">
        <v>97</v>
      </c>
      <c r="CE19" s="12" t="s">
        <v>97</v>
      </c>
      <c r="CF19" s="12" t="s">
        <v>97</v>
      </c>
      <c r="CG19" s="12" t="s">
        <v>97</v>
      </c>
      <c r="CH19" s="12" t="s">
        <v>97</v>
      </c>
      <c r="CI19" s="12" t="s">
        <v>97</v>
      </c>
      <c r="CJ19" s="12" t="s">
        <v>97</v>
      </c>
      <c r="CK19" s="12" t="s">
        <v>97</v>
      </c>
      <c r="CL19" s="12" t="s">
        <v>97</v>
      </c>
      <c r="CM19" s="12" t="s">
        <v>97</v>
      </c>
      <c r="CN19" s="12" t="s">
        <v>97</v>
      </c>
      <c r="CO19" s="12" t="s">
        <v>97</v>
      </c>
      <c r="CP19" s="12" t="s">
        <v>97</v>
      </c>
      <c r="CQ19" s="12" t="s">
        <v>97</v>
      </c>
      <c r="CR19" s="12" t="s">
        <v>97</v>
      </c>
      <c r="CS19" s="12" t="s">
        <v>97</v>
      </c>
      <c r="CT19" s="12" t="s">
        <v>97</v>
      </c>
      <c r="CU19" s="12" t="s">
        <v>97</v>
      </c>
      <c r="CV19" s="12" t="s">
        <v>97</v>
      </c>
      <c r="CW19" s="12" t="s">
        <v>97</v>
      </c>
      <c r="CX19" s="12" t="s">
        <v>97</v>
      </c>
      <c r="CY19" s="12" t="s">
        <v>97</v>
      </c>
      <c r="CZ19" s="12" t="s">
        <v>97</v>
      </c>
      <c r="DA19" s="12" t="s">
        <v>97</v>
      </c>
      <c r="DB19" s="12" t="s">
        <v>97</v>
      </c>
      <c r="DC19" s="12" t="s">
        <v>97</v>
      </c>
      <c r="DD19" s="12" t="s">
        <v>97</v>
      </c>
      <c r="DE19" s="12" t="s">
        <v>97</v>
      </c>
      <c r="DF19" s="12" t="s">
        <v>97</v>
      </c>
      <c r="DG19" s="12" t="s">
        <v>97</v>
      </c>
      <c r="DH19" s="12" t="s">
        <v>97</v>
      </c>
      <c r="DI19" s="12" t="s">
        <v>97</v>
      </c>
      <c r="DJ19" s="12" t="s">
        <v>97</v>
      </c>
      <c r="DK19" s="12" t="s">
        <v>97</v>
      </c>
      <c r="DL19" s="12" t="s">
        <v>97</v>
      </c>
      <c r="DM19" s="12" t="s">
        <v>97</v>
      </c>
      <c r="DN19" s="12" t="s">
        <v>97</v>
      </c>
      <c r="DO19" s="12" t="s">
        <v>97</v>
      </c>
      <c r="DP19" s="12" t="s">
        <v>97</v>
      </c>
      <c r="DQ19" s="12" t="s">
        <v>97</v>
      </c>
      <c r="DR19" s="12" t="s">
        <v>97</v>
      </c>
      <c r="DS19" s="12" t="s">
        <v>97</v>
      </c>
      <c r="DT19" s="12" t="s">
        <v>97</v>
      </c>
      <c r="DU19" s="12" t="s">
        <v>97</v>
      </c>
      <c r="DV19" s="12" t="s">
        <v>97</v>
      </c>
    </row>
    <row r="20" spans="1:126">
      <c r="A20" t="s">
        <v>1033</v>
      </c>
      <c r="B20" t="s">
        <v>1111</v>
      </c>
      <c r="C20">
        <v>185</v>
      </c>
      <c r="D20">
        <v>221</v>
      </c>
      <c r="E20">
        <v>192</v>
      </c>
      <c r="F20">
        <v>195</v>
      </c>
      <c r="G20">
        <v>195</v>
      </c>
      <c r="H20">
        <v>223</v>
      </c>
      <c r="I20">
        <v>263</v>
      </c>
      <c r="J20">
        <v>240</v>
      </c>
      <c r="K20">
        <v>267</v>
      </c>
      <c r="L20">
        <v>279</v>
      </c>
      <c r="M20">
        <v>272</v>
      </c>
      <c r="N20">
        <v>318</v>
      </c>
      <c r="O20">
        <v>332</v>
      </c>
      <c r="P20">
        <v>350</v>
      </c>
      <c r="Q20">
        <v>369</v>
      </c>
      <c r="R20">
        <v>458</v>
      </c>
      <c r="S20">
        <v>602</v>
      </c>
      <c r="T20">
        <v>814</v>
      </c>
      <c r="U20">
        <v>1025</v>
      </c>
      <c r="V20">
        <v>1012</v>
      </c>
      <c r="W20">
        <v>549</v>
      </c>
      <c r="X20">
        <v>509</v>
      </c>
      <c r="Y20">
        <v>683</v>
      </c>
      <c r="Z20">
        <v>560</v>
      </c>
      <c r="AA20">
        <v>835</v>
      </c>
      <c r="AB20">
        <v>761</v>
      </c>
      <c r="AC20">
        <v>809</v>
      </c>
      <c r="AD20">
        <v>798</v>
      </c>
      <c r="AE20">
        <v>831</v>
      </c>
      <c r="AF20">
        <v>685</v>
      </c>
      <c r="AG20">
        <v>404</v>
      </c>
      <c r="AH20">
        <v>248</v>
      </c>
      <c r="AI20">
        <v>228</v>
      </c>
      <c r="AJ20">
        <v>311</v>
      </c>
      <c r="AK20">
        <v>505</v>
      </c>
      <c r="AL20">
        <v>655</v>
      </c>
      <c r="AM20">
        <v>801</v>
      </c>
      <c r="AN20">
        <v>666</v>
      </c>
      <c r="AO20">
        <v>643</v>
      </c>
      <c r="AP20">
        <v>697</v>
      </c>
      <c r="AQ20">
        <v>957</v>
      </c>
      <c r="AR20">
        <v>741</v>
      </c>
      <c r="AS20">
        <v>613</v>
      </c>
      <c r="AT20">
        <v>973</v>
      </c>
      <c r="AU20">
        <v>1050</v>
      </c>
      <c r="AV20">
        <v>1640</v>
      </c>
      <c r="AW20">
        <v>2594</v>
      </c>
      <c r="AX20">
        <v>3220</v>
      </c>
      <c r="AY20">
        <v>3328</v>
      </c>
      <c r="AZ20">
        <v>3400</v>
      </c>
      <c r="BA20">
        <v>3418</v>
      </c>
      <c r="BB20">
        <v>3284</v>
      </c>
      <c r="BC20">
        <v>3237</v>
      </c>
      <c r="BD20">
        <v>2972</v>
      </c>
      <c r="BE20">
        <v>3090</v>
      </c>
      <c r="BF20">
        <v>2774</v>
      </c>
      <c r="BG20">
        <v>2807</v>
      </c>
      <c r="BH20">
        <v>3166</v>
      </c>
      <c r="BI20">
        <v>3715</v>
      </c>
      <c r="BJ20">
        <v>3413</v>
      </c>
      <c r="BK20">
        <v>3399</v>
      </c>
      <c r="BL20">
        <v>3782</v>
      </c>
      <c r="BM20">
        <v>4387</v>
      </c>
      <c r="BN20">
        <v>4486</v>
      </c>
      <c r="BO20">
        <v>5100</v>
      </c>
      <c r="BP20">
        <v>5577</v>
      </c>
      <c r="BQ20">
        <v>5886</v>
      </c>
      <c r="BR20">
        <v>5521</v>
      </c>
      <c r="BS20">
        <v>5860</v>
      </c>
      <c r="BT20">
        <v>6397</v>
      </c>
      <c r="BU20">
        <v>6566</v>
      </c>
      <c r="BV20">
        <v>7235</v>
      </c>
      <c r="BW20">
        <v>9814</v>
      </c>
      <c r="BX20">
        <v>11138</v>
      </c>
      <c r="BY20">
        <v>13401</v>
      </c>
      <c r="BZ20">
        <v>14167</v>
      </c>
      <c r="CA20">
        <v>15771</v>
      </c>
      <c r="CB20">
        <v>17823</v>
      </c>
      <c r="CC20">
        <v>20628</v>
      </c>
      <c r="CD20">
        <v>17750</v>
      </c>
      <c r="CE20">
        <v>17935</v>
      </c>
      <c r="CF20">
        <v>13658</v>
      </c>
      <c r="CG20">
        <v>12820</v>
      </c>
      <c r="CH20">
        <v>13667</v>
      </c>
      <c r="CI20">
        <v>10582</v>
      </c>
      <c r="CJ20">
        <v>9513</v>
      </c>
      <c r="CK20">
        <v>9622</v>
      </c>
      <c r="CL20">
        <v>12634</v>
      </c>
      <c r="CM20">
        <v>14504</v>
      </c>
      <c r="CN20">
        <v>15483</v>
      </c>
      <c r="CO20">
        <v>13826</v>
      </c>
      <c r="CP20">
        <v>12199</v>
      </c>
      <c r="CQ20">
        <v>15758</v>
      </c>
      <c r="CR20">
        <v>18491</v>
      </c>
      <c r="CS20">
        <v>20289</v>
      </c>
      <c r="CT20">
        <v>21635</v>
      </c>
      <c r="CU20">
        <v>25017</v>
      </c>
      <c r="CV20">
        <v>24805</v>
      </c>
      <c r="CW20">
        <v>20473</v>
      </c>
      <c r="CX20">
        <v>22409</v>
      </c>
      <c r="CY20">
        <v>23784</v>
      </c>
      <c r="CZ20">
        <v>26280</v>
      </c>
      <c r="DA20">
        <v>27489</v>
      </c>
      <c r="DB20">
        <v>30470</v>
      </c>
      <c r="DC20">
        <v>31498</v>
      </c>
      <c r="DD20">
        <v>29987</v>
      </c>
      <c r="DE20">
        <v>31785</v>
      </c>
      <c r="DF20">
        <v>37387</v>
      </c>
      <c r="DG20">
        <v>36679</v>
      </c>
      <c r="DH20">
        <v>37007</v>
      </c>
      <c r="DI20">
        <v>43306</v>
      </c>
      <c r="DJ20">
        <v>55063</v>
      </c>
      <c r="DK20">
        <v>63481</v>
      </c>
      <c r="DL20">
        <v>70312</v>
      </c>
      <c r="DM20">
        <v>50167</v>
      </c>
      <c r="DN20">
        <v>40790</v>
      </c>
      <c r="DO20">
        <v>44056</v>
      </c>
      <c r="DP20">
        <v>40971</v>
      </c>
      <c r="DQ20">
        <v>46423</v>
      </c>
      <c r="DR20">
        <v>47626</v>
      </c>
      <c r="DS20">
        <v>55600</v>
      </c>
      <c r="DT20">
        <v>63390</v>
      </c>
      <c r="DU20">
        <v>64411</v>
      </c>
      <c r="DV20">
        <v>67612</v>
      </c>
    </row>
    <row r="21" spans="1:126">
      <c r="A21" t="s">
        <v>1035</v>
      </c>
      <c r="B21" t="s">
        <v>1112</v>
      </c>
      <c r="C21">
        <v>372</v>
      </c>
      <c r="D21">
        <v>472</v>
      </c>
      <c r="E21">
        <v>502</v>
      </c>
      <c r="F21">
        <v>380</v>
      </c>
      <c r="G21">
        <v>462</v>
      </c>
      <c r="H21">
        <v>584</v>
      </c>
      <c r="I21">
        <v>600</v>
      </c>
      <c r="J21">
        <v>454</v>
      </c>
      <c r="K21">
        <v>575</v>
      </c>
      <c r="L21">
        <v>630</v>
      </c>
      <c r="M21">
        <v>630</v>
      </c>
      <c r="N21">
        <v>756</v>
      </c>
      <c r="O21">
        <v>752</v>
      </c>
      <c r="P21">
        <v>601</v>
      </c>
      <c r="Q21">
        <v>663</v>
      </c>
      <c r="R21">
        <v>955</v>
      </c>
      <c r="S21">
        <v>1341</v>
      </c>
      <c r="T21">
        <v>1503</v>
      </c>
      <c r="U21">
        <v>1684</v>
      </c>
      <c r="V21">
        <v>2142</v>
      </c>
      <c r="W21">
        <v>1456</v>
      </c>
      <c r="X21">
        <v>1398</v>
      </c>
      <c r="Y21">
        <v>1903</v>
      </c>
      <c r="Z21">
        <v>1381</v>
      </c>
      <c r="AA21">
        <v>1671</v>
      </c>
      <c r="AB21">
        <v>1666</v>
      </c>
      <c r="AC21">
        <v>1679</v>
      </c>
      <c r="AD21">
        <v>1919</v>
      </c>
      <c r="AE21">
        <v>2291</v>
      </c>
      <c r="AF21">
        <v>1687</v>
      </c>
      <c r="AG21">
        <v>1093</v>
      </c>
      <c r="AH21">
        <v>677</v>
      </c>
      <c r="AI21">
        <v>859</v>
      </c>
      <c r="AJ21">
        <v>1098</v>
      </c>
      <c r="AK21">
        <v>1257</v>
      </c>
      <c r="AL21">
        <v>1609</v>
      </c>
      <c r="AM21">
        <v>2160</v>
      </c>
      <c r="AN21">
        <v>1554</v>
      </c>
      <c r="AO21">
        <v>1759</v>
      </c>
      <c r="AP21">
        <v>2329</v>
      </c>
      <c r="AQ21">
        <v>3240</v>
      </c>
      <c r="AR21">
        <v>2669</v>
      </c>
      <c r="AS21">
        <v>2147</v>
      </c>
      <c r="AT21">
        <v>2774</v>
      </c>
      <c r="AU21">
        <v>3719</v>
      </c>
      <c r="AV21">
        <v>5804</v>
      </c>
      <c r="AW21">
        <v>7278</v>
      </c>
      <c r="AX21">
        <v>7123</v>
      </c>
      <c r="AY21">
        <v>5647</v>
      </c>
      <c r="AZ21">
        <v>6098</v>
      </c>
      <c r="BA21">
        <v>8718</v>
      </c>
      <c r="BB21">
        <v>9510</v>
      </c>
      <c r="BC21">
        <v>10009</v>
      </c>
      <c r="BD21">
        <v>10021</v>
      </c>
      <c r="BE21">
        <v>10549</v>
      </c>
      <c r="BF21">
        <v>14256</v>
      </c>
      <c r="BG21">
        <v>15241</v>
      </c>
      <c r="BH21">
        <v>12574</v>
      </c>
      <c r="BI21">
        <v>12671</v>
      </c>
      <c r="BJ21">
        <v>14864</v>
      </c>
      <c r="BK21">
        <v>14788</v>
      </c>
      <c r="BL21">
        <v>16042</v>
      </c>
      <c r="BM21">
        <v>17173</v>
      </c>
      <c r="BN21">
        <v>19875</v>
      </c>
      <c r="BO21">
        <v>24239</v>
      </c>
      <c r="BP21">
        <v>29299</v>
      </c>
      <c r="BQ21">
        <v>29802</v>
      </c>
      <c r="BR21">
        <v>31444</v>
      </c>
      <c r="BS21">
        <v>34519</v>
      </c>
      <c r="BT21">
        <v>35444</v>
      </c>
      <c r="BU21">
        <v>35057</v>
      </c>
      <c r="BV21">
        <v>39117</v>
      </c>
      <c r="BW21">
        <v>44188</v>
      </c>
      <c r="BX21">
        <v>55029</v>
      </c>
      <c r="BY21">
        <v>57410</v>
      </c>
      <c r="BZ21">
        <v>61817</v>
      </c>
      <c r="CA21">
        <v>70274</v>
      </c>
      <c r="CB21">
        <v>82075</v>
      </c>
      <c r="CC21">
        <v>93121</v>
      </c>
      <c r="CD21">
        <v>106158</v>
      </c>
      <c r="CE21">
        <v>121343</v>
      </c>
      <c r="CF21">
        <v>116170</v>
      </c>
      <c r="CG21">
        <v>111767</v>
      </c>
      <c r="CH21">
        <v>132898</v>
      </c>
      <c r="CI21">
        <v>146132</v>
      </c>
      <c r="CJ21">
        <v>140389</v>
      </c>
      <c r="CK21">
        <v>142623</v>
      </c>
      <c r="CL21">
        <v>150154</v>
      </c>
      <c r="CM21">
        <v>172025</v>
      </c>
      <c r="CN21">
        <v>182550</v>
      </c>
      <c r="CO21">
        <v>186752</v>
      </c>
      <c r="CP21">
        <v>192158</v>
      </c>
      <c r="CQ21">
        <v>193079</v>
      </c>
      <c r="CR21">
        <v>214376</v>
      </c>
      <c r="CS21">
        <v>248952</v>
      </c>
      <c r="CT21">
        <v>276888</v>
      </c>
      <c r="CU21">
        <v>290895</v>
      </c>
      <c r="CV21">
        <v>304720</v>
      </c>
      <c r="CW21">
        <v>306845</v>
      </c>
      <c r="CX21">
        <v>327849</v>
      </c>
      <c r="CY21">
        <v>325820</v>
      </c>
      <c r="CZ21">
        <v>290965</v>
      </c>
      <c r="DA21">
        <v>280199</v>
      </c>
      <c r="DB21">
        <v>291240</v>
      </c>
      <c r="DC21">
        <v>323181</v>
      </c>
      <c r="DD21">
        <v>346287</v>
      </c>
      <c r="DE21">
        <v>397492</v>
      </c>
      <c r="DF21">
        <v>418066</v>
      </c>
      <c r="DG21">
        <v>357759</v>
      </c>
      <c r="DH21">
        <v>365002</v>
      </c>
      <c r="DI21">
        <v>405524</v>
      </c>
      <c r="DJ21">
        <v>435223</v>
      </c>
      <c r="DK21">
        <v>467289</v>
      </c>
      <c r="DL21">
        <v>484429</v>
      </c>
      <c r="DM21">
        <v>501375</v>
      </c>
      <c r="DN21">
        <v>506269</v>
      </c>
      <c r="DO21">
        <v>521160</v>
      </c>
      <c r="DP21">
        <v>555874</v>
      </c>
      <c r="DQ21">
        <v>576116</v>
      </c>
      <c r="DR21">
        <v>573414</v>
      </c>
      <c r="DS21">
        <v>611190</v>
      </c>
      <c r="DT21">
        <v>674815</v>
      </c>
      <c r="DU21">
        <v>700341</v>
      </c>
      <c r="DV21">
        <v>728568</v>
      </c>
    </row>
    <row r="22" spans="1:126">
      <c r="A22" t="s">
        <v>1037</v>
      </c>
      <c r="B22" t="s">
        <v>1113</v>
      </c>
      <c r="C22">
        <v>1493</v>
      </c>
      <c r="D22">
        <v>1840</v>
      </c>
      <c r="E22">
        <v>2057</v>
      </c>
      <c r="F22">
        <v>1917</v>
      </c>
      <c r="G22">
        <v>1990</v>
      </c>
      <c r="H22">
        <v>2376</v>
      </c>
      <c r="I22">
        <v>2751</v>
      </c>
      <c r="J22">
        <v>2133</v>
      </c>
      <c r="K22">
        <v>2455</v>
      </c>
      <c r="L22">
        <v>2896</v>
      </c>
      <c r="M22">
        <v>2714</v>
      </c>
      <c r="N22">
        <v>3179</v>
      </c>
      <c r="O22">
        <v>3393</v>
      </c>
      <c r="P22">
        <v>2658</v>
      </c>
      <c r="Q22">
        <v>2438</v>
      </c>
      <c r="R22">
        <v>3534</v>
      </c>
      <c r="S22">
        <v>4530</v>
      </c>
      <c r="T22">
        <v>5558</v>
      </c>
      <c r="U22">
        <v>5992</v>
      </c>
      <c r="V22">
        <v>7565</v>
      </c>
      <c r="W22">
        <v>5746</v>
      </c>
      <c r="X22">
        <v>6290</v>
      </c>
      <c r="Y22">
        <v>8199</v>
      </c>
      <c r="Z22">
        <v>7225</v>
      </c>
      <c r="AA22">
        <v>8498</v>
      </c>
      <c r="AB22">
        <v>8659</v>
      </c>
      <c r="AC22">
        <v>8220</v>
      </c>
      <c r="AD22">
        <v>8138</v>
      </c>
      <c r="AE22">
        <v>8642</v>
      </c>
      <c r="AF22">
        <v>7314</v>
      </c>
      <c r="AG22">
        <v>4832</v>
      </c>
      <c r="AH22">
        <v>2965</v>
      </c>
      <c r="AI22">
        <v>2365</v>
      </c>
      <c r="AJ22">
        <v>2856</v>
      </c>
      <c r="AK22">
        <v>3415</v>
      </c>
      <c r="AL22">
        <v>4392</v>
      </c>
      <c r="AM22">
        <v>5480</v>
      </c>
      <c r="AN22">
        <v>4540</v>
      </c>
      <c r="AO22">
        <v>4837</v>
      </c>
      <c r="AP22">
        <v>5707</v>
      </c>
      <c r="AQ22">
        <v>6470</v>
      </c>
      <c r="AR22">
        <v>4604</v>
      </c>
      <c r="AS22">
        <v>4336</v>
      </c>
      <c r="AT22">
        <v>5305</v>
      </c>
      <c r="AU22">
        <v>7712</v>
      </c>
      <c r="AV22">
        <v>11322</v>
      </c>
      <c r="AW22">
        <v>15135</v>
      </c>
      <c r="AX22">
        <v>18351</v>
      </c>
      <c r="AY22">
        <v>17909</v>
      </c>
      <c r="AZ22">
        <v>20486</v>
      </c>
      <c r="BA22">
        <v>22062</v>
      </c>
      <c r="BB22">
        <v>22162</v>
      </c>
      <c r="BC22">
        <v>25543</v>
      </c>
      <c r="BD22">
        <v>25294</v>
      </c>
      <c r="BE22">
        <v>29280</v>
      </c>
      <c r="BF22">
        <v>32372</v>
      </c>
      <c r="BG22">
        <v>34780</v>
      </c>
      <c r="BH22">
        <v>32985</v>
      </c>
      <c r="BI22">
        <v>36324</v>
      </c>
      <c r="BJ22">
        <v>37643</v>
      </c>
      <c r="BK22">
        <v>38067</v>
      </c>
      <c r="BL22">
        <v>41226</v>
      </c>
      <c r="BM22">
        <v>42915</v>
      </c>
      <c r="BN22">
        <v>47665</v>
      </c>
      <c r="BO22">
        <v>55622</v>
      </c>
      <c r="BP22">
        <v>61570</v>
      </c>
      <c r="BQ22">
        <v>62716</v>
      </c>
      <c r="BR22">
        <v>69768</v>
      </c>
      <c r="BS22">
        <v>78707</v>
      </c>
      <c r="BT22">
        <v>81148</v>
      </c>
      <c r="BU22">
        <v>86854</v>
      </c>
      <c r="BV22">
        <v>98569</v>
      </c>
      <c r="BW22">
        <v>117221</v>
      </c>
      <c r="BX22">
        <v>123547</v>
      </c>
      <c r="BY22">
        <v>124649</v>
      </c>
      <c r="BZ22">
        <v>141318</v>
      </c>
      <c r="CA22">
        <v>170248</v>
      </c>
      <c r="CB22">
        <v>210918</v>
      </c>
      <c r="CC22">
        <v>256791</v>
      </c>
      <c r="CD22">
        <v>278425</v>
      </c>
      <c r="CE22">
        <v>328310</v>
      </c>
      <c r="CF22">
        <v>347335</v>
      </c>
      <c r="CG22">
        <v>349672</v>
      </c>
      <c r="CH22">
        <v>410968</v>
      </c>
      <c r="CI22">
        <v>445637</v>
      </c>
      <c r="CJ22">
        <v>445921</v>
      </c>
      <c r="CK22">
        <v>455823</v>
      </c>
      <c r="CL22">
        <v>491627</v>
      </c>
      <c r="CM22">
        <v>519305</v>
      </c>
      <c r="CN22">
        <v>534304</v>
      </c>
      <c r="CO22">
        <v>513141</v>
      </c>
      <c r="CP22">
        <v>524106</v>
      </c>
      <c r="CQ22">
        <v>583683</v>
      </c>
      <c r="CR22">
        <v>627534</v>
      </c>
      <c r="CS22">
        <v>687961</v>
      </c>
      <c r="CT22">
        <v>743099</v>
      </c>
      <c r="CU22">
        <v>826880</v>
      </c>
      <c r="CV22">
        <v>915682</v>
      </c>
      <c r="CW22">
        <v>1024696</v>
      </c>
      <c r="CX22">
        <v>1128555</v>
      </c>
      <c r="CY22">
        <v>1087830</v>
      </c>
      <c r="CZ22">
        <v>1010622</v>
      </c>
      <c r="DA22">
        <v>1041384</v>
      </c>
      <c r="DB22">
        <v>1122296</v>
      </c>
      <c r="DC22">
        <v>1243481</v>
      </c>
      <c r="DD22">
        <v>1394491</v>
      </c>
      <c r="DE22">
        <v>1494561</v>
      </c>
      <c r="DF22">
        <v>1516934</v>
      </c>
      <c r="DG22">
        <v>1269840</v>
      </c>
      <c r="DH22">
        <v>1325218</v>
      </c>
      <c r="DI22">
        <v>1452403</v>
      </c>
      <c r="DJ22">
        <v>1606818</v>
      </c>
      <c r="DK22">
        <v>1672502</v>
      </c>
      <c r="DL22">
        <v>1847726</v>
      </c>
      <c r="DM22">
        <v>1915346</v>
      </c>
      <c r="DN22">
        <v>1931392</v>
      </c>
      <c r="DO22">
        <v>2045982</v>
      </c>
      <c r="DP22">
        <v>2208087</v>
      </c>
      <c r="DQ22">
        <v>2313463</v>
      </c>
      <c r="DR22">
        <v>2189677</v>
      </c>
      <c r="DS22">
        <v>2369541</v>
      </c>
      <c r="DT22">
        <v>2689247</v>
      </c>
      <c r="DU22">
        <v>3023570</v>
      </c>
      <c r="DV22">
        <v>3163664</v>
      </c>
    </row>
  </sheetData>
  <mergeCells count="4">
    <mergeCell ref="A1:DV1"/>
    <mergeCell ref="A2:DV2"/>
    <mergeCell ref="A3:DV3"/>
    <mergeCell ref="A4:DV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67BF2-665A-AE41-9898-2B456079C51E}">
  <dimension ref="A1:V16"/>
  <sheetViews>
    <sheetView workbookViewId="0">
      <selection activeCell="F27" sqref="F27"/>
    </sheetView>
  </sheetViews>
  <sheetFormatPr baseColWidth="10" defaultColWidth="11.5" defaultRowHeight="16"/>
  <cols>
    <col min="3" max="3" width="12.1640625" bestFit="1" customWidth="1"/>
  </cols>
  <sheetData>
    <row r="1" spans="1:22">
      <c r="A1" t="s">
        <v>1840</v>
      </c>
      <c r="F1" t="s">
        <v>1841</v>
      </c>
    </row>
    <row r="2" spans="1:22">
      <c r="C2">
        <v>1926</v>
      </c>
      <c r="D2">
        <v>1927</v>
      </c>
      <c r="E2">
        <v>1928</v>
      </c>
      <c r="F2">
        <v>1929</v>
      </c>
      <c r="G2">
        <v>1930</v>
      </c>
      <c r="H2">
        <v>1931</v>
      </c>
      <c r="I2">
        <v>1932</v>
      </c>
      <c r="J2">
        <v>1933</v>
      </c>
      <c r="K2">
        <v>1934</v>
      </c>
      <c r="L2">
        <v>1935</v>
      </c>
      <c r="M2">
        <v>1936</v>
      </c>
      <c r="N2">
        <v>1937</v>
      </c>
      <c r="O2">
        <v>1938</v>
      </c>
      <c r="P2">
        <v>1939</v>
      </c>
      <c r="Q2">
        <v>1940</v>
      </c>
      <c r="R2">
        <v>1941</v>
      </c>
      <c r="S2">
        <v>1942</v>
      </c>
      <c r="T2">
        <v>1943</v>
      </c>
      <c r="U2">
        <v>1944</v>
      </c>
      <c r="V2">
        <v>1945</v>
      </c>
    </row>
    <row r="4" spans="1:22">
      <c r="A4" t="s">
        <v>1140</v>
      </c>
      <c r="C4">
        <v>262179</v>
      </c>
      <c r="D4">
        <v>287542</v>
      </c>
      <c r="E4">
        <v>307218</v>
      </c>
      <c r="F4">
        <v>335778</v>
      </c>
      <c r="G4">
        <v>334002</v>
      </c>
      <c r="H4">
        <v>296497</v>
      </c>
      <c r="I4">
        <v>280083</v>
      </c>
      <c r="J4">
        <v>268206</v>
      </c>
      <c r="K4">
        <v>301307</v>
      </c>
      <c r="L4">
        <v>303150</v>
      </c>
      <c r="M4">
        <v>303180</v>
      </c>
      <c r="N4">
        <v>303357</v>
      </c>
      <c r="O4">
        <v>300022</v>
      </c>
      <c r="P4">
        <v>306801</v>
      </c>
      <c r="Q4">
        <v>320478</v>
      </c>
      <c r="R4">
        <v>340452</v>
      </c>
      <c r="S4">
        <v>360018</v>
      </c>
      <c r="T4">
        <v>389524</v>
      </c>
      <c r="U4">
        <v>418324</v>
      </c>
      <c r="V4">
        <v>441461</v>
      </c>
    </row>
    <row r="5" spans="1:22">
      <c r="A5" t="s">
        <v>1141</v>
      </c>
      <c r="C5">
        <v>97523</v>
      </c>
      <c r="D5">
        <v>104945</v>
      </c>
      <c r="E5">
        <v>109031</v>
      </c>
      <c r="F5">
        <v>116446</v>
      </c>
      <c r="G5">
        <v>120994</v>
      </c>
      <c r="H5">
        <v>114303</v>
      </c>
      <c r="I5">
        <v>108553</v>
      </c>
      <c r="J5">
        <v>104958</v>
      </c>
      <c r="K5">
        <v>102751</v>
      </c>
      <c r="L5">
        <v>100480</v>
      </c>
      <c r="M5">
        <v>97873</v>
      </c>
      <c r="N5">
        <v>100320</v>
      </c>
      <c r="O5">
        <v>99299</v>
      </c>
      <c r="P5">
        <v>100226</v>
      </c>
      <c r="Q5">
        <v>100214</v>
      </c>
      <c r="R5">
        <v>100698</v>
      </c>
      <c r="S5">
        <v>99722</v>
      </c>
      <c r="T5">
        <v>97728</v>
      </c>
      <c r="U5">
        <v>95128</v>
      </c>
      <c r="V5">
        <v>92057</v>
      </c>
    </row>
    <row r="6" spans="1:22">
      <c r="A6" t="s">
        <v>1142</v>
      </c>
      <c r="C6">
        <f t="shared" ref="C6:V6" si="0">C4-C5</f>
        <v>164656</v>
      </c>
      <c r="D6">
        <f t="shared" si="0"/>
        <v>182597</v>
      </c>
      <c r="E6">
        <f t="shared" si="0"/>
        <v>198187</v>
      </c>
      <c r="F6">
        <f t="shared" si="0"/>
        <v>219332</v>
      </c>
      <c r="G6">
        <f t="shared" si="0"/>
        <v>213008</v>
      </c>
      <c r="H6">
        <f t="shared" si="0"/>
        <v>182194</v>
      </c>
      <c r="I6">
        <f t="shared" si="0"/>
        <v>171530</v>
      </c>
      <c r="J6">
        <f t="shared" si="0"/>
        <v>163248</v>
      </c>
      <c r="K6">
        <f t="shared" si="0"/>
        <v>198556</v>
      </c>
      <c r="L6">
        <f t="shared" si="0"/>
        <v>202670</v>
      </c>
      <c r="M6">
        <f t="shared" si="0"/>
        <v>205307</v>
      </c>
      <c r="N6">
        <f t="shared" si="0"/>
        <v>203037</v>
      </c>
      <c r="O6">
        <f t="shared" si="0"/>
        <v>200723</v>
      </c>
      <c r="P6">
        <f t="shared" si="0"/>
        <v>206575</v>
      </c>
      <c r="Q6">
        <f t="shared" si="0"/>
        <v>220264</v>
      </c>
      <c r="R6">
        <f t="shared" si="0"/>
        <v>239754</v>
      </c>
      <c r="S6">
        <f t="shared" si="0"/>
        <v>260296</v>
      </c>
      <c r="T6">
        <f t="shared" si="0"/>
        <v>291796</v>
      </c>
      <c r="U6">
        <f t="shared" si="0"/>
        <v>323196</v>
      </c>
      <c r="V6">
        <f t="shared" si="0"/>
        <v>349404</v>
      </c>
    </row>
    <row r="8" spans="1:22">
      <c r="A8" t="s">
        <v>1143</v>
      </c>
      <c r="C8">
        <f t="shared" ref="C8:V8" si="1">C4</f>
        <v>262179</v>
      </c>
      <c r="D8">
        <f t="shared" si="1"/>
        <v>287542</v>
      </c>
      <c r="E8">
        <f t="shared" si="1"/>
        <v>307218</v>
      </c>
      <c r="F8">
        <f t="shared" si="1"/>
        <v>335778</v>
      </c>
      <c r="G8">
        <f t="shared" si="1"/>
        <v>334002</v>
      </c>
      <c r="H8">
        <f t="shared" si="1"/>
        <v>296497</v>
      </c>
      <c r="I8">
        <f t="shared" si="1"/>
        <v>280083</v>
      </c>
      <c r="J8">
        <f t="shared" si="1"/>
        <v>268206</v>
      </c>
      <c r="K8">
        <f t="shared" si="1"/>
        <v>301307</v>
      </c>
      <c r="L8">
        <f t="shared" si="1"/>
        <v>303150</v>
      </c>
      <c r="M8">
        <f t="shared" si="1"/>
        <v>303180</v>
      </c>
      <c r="N8">
        <f t="shared" si="1"/>
        <v>303357</v>
      </c>
      <c r="O8">
        <f t="shared" si="1"/>
        <v>300022</v>
      </c>
      <c r="P8">
        <f t="shared" si="1"/>
        <v>306801</v>
      </c>
      <c r="Q8">
        <f t="shared" si="1"/>
        <v>320478</v>
      </c>
      <c r="R8">
        <f t="shared" si="1"/>
        <v>340452</v>
      </c>
      <c r="S8">
        <f t="shared" si="1"/>
        <v>360018</v>
      </c>
      <c r="T8">
        <f t="shared" si="1"/>
        <v>389524</v>
      </c>
      <c r="U8">
        <f t="shared" si="1"/>
        <v>418324</v>
      </c>
      <c r="V8">
        <f t="shared" si="1"/>
        <v>441461</v>
      </c>
    </row>
    <row r="9" spans="1:22">
      <c r="A9" t="s">
        <v>1144</v>
      </c>
      <c r="C9">
        <v>67517</v>
      </c>
      <c r="D9">
        <v>74081</v>
      </c>
      <c r="E9">
        <v>77256</v>
      </c>
      <c r="F9">
        <v>85520</v>
      </c>
      <c r="G9">
        <v>87067</v>
      </c>
      <c r="H9">
        <v>79794</v>
      </c>
      <c r="I9">
        <v>78413</v>
      </c>
      <c r="J9">
        <v>74088</v>
      </c>
      <c r="K9">
        <v>84970</v>
      </c>
      <c r="L9">
        <v>82733</v>
      </c>
      <c r="M9">
        <v>78072</v>
      </c>
      <c r="N9">
        <v>77339</v>
      </c>
      <c r="O9">
        <v>74792</v>
      </c>
      <c r="P9">
        <v>73482</v>
      </c>
      <c r="Q9">
        <v>72292</v>
      </c>
      <c r="R9">
        <v>71577</v>
      </c>
      <c r="S9">
        <v>65828</v>
      </c>
      <c r="T9">
        <v>64481</v>
      </c>
      <c r="U9">
        <v>64785</v>
      </c>
      <c r="V9">
        <v>64747</v>
      </c>
    </row>
    <row r="10" spans="1:22">
      <c r="A10" t="s">
        <v>1145</v>
      </c>
      <c r="C10">
        <f t="shared" ref="C10:V10" si="2">C8-C9</f>
        <v>194662</v>
      </c>
      <c r="D10">
        <f t="shared" si="2"/>
        <v>213461</v>
      </c>
      <c r="E10">
        <f t="shared" si="2"/>
        <v>229962</v>
      </c>
      <c r="F10">
        <f t="shared" si="2"/>
        <v>250258</v>
      </c>
      <c r="G10">
        <f t="shared" si="2"/>
        <v>246935</v>
      </c>
      <c r="H10">
        <f t="shared" si="2"/>
        <v>216703</v>
      </c>
      <c r="I10">
        <f t="shared" si="2"/>
        <v>201670</v>
      </c>
      <c r="J10">
        <f t="shared" si="2"/>
        <v>194118</v>
      </c>
      <c r="K10">
        <f t="shared" si="2"/>
        <v>216337</v>
      </c>
      <c r="L10">
        <f t="shared" si="2"/>
        <v>220417</v>
      </c>
      <c r="M10">
        <f t="shared" si="2"/>
        <v>225108</v>
      </c>
      <c r="N10">
        <f t="shared" si="2"/>
        <v>226018</v>
      </c>
      <c r="O10">
        <f t="shared" si="2"/>
        <v>225230</v>
      </c>
      <c r="P10">
        <f t="shared" si="2"/>
        <v>233319</v>
      </c>
      <c r="Q10">
        <f t="shared" si="2"/>
        <v>248186</v>
      </c>
      <c r="R10">
        <f t="shared" si="2"/>
        <v>268875</v>
      </c>
      <c r="S10">
        <f t="shared" si="2"/>
        <v>294190</v>
      </c>
      <c r="T10">
        <f t="shared" si="2"/>
        <v>325043</v>
      </c>
      <c r="U10">
        <f t="shared" si="2"/>
        <v>353539</v>
      </c>
      <c r="V10">
        <f t="shared" si="2"/>
        <v>376714</v>
      </c>
    </row>
    <row r="12" spans="1:22">
      <c r="A12" t="s">
        <v>1146</v>
      </c>
      <c r="C12" s="16">
        <f>$B$13*'CRSP Data'!B4</f>
        <v>71487.420755907777</v>
      </c>
      <c r="D12" s="16">
        <f>$B$13*'CRSP Data'!C4</f>
        <v>98722.596880700759</v>
      </c>
      <c r="E12" s="16">
        <f>$B$13*'CRSP Data'!D4</f>
        <v>141281.56436853419</v>
      </c>
      <c r="F12" s="16">
        <f>$B$13*'CRSP Data'!E4</f>
        <v>133313.53049198943</v>
      </c>
      <c r="G12" s="16">
        <f>$B$13*'CRSP Data'!F4</f>
        <v>98332.852438232512</v>
      </c>
      <c r="H12" s="16">
        <f>$B$13*'CRSP Data'!G4</f>
        <v>50874.618286506513</v>
      </c>
      <c r="I12" s="16">
        <f>$B$13*'CRSP Data'!H4</f>
        <v>43306.333846288107</v>
      </c>
      <c r="J12" s="16">
        <f>$B$13*'CRSP Data'!I4</f>
        <v>65589.518319021503</v>
      </c>
      <c r="K12" s="16">
        <f>$B$13*'CRSP Data'!J4</f>
        <v>66386.435714819556</v>
      </c>
      <c r="L12" s="16">
        <f>$B$13*'CRSP Data'!K4</f>
        <v>93470.370402682616</v>
      </c>
      <c r="M12" s="16">
        <f>$B$13*'CRSP Data'!L4</f>
        <v>121871.87345009368</v>
      </c>
      <c r="N12" s="16">
        <f>$B$13*'CRSP Data'!M4</f>
        <v>77068.129065131478</v>
      </c>
      <c r="O12" s="16">
        <f>$B$13*'CRSP Data'!N4</f>
        <v>95645.815330052574</v>
      </c>
      <c r="P12" s="16">
        <f>$B$13*'CRSP Data'!O4</f>
        <v>93101.770834297582</v>
      </c>
      <c r="Q12" s="16">
        <f>$B$13*'CRSP Data'!P4</f>
        <v>82231.135669788579</v>
      </c>
      <c r="R12" s="16">
        <f>$B$13*'CRSP Data'!Q4</f>
        <v>69645.354011973715</v>
      </c>
      <c r="S12" s="16">
        <f>$B$13*'CRSP Data'!R4</f>
        <v>76108.482518716381</v>
      </c>
      <c r="T12" s="16">
        <f>$B$13*'CRSP Data'!S4</f>
        <v>93910.574783373639</v>
      </c>
      <c r="U12" s="16">
        <f>$B$13*'CRSP Data'!T4</f>
        <v>110646.24790802387</v>
      </c>
      <c r="V12" s="16">
        <f>$B$13*'CRSP Data'!U4</f>
        <v>151910</v>
      </c>
    </row>
    <row r="13" spans="1:22">
      <c r="B13">
        <f>('L224'!G4+'L224'!G7)/'CRSP Data'!U4</f>
        <v>2.3613948542866646E-3</v>
      </c>
    </row>
    <row r="16" spans="1:22">
      <c r="A16" t="s">
        <v>1147</v>
      </c>
      <c r="C16" s="16">
        <f>C12+C10-C6</f>
        <v>101493.42075590778</v>
      </c>
      <c r="D16" s="16">
        <f t="shared" ref="D16:V16" si="3">D12+D10-D6</f>
        <v>129586.59688070079</v>
      </c>
      <c r="E16" s="16">
        <f t="shared" si="3"/>
        <v>173056.56436853419</v>
      </c>
      <c r="F16" s="16">
        <f t="shared" si="3"/>
        <v>164239.53049198946</v>
      </c>
      <c r="G16" s="16">
        <f t="shared" si="3"/>
        <v>132259.85243823251</v>
      </c>
      <c r="H16" s="16">
        <f t="shared" si="3"/>
        <v>85383.618286506506</v>
      </c>
      <c r="I16" s="16">
        <f t="shared" si="3"/>
        <v>73446.333846288093</v>
      </c>
      <c r="J16" s="16">
        <f t="shared" si="3"/>
        <v>96459.518319021503</v>
      </c>
      <c r="K16" s="16">
        <f t="shared" si="3"/>
        <v>84167.435714819585</v>
      </c>
      <c r="L16" s="16">
        <f t="shared" si="3"/>
        <v>111217.37040268263</v>
      </c>
      <c r="M16" s="16">
        <f t="shared" si="3"/>
        <v>141672.87345009367</v>
      </c>
      <c r="N16" s="16">
        <f t="shared" si="3"/>
        <v>100049.12906513148</v>
      </c>
      <c r="O16" s="16">
        <f t="shared" si="3"/>
        <v>120152.81533005257</v>
      </c>
      <c r="P16" s="16">
        <f t="shared" si="3"/>
        <v>119845.77083429758</v>
      </c>
      <c r="Q16" s="16">
        <f t="shared" si="3"/>
        <v>110153.13566978858</v>
      </c>
      <c r="R16" s="16">
        <f t="shared" si="3"/>
        <v>98766.354011973715</v>
      </c>
      <c r="S16" s="16">
        <f t="shared" si="3"/>
        <v>110002.48251871637</v>
      </c>
      <c r="T16" s="16">
        <f t="shared" si="3"/>
        <v>127157.57478337362</v>
      </c>
      <c r="U16" s="16">
        <f t="shared" si="3"/>
        <v>140989.24790802388</v>
      </c>
      <c r="V16" s="16">
        <f t="shared" si="3"/>
        <v>179220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BB540-2311-FC44-9F00-87BC1278157C}">
  <dimension ref="A1:HR39"/>
  <sheetViews>
    <sheetView workbookViewId="0">
      <selection activeCell="K7" sqref="K7:AA7"/>
    </sheetView>
  </sheetViews>
  <sheetFormatPr baseColWidth="10" defaultColWidth="11.5" defaultRowHeight="16"/>
  <cols>
    <col min="1" max="1" width="27.1640625" customWidth="1"/>
  </cols>
  <sheetData>
    <row r="1" spans="1:27">
      <c r="A1" t="s">
        <v>1591</v>
      </c>
    </row>
    <row r="2" spans="1:27">
      <c r="A2" t="s">
        <v>1592</v>
      </c>
    </row>
    <row r="5" spans="1:27">
      <c r="A5" t="s">
        <v>1797</v>
      </c>
      <c r="B5">
        <v>1970</v>
      </c>
      <c r="C5">
        <v>1971</v>
      </c>
      <c r="D5">
        <v>1972</v>
      </c>
      <c r="E5">
        <v>1973</v>
      </c>
      <c r="F5">
        <v>1974</v>
      </c>
      <c r="G5">
        <v>1975</v>
      </c>
      <c r="H5">
        <v>1976</v>
      </c>
      <c r="I5">
        <v>1977</v>
      </c>
      <c r="J5">
        <v>1978</v>
      </c>
      <c r="K5">
        <v>1979</v>
      </c>
      <c r="L5">
        <v>1980</v>
      </c>
      <c r="M5">
        <v>1981</v>
      </c>
      <c r="N5">
        <v>1982</v>
      </c>
      <c r="O5">
        <v>1983</v>
      </c>
      <c r="P5">
        <v>1984</v>
      </c>
      <c r="Q5">
        <v>1985</v>
      </c>
      <c r="R5">
        <v>1986</v>
      </c>
      <c r="S5">
        <v>1987</v>
      </c>
      <c r="T5">
        <v>1988</v>
      </c>
      <c r="U5">
        <v>1989</v>
      </c>
      <c r="V5">
        <v>1990</v>
      </c>
      <c r="W5">
        <v>1991</v>
      </c>
      <c r="X5">
        <v>1992</v>
      </c>
      <c r="Y5">
        <v>1993</v>
      </c>
      <c r="Z5">
        <v>1994</v>
      </c>
      <c r="AA5">
        <v>1995</v>
      </c>
    </row>
    <row r="6" spans="1:27">
      <c r="A6" t="s">
        <v>1795</v>
      </c>
      <c r="B6" s="44">
        <f>E25</f>
        <v>3.5413999999999999</v>
      </c>
      <c r="C6" s="44">
        <f>I25</f>
        <v>3.4194</v>
      </c>
      <c r="D6" s="44">
        <f>M25</f>
        <v>3.6999</v>
      </c>
      <c r="E6" s="44">
        <f>Q25</f>
        <v>5.3651</v>
      </c>
      <c r="F6" s="44">
        <f>U25</f>
        <v>7.6814</v>
      </c>
      <c r="G6" s="44">
        <f>Y25</f>
        <v>6.2087000000000003</v>
      </c>
      <c r="H6" s="44">
        <f>AC25</f>
        <v>5.7290000000000001</v>
      </c>
      <c r="I6" s="44">
        <f>AG25</f>
        <v>5.9557000000000002</v>
      </c>
      <c r="J6" s="44">
        <f>AK25</f>
        <v>7.0926999999999998</v>
      </c>
      <c r="K6" s="44">
        <f>AO25</f>
        <v>8.1870999999999992</v>
      </c>
      <c r="L6" s="44">
        <f>AS25</f>
        <v>9.3725000000000005</v>
      </c>
      <c r="M6" s="44">
        <f>AW25</f>
        <v>7.5187999999999997</v>
      </c>
      <c r="N6" s="44">
        <f>BA25</f>
        <v>5.5898000000000003</v>
      </c>
      <c r="O6" s="44">
        <f>BE25</f>
        <v>5.5327000000000002</v>
      </c>
      <c r="P6" s="44">
        <f>BI25</f>
        <v>4.4131</v>
      </c>
      <c r="Q6" s="44">
        <f>BM25</f>
        <v>3.9744000000000002</v>
      </c>
      <c r="R6" s="44">
        <f>BQ25</f>
        <v>3.1114999999999999</v>
      </c>
      <c r="S6" s="44">
        <f>BU25</f>
        <v>3.6194999999999999</v>
      </c>
      <c r="T6" s="44">
        <f>BY25</f>
        <v>4.3689</v>
      </c>
      <c r="U6" s="44">
        <f>CC25</f>
        <v>3.9843999999999999</v>
      </c>
      <c r="V6" s="44">
        <f>CG25</f>
        <v>4.2648999999999999</v>
      </c>
      <c r="W6" s="44">
        <f>CK25</f>
        <v>3.1930000000000001</v>
      </c>
      <c r="X6" s="44">
        <f>CO25</f>
        <v>2.7065999999999999</v>
      </c>
      <c r="Y6" s="44">
        <f>CS25</f>
        <v>2.8332000000000002</v>
      </c>
      <c r="Z6" s="44">
        <f>CW25</f>
        <v>3.1029</v>
      </c>
      <c r="AA6" s="44">
        <f>DA25</f>
        <v>2.3504999999999998</v>
      </c>
    </row>
    <row r="7" spans="1:27">
      <c r="A7" t="s">
        <v>1796</v>
      </c>
      <c r="B7" s="44"/>
      <c r="C7" s="44"/>
      <c r="D7" s="44"/>
      <c r="E7" s="44"/>
      <c r="F7" s="44"/>
      <c r="G7" s="44"/>
      <c r="H7" s="44"/>
      <c r="I7" s="44"/>
      <c r="J7" s="44"/>
      <c r="K7" s="44">
        <f>B39</f>
        <v>6.9</v>
      </c>
      <c r="L7" s="44">
        <f>F39</f>
        <v>8.25</v>
      </c>
      <c r="M7" s="44">
        <f>J39</f>
        <v>7.05</v>
      </c>
      <c r="N7" s="44">
        <f>N39</f>
        <v>5.65</v>
      </c>
      <c r="O7" s="44">
        <f>R39</f>
        <v>5.2</v>
      </c>
      <c r="P7" s="44">
        <f>V39</f>
        <v>5.2</v>
      </c>
      <c r="Q7" s="44">
        <f>Z39</f>
        <v>4.55</v>
      </c>
      <c r="R7" s="44">
        <f>AD39</f>
        <v>4</v>
      </c>
      <c r="S7" s="44">
        <f>AH39</f>
        <v>4.5</v>
      </c>
      <c r="T7" s="44">
        <f>AL39</f>
        <v>4.3499999999999996</v>
      </c>
      <c r="U7" s="44">
        <f>AP39</f>
        <v>4.2</v>
      </c>
      <c r="V7" s="44">
        <f>AT39</f>
        <v>4.1500000000000004</v>
      </c>
      <c r="W7" s="44">
        <f>CK27</f>
        <v>4</v>
      </c>
      <c r="X7" s="44">
        <f>CO27</f>
        <v>3.6</v>
      </c>
      <c r="Y7" s="44">
        <f>CS27</f>
        <v>3.45</v>
      </c>
      <c r="Z7" s="44">
        <f>CW27</f>
        <v>3.5</v>
      </c>
      <c r="AA7" s="44">
        <f>DA27</f>
        <v>3</v>
      </c>
    </row>
    <row r="8" spans="1:27">
      <c r="B8" s="44"/>
      <c r="C8" s="44"/>
      <c r="D8" s="44"/>
      <c r="E8" s="44"/>
      <c r="F8" s="44"/>
      <c r="G8" s="44"/>
      <c r="H8" s="44"/>
      <c r="I8" s="44"/>
      <c r="J8" s="44"/>
      <c r="K8" s="44"/>
      <c r="L8" s="44"/>
      <c r="M8" s="44"/>
      <c r="N8" s="44"/>
      <c r="O8" s="44"/>
      <c r="P8" s="44"/>
      <c r="Q8" s="44"/>
      <c r="R8" s="44"/>
      <c r="S8" s="44"/>
      <c r="T8" s="44"/>
      <c r="U8" s="44"/>
      <c r="V8" s="44"/>
      <c r="W8" s="44"/>
      <c r="X8" s="44"/>
      <c r="Y8" s="44"/>
      <c r="Z8" s="44"/>
      <c r="AA8" s="44"/>
    </row>
    <row r="9" spans="1:27">
      <c r="A9" t="s">
        <v>1798</v>
      </c>
    </row>
    <row r="10" spans="1:27">
      <c r="A10" t="s">
        <v>1795</v>
      </c>
      <c r="B10" t="s">
        <v>1448</v>
      </c>
      <c r="C10" t="s">
        <v>1448</v>
      </c>
      <c r="D10" t="s">
        <v>1448</v>
      </c>
      <c r="E10" t="s">
        <v>1448</v>
      </c>
      <c r="F10" t="s">
        <v>1448</v>
      </c>
      <c r="G10" t="s">
        <v>1448</v>
      </c>
      <c r="H10" t="s">
        <v>1448</v>
      </c>
      <c r="I10" t="s">
        <v>1448</v>
      </c>
      <c r="J10" t="s">
        <v>1448</v>
      </c>
      <c r="K10" t="s">
        <v>1448</v>
      </c>
      <c r="L10" t="s">
        <v>1448</v>
      </c>
      <c r="M10" t="s">
        <v>1448</v>
      </c>
      <c r="N10">
        <v>4.5710148000000004</v>
      </c>
      <c r="O10">
        <v>5.1980903999999999</v>
      </c>
      <c r="P10">
        <v>4.8509701999999999</v>
      </c>
      <c r="Q10">
        <v>4.0037965</v>
      </c>
      <c r="R10">
        <v>3.6377003999999999</v>
      </c>
      <c r="S10">
        <v>4.0836870000000003</v>
      </c>
      <c r="T10">
        <v>4.4612582999999999</v>
      </c>
      <c r="U10">
        <v>3.6603593000000001</v>
      </c>
      <c r="V10">
        <v>4.8876822000000004</v>
      </c>
      <c r="W10">
        <v>3.5525590999999999</v>
      </c>
      <c r="X10">
        <v>3.0122331</v>
      </c>
      <c r="Y10">
        <v>2.6618748000000001</v>
      </c>
      <c r="Z10">
        <v>3.9072212999999998</v>
      </c>
      <c r="AA10">
        <v>2.7518619000000002</v>
      </c>
    </row>
    <row r="11" spans="1:27">
      <c r="A11" t="s">
        <v>1796</v>
      </c>
      <c r="B11" t="s">
        <v>1448</v>
      </c>
      <c r="C11" t="s">
        <v>1448</v>
      </c>
      <c r="D11" t="s">
        <v>1448</v>
      </c>
      <c r="E11" t="s">
        <v>1448</v>
      </c>
      <c r="F11" t="s">
        <v>1448</v>
      </c>
      <c r="G11" t="s">
        <v>1448</v>
      </c>
      <c r="H11" t="s">
        <v>1448</v>
      </c>
      <c r="I11" t="s">
        <v>1448</v>
      </c>
      <c r="J11" t="s">
        <v>1448</v>
      </c>
      <c r="K11" t="s">
        <v>1448</v>
      </c>
      <c r="L11" t="s">
        <v>1448</v>
      </c>
      <c r="M11" t="s">
        <v>1448</v>
      </c>
      <c r="N11">
        <v>4.8624209</v>
      </c>
      <c r="O11">
        <v>5.0893714000000001</v>
      </c>
      <c r="P11">
        <v>5.0342399000000002</v>
      </c>
      <c r="Q11">
        <v>4.3655157999999998</v>
      </c>
      <c r="R11">
        <v>3.4800833</v>
      </c>
      <c r="S11">
        <v>4.2591450999999996</v>
      </c>
      <c r="T11">
        <v>4.1229056999999996</v>
      </c>
      <c r="U11">
        <v>3.6632644999999999</v>
      </c>
      <c r="V11">
        <v>3.8566272000000001</v>
      </c>
      <c r="W11">
        <v>3.4956178000000002</v>
      </c>
      <c r="X11">
        <v>3.4364061000000001</v>
      </c>
      <c r="Y11">
        <v>2.9813298000000001</v>
      </c>
      <c r="Z11">
        <v>3.8150244</v>
      </c>
      <c r="AA11">
        <v>2.8370533</v>
      </c>
    </row>
    <row r="21" spans="1:226">
      <c r="A21" t="s">
        <v>1593</v>
      </c>
    </row>
    <row r="23" spans="1:226">
      <c r="A23" s="34" t="s">
        <v>1594</v>
      </c>
      <c r="B23" s="35">
        <v>1970</v>
      </c>
      <c r="C23" s="35">
        <v>1970</v>
      </c>
      <c r="D23" s="35">
        <v>1970</v>
      </c>
      <c r="E23" s="35">
        <v>1970</v>
      </c>
      <c r="F23" s="35">
        <v>1971</v>
      </c>
      <c r="G23" s="35">
        <v>1971</v>
      </c>
      <c r="H23" s="35">
        <v>1971</v>
      </c>
      <c r="I23" s="35">
        <v>1971</v>
      </c>
      <c r="J23" s="35">
        <v>1972</v>
      </c>
      <c r="K23" s="35">
        <v>1972</v>
      </c>
      <c r="L23" s="35">
        <v>1972</v>
      </c>
      <c r="M23" s="35">
        <v>1972</v>
      </c>
      <c r="N23" s="35">
        <v>1973</v>
      </c>
      <c r="O23" s="35">
        <v>1973</v>
      </c>
      <c r="P23" s="35">
        <v>1973</v>
      </c>
      <c r="Q23" s="35">
        <v>1973</v>
      </c>
      <c r="R23" s="35">
        <v>1974</v>
      </c>
      <c r="S23" s="35">
        <v>1974</v>
      </c>
      <c r="T23" s="35">
        <v>1974</v>
      </c>
      <c r="U23" s="35">
        <v>1974</v>
      </c>
      <c r="V23" s="35">
        <v>1975</v>
      </c>
      <c r="W23" s="35">
        <v>1975</v>
      </c>
      <c r="X23" s="35">
        <v>1975</v>
      </c>
      <c r="Y23" s="35">
        <v>1975</v>
      </c>
      <c r="Z23" s="35">
        <v>1976</v>
      </c>
      <c r="AA23" s="35">
        <v>1976</v>
      </c>
      <c r="AB23" s="35">
        <v>1976</v>
      </c>
      <c r="AC23" s="35">
        <v>1976</v>
      </c>
      <c r="AD23" s="35">
        <v>1977</v>
      </c>
      <c r="AE23" s="35">
        <v>1977</v>
      </c>
      <c r="AF23" s="35">
        <v>1977</v>
      </c>
      <c r="AG23" s="35">
        <v>1977</v>
      </c>
      <c r="AH23" s="35">
        <v>1978</v>
      </c>
      <c r="AI23" s="35">
        <v>1978</v>
      </c>
      <c r="AJ23" s="35">
        <v>1978</v>
      </c>
      <c r="AK23" s="35">
        <v>1978</v>
      </c>
      <c r="AL23" s="35">
        <v>1979</v>
      </c>
      <c r="AM23" s="35">
        <v>1979</v>
      </c>
      <c r="AN23" s="35">
        <v>1979</v>
      </c>
      <c r="AO23" s="35">
        <v>1979</v>
      </c>
      <c r="AP23" s="35">
        <v>1980</v>
      </c>
      <c r="AQ23" s="35">
        <v>1980</v>
      </c>
      <c r="AR23" s="35">
        <v>1980</v>
      </c>
      <c r="AS23" s="35">
        <v>1980</v>
      </c>
      <c r="AT23" s="35">
        <v>1981</v>
      </c>
      <c r="AU23" s="35">
        <v>1981</v>
      </c>
      <c r="AV23" s="35">
        <v>1981</v>
      </c>
      <c r="AW23" s="35">
        <v>1981</v>
      </c>
      <c r="AX23" s="35">
        <v>1982</v>
      </c>
      <c r="AY23" s="35">
        <v>1982</v>
      </c>
      <c r="AZ23" s="35">
        <v>1982</v>
      </c>
      <c r="BA23" s="35">
        <v>1982</v>
      </c>
      <c r="BB23" s="35">
        <v>1983</v>
      </c>
      <c r="BC23" s="35">
        <v>1983</v>
      </c>
      <c r="BD23" s="35">
        <v>1983</v>
      </c>
      <c r="BE23" s="35">
        <v>1983</v>
      </c>
      <c r="BF23" s="35">
        <v>1984</v>
      </c>
      <c r="BG23" s="35">
        <v>1984</v>
      </c>
      <c r="BH23" s="35">
        <v>1984</v>
      </c>
      <c r="BI23" s="35">
        <v>1984</v>
      </c>
      <c r="BJ23" s="35">
        <v>1985</v>
      </c>
      <c r="BK23" s="35">
        <v>1985</v>
      </c>
      <c r="BL23" s="35">
        <v>1985</v>
      </c>
      <c r="BM23" s="35">
        <v>1985</v>
      </c>
      <c r="BN23" s="35">
        <v>1986</v>
      </c>
      <c r="BO23" s="35">
        <v>1986</v>
      </c>
      <c r="BP23" s="35">
        <v>1986</v>
      </c>
      <c r="BQ23" s="35">
        <v>1986</v>
      </c>
      <c r="BR23" s="35">
        <v>1987</v>
      </c>
      <c r="BS23" s="35">
        <v>1987</v>
      </c>
      <c r="BT23" s="35">
        <v>1987</v>
      </c>
      <c r="BU23" s="35">
        <v>1987</v>
      </c>
      <c r="BV23" s="35">
        <v>1988</v>
      </c>
      <c r="BW23" s="35">
        <v>1988</v>
      </c>
      <c r="BX23" s="35">
        <v>1988</v>
      </c>
      <c r="BY23" s="35">
        <v>1988</v>
      </c>
      <c r="BZ23" s="35">
        <v>1989</v>
      </c>
      <c r="CA23" s="35">
        <v>1989</v>
      </c>
      <c r="CB23" s="35">
        <v>1989</v>
      </c>
      <c r="CC23" s="35">
        <v>1989</v>
      </c>
      <c r="CD23" s="35">
        <v>1990</v>
      </c>
      <c r="CE23" s="35">
        <v>1990</v>
      </c>
      <c r="CF23" s="35">
        <v>1990</v>
      </c>
      <c r="CG23" s="35">
        <v>1990</v>
      </c>
      <c r="CH23" s="35">
        <v>1991</v>
      </c>
      <c r="CI23" s="35">
        <v>1991</v>
      </c>
      <c r="CJ23" s="35">
        <v>1991</v>
      </c>
      <c r="CK23" s="35">
        <v>1991</v>
      </c>
      <c r="CL23" s="35">
        <v>1992</v>
      </c>
      <c r="CM23" s="35">
        <v>1992</v>
      </c>
      <c r="CN23" s="35">
        <v>1992</v>
      </c>
      <c r="CO23" s="35">
        <v>1992</v>
      </c>
      <c r="CP23" s="35">
        <v>1993</v>
      </c>
      <c r="CQ23" s="35">
        <v>1993</v>
      </c>
      <c r="CR23" s="35">
        <v>1993</v>
      </c>
      <c r="CS23" s="35">
        <v>1993</v>
      </c>
      <c r="CT23" s="35">
        <v>1994</v>
      </c>
      <c r="CU23" s="35">
        <v>1994</v>
      </c>
      <c r="CV23" s="35">
        <v>1994</v>
      </c>
      <c r="CW23" s="35">
        <v>1994</v>
      </c>
      <c r="CX23" s="35">
        <v>1995</v>
      </c>
      <c r="CY23" s="35">
        <v>1995</v>
      </c>
      <c r="CZ23" s="35">
        <v>1995</v>
      </c>
      <c r="DA23" s="35">
        <v>1995</v>
      </c>
      <c r="DB23" s="35">
        <v>1996</v>
      </c>
      <c r="DC23" s="35">
        <v>1996</v>
      </c>
      <c r="DD23" s="35">
        <v>1996</v>
      </c>
      <c r="DE23" s="35">
        <v>1996</v>
      </c>
      <c r="DF23" s="35">
        <v>1997</v>
      </c>
      <c r="DG23" s="35">
        <v>1997</v>
      </c>
      <c r="DH23" s="35">
        <v>1997</v>
      </c>
      <c r="DI23" s="35">
        <v>1997</v>
      </c>
      <c r="DJ23" s="35">
        <v>1998</v>
      </c>
      <c r="DK23" s="35">
        <v>1998</v>
      </c>
      <c r="DL23" s="35">
        <v>1998</v>
      </c>
      <c r="DM23" s="35">
        <v>1998</v>
      </c>
      <c r="DN23" s="35">
        <v>1999</v>
      </c>
      <c r="DO23" s="35">
        <v>1999</v>
      </c>
      <c r="DP23" s="35">
        <v>1999</v>
      </c>
      <c r="DQ23" s="35">
        <v>1999</v>
      </c>
      <c r="DR23" s="35">
        <v>2000</v>
      </c>
      <c r="DS23" s="35">
        <v>2000</v>
      </c>
      <c r="DT23" s="35">
        <v>2000</v>
      </c>
      <c r="DU23" s="35">
        <v>2000</v>
      </c>
      <c r="DV23" s="35">
        <v>2001</v>
      </c>
      <c r="DW23" s="35">
        <v>2001</v>
      </c>
      <c r="DX23" s="35">
        <v>2001</v>
      </c>
      <c r="DY23" s="35">
        <v>2001</v>
      </c>
      <c r="DZ23" s="35">
        <v>2002</v>
      </c>
      <c r="EA23" s="35">
        <v>2002</v>
      </c>
      <c r="EB23" s="35">
        <v>2002</v>
      </c>
      <c r="EC23" s="35">
        <v>2002</v>
      </c>
      <c r="ED23" s="35">
        <v>2003</v>
      </c>
      <c r="EE23" s="35">
        <v>2003</v>
      </c>
      <c r="EF23" s="35">
        <v>2003</v>
      </c>
      <c r="EG23" s="35">
        <v>2003</v>
      </c>
      <c r="EH23" s="35">
        <v>2004</v>
      </c>
      <c r="EI23" s="35">
        <v>2004</v>
      </c>
      <c r="EJ23" s="35">
        <v>2004</v>
      </c>
      <c r="EK23" s="35">
        <v>2004</v>
      </c>
      <c r="EL23" s="35">
        <v>2005</v>
      </c>
      <c r="EM23" s="35">
        <v>2005</v>
      </c>
      <c r="EN23" s="35">
        <v>2005</v>
      </c>
      <c r="EO23" s="35">
        <v>2005</v>
      </c>
      <c r="EP23" s="35">
        <v>2006</v>
      </c>
      <c r="EQ23" s="35">
        <v>2006</v>
      </c>
      <c r="ER23" s="35">
        <v>2006</v>
      </c>
      <c r="ES23" s="35">
        <v>2006</v>
      </c>
      <c r="ET23" s="35">
        <v>2007</v>
      </c>
      <c r="EU23" s="35">
        <v>2007</v>
      </c>
      <c r="EV23" s="35">
        <v>2007</v>
      </c>
      <c r="EW23" s="35">
        <v>2007</v>
      </c>
      <c r="EX23" s="35">
        <v>2008</v>
      </c>
      <c r="EY23" s="35">
        <v>2008</v>
      </c>
      <c r="EZ23" s="35">
        <v>2008</v>
      </c>
      <c r="FA23" s="35">
        <v>2008</v>
      </c>
      <c r="FB23" s="35">
        <v>2009</v>
      </c>
      <c r="FC23" s="35">
        <v>2009</v>
      </c>
      <c r="FD23" s="35">
        <v>2009</v>
      </c>
      <c r="FE23" s="35">
        <v>2009</v>
      </c>
      <c r="FF23" s="35">
        <v>2010</v>
      </c>
      <c r="FG23" s="35">
        <v>2010</v>
      </c>
      <c r="FH23" s="35">
        <v>2010</v>
      </c>
      <c r="FI23" s="35">
        <v>2010</v>
      </c>
      <c r="FJ23" s="35">
        <v>2011</v>
      </c>
      <c r="FK23" s="35">
        <v>2011</v>
      </c>
      <c r="FL23" s="35">
        <v>2011</v>
      </c>
      <c r="FM23" s="35">
        <v>2011</v>
      </c>
      <c r="FN23" s="35">
        <v>2012</v>
      </c>
      <c r="FO23" s="35">
        <v>2012</v>
      </c>
      <c r="FP23" s="35">
        <v>2012</v>
      </c>
      <c r="FQ23" s="35">
        <v>2012</v>
      </c>
      <c r="FR23" s="35">
        <v>2013</v>
      </c>
      <c r="FS23" s="35">
        <v>2013</v>
      </c>
      <c r="FT23" s="35">
        <v>2013</v>
      </c>
      <c r="FU23" s="35">
        <v>2013</v>
      </c>
      <c r="FV23" s="35">
        <v>2014</v>
      </c>
      <c r="FW23" s="35">
        <v>2014</v>
      </c>
      <c r="FX23" s="35">
        <v>2014</v>
      </c>
      <c r="FY23" s="35">
        <v>2014</v>
      </c>
      <c r="FZ23" s="35">
        <v>2015</v>
      </c>
      <c r="GA23" s="35">
        <v>2015</v>
      </c>
      <c r="GB23" s="35">
        <v>2015</v>
      </c>
      <c r="GC23" s="35">
        <v>2015</v>
      </c>
      <c r="GD23" s="35">
        <v>2016</v>
      </c>
      <c r="GE23" s="35">
        <v>2016</v>
      </c>
      <c r="GF23" s="35">
        <v>2016</v>
      </c>
      <c r="GG23" s="35">
        <v>2016</v>
      </c>
      <c r="GH23" s="35">
        <v>2017</v>
      </c>
      <c r="GI23" s="35">
        <v>2017</v>
      </c>
      <c r="GJ23" s="35">
        <v>2017</v>
      </c>
      <c r="GK23" s="35">
        <v>2017</v>
      </c>
      <c r="GL23" s="35">
        <v>2018</v>
      </c>
      <c r="GM23" s="35">
        <v>2018</v>
      </c>
      <c r="GN23" s="35">
        <v>2018</v>
      </c>
      <c r="GO23" s="35">
        <v>2018</v>
      </c>
      <c r="GP23" s="35">
        <v>2019</v>
      </c>
      <c r="GQ23" s="35">
        <v>2019</v>
      </c>
      <c r="GR23" s="35">
        <v>2019</v>
      </c>
      <c r="GS23" s="35">
        <v>2019</v>
      </c>
      <c r="GT23" s="35">
        <v>2020</v>
      </c>
      <c r="GU23" s="35">
        <v>2020</v>
      </c>
      <c r="GV23" s="35">
        <v>2020</v>
      </c>
      <c r="GW23" s="35">
        <v>2020</v>
      </c>
      <c r="GX23" s="35">
        <v>2021</v>
      </c>
      <c r="GY23" s="35">
        <v>2021</v>
      </c>
      <c r="GZ23" s="35">
        <v>2021</v>
      </c>
      <c r="HA23" s="35">
        <v>2021</v>
      </c>
      <c r="HB23" s="35">
        <v>2022</v>
      </c>
      <c r="HC23" s="35">
        <v>2022</v>
      </c>
      <c r="HD23" s="35">
        <v>2022</v>
      </c>
      <c r="HE23" s="35">
        <v>2022</v>
      </c>
      <c r="HF23" s="35">
        <v>2023</v>
      </c>
      <c r="HG23" s="35">
        <v>2023</v>
      </c>
      <c r="HH23" s="35">
        <v>2023</v>
      </c>
      <c r="HI23" s="35">
        <v>2023</v>
      </c>
      <c r="HJ23" s="35">
        <v>2024</v>
      </c>
      <c r="HK23" s="35">
        <v>2024</v>
      </c>
      <c r="HL23" s="35">
        <v>2024</v>
      </c>
      <c r="HM23" s="35">
        <v>2024</v>
      </c>
      <c r="HN23" s="35">
        <v>2025</v>
      </c>
      <c r="HO23" s="35">
        <v>2025</v>
      </c>
      <c r="HP23" s="35">
        <v>2025</v>
      </c>
      <c r="HQ23" s="35">
        <v>2025</v>
      </c>
      <c r="HR23" s="35">
        <v>2026</v>
      </c>
    </row>
    <row r="24" spans="1:226">
      <c r="A24" s="34" t="s">
        <v>1595</v>
      </c>
      <c r="B24" s="35">
        <v>1</v>
      </c>
      <c r="C24" s="35">
        <v>2</v>
      </c>
      <c r="D24" s="35">
        <v>3</v>
      </c>
      <c r="E24" s="35">
        <v>4</v>
      </c>
      <c r="F24" s="35">
        <v>1</v>
      </c>
      <c r="G24" s="35">
        <v>2</v>
      </c>
      <c r="H24" s="35">
        <v>3</v>
      </c>
      <c r="I24" s="35">
        <v>4</v>
      </c>
      <c r="J24" s="35">
        <v>1</v>
      </c>
      <c r="K24" s="35">
        <v>2</v>
      </c>
      <c r="L24" s="35">
        <v>3</v>
      </c>
      <c r="M24" s="35">
        <v>4</v>
      </c>
      <c r="N24" s="35">
        <v>1</v>
      </c>
      <c r="O24" s="35">
        <v>2</v>
      </c>
      <c r="P24" s="35">
        <v>3</v>
      </c>
      <c r="Q24" s="35">
        <v>4</v>
      </c>
      <c r="R24" s="35">
        <v>1</v>
      </c>
      <c r="S24" s="35">
        <v>2</v>
      </c>
      <c r="T24" s="35">
        <v>3</v>
      </c>
      <c r="U24" s="35">
        <v>4</v>
      </c>
      <c r="V24" s="35">
        <v>1</v>
      </c>
      <c r="W24" s="35">
        <v>2</v>
      </c>
      <c r="X24" s="35">
        <v>3</v>
      </c>
      <c r="Y24" s="35">
        <v>4</v>
      </c>
      <c r="Z24" s="35">
        <v>1</v>
      </c>
      <c r="AA24" s="35">
        <v>2</v>
      </c>
      <c r="AB24" s="35">
        <v>3</v>
      </c>
      <c r="AC24" s="35">
        <v>4</v>
      </c>
      <c r="AD24" s="35">
        <v>1</v>
      </c>
      <c r="AE24" s="35">
        <v>2</v>
      </c>
      <c r="AF24" s="35">
        <v>3</v>
      </c>
      <c r="AG24" s="35">
        <v>4</v>
      </c>
      <c r="AH24" s="35">
        <v>1</v>
      </c>
      <c r="AI24" s="35">
        <v>2</v>
      </c>
      <c r="AJ24" s="35">
        <v>3</v>
      </c>
      <c r="AK24" s="35">
        <v>4</v>
      </c>
      <c r="AL24" s="35">
        <v>1</v>
      </c>
      <c r="AM24" s="35">
        <v>2</v>
      </c>
      <c r="AN24" s="35">
        <v>3</v>
      </c>
      <c r="AO24" s="35">
        <v>4</v>
      </c>
      <c r="AP24" s="35">
        <v>1</v>
      </c>
      <c r="AQ24" s="35">
        <v>2</v>
      </c>
      <c r="AR24" s="35">
        <v>3</v>
      </c>
      <c r="AS24" s="35">
        <v>4</v>
      </c>
      <c r="AT24" s="35">
        <v>1</v>
      </c>
      <c r="AU24" s="35">
        <v>2</v>
      </c>
      <c r="AV24" s="35">
        <v>3</v>
      </c>
      <c r="AW24" s="35">
        <v>4</v>
      </c>
      <c r="AX24" s="35">
        <v>1</v>
      </c>
      <c r="AY24" s="35">
        <v>2</v>
      </c>
      <c r="AZ24" s="35">
        <v>3</v>
      </c>
      <c r="BA24" s="35">
        <v>4</v>
      </c>
      <c r="BB24" s="35">
        <v>1</v>
      </c>
      <c r="BC24" s="35">
        <v>2</v>
      </c>
      <c r="BD24" s="35">
        <v>3</v>
      </c>
      <c r="BE24" s="35">
        <v>4</v>
      </c>
      <c r="BF24" s="35">
        <v>1</v>
      </c>
      <c r="BG24" s="35">
        <v>2</v>
      </c>
      <c r="BH24" s="35">
        <v>3</v>
      </c>
      <c r="BI24" s="35">
        <v>4</v>
      </c>
      <c r="BJ24" s="35">
        <v>1</v>
      </c>
      <c r="BK24" s="35">
        <v>2</v>
      </c>
      <c r="BL24" s="35">
        <v>3</v>
      </c>
      <c r="BM24" s="35">
        <v>4</v>
      </c>
      <c r="BN24" s="35">
        <v>1</v>
      </c>
      <c r="BO24" s="35">
        <v>2</v>
      </c>
      <c r="BP24" s="35">
        <v>3</v>
      </c>
      <c r="BQ24" s="35">
        <v>4</v>
      </c>
      <c r="BR24" s="35">
        <v>1</v>
      </c>
      <c r="BS24" s="35">
        <v>2</v>
      </c>
      <c r="BT24" s="35">
        <v>3</v>
      </c>
      <c r="BU24" s="35">
        <v>4</v>
      </c>
      <c r="BV24" s="35">
        <v>1</v>
      </c>
      <c r="BW24" s="35">
        <v>2</v>
      </c>
      <c r="BX24" s="35">
        <v>3</v>
      </c>
      <c r="BY24" s="35">
        <v>4</v>
      </c>
      <c r="BZ24" s="35">
        <v>1</v>
      </c>
      <c r="CA24" s="35">
        <v>2</v>
      </c>
      <c r="CB24" s="35">
        <v>3</v>
      </c>
      <c r="CC24" s="35">
        <v>4</v>
      </c>
      <c r="CD24" s="35">
        <v>1</v>
      </c>
      <c r="CE24" s="35">
        <v>2</v>
      </c>
      <c r="CF24" s="35">
        <v>3</v>
      </c>
      <c r="CG24" s="35">
        <v>4</v>
      </c>
      <c r="CH24" s="35">
        <v>1</v>
      </c>
      <c r="CI24" s="35">
        <v>2</v>
      </c>
      <c r="CJ24" s="35">
        <v>3</v>
      </c>
      <c r="CK24" s="35">
        <v>4</v>
      </c>
      <c r="CL24" s="35">
        <v>1</v>
      </c>
      <c r="CM24" s="35">
        <v>2</v>
      </c>
      <c r="CN24" s="35">
        <v>3</v>
      </c>
      <c r="CO24" s="35">
        <v>4</v>
      </c>
      <c r="CP24" s="35">
        <v>1</v>
      </c>
      <c r="CQ24" s="35">
        <v>2</v>
      </c>
      <c r="CR24" s="35">
        <v>3</v>
      </c>
      <c r="CS24" s="35">
        <v>4</v>
      </c>
      <c r="CT24" s="35">
        <v>1</v>
      </c>
      <c r="CU24" s="35">
        <v>2</v>
      </c>
      <c r="CV24" s="35">
        <v>3</v>
      </c>
      <c r="CW24" s="35">
        <v>4</v>
      </c>
      <c r="CX24" s="35">
        <v>1</v>
      </c>
      <c r="CY24" s="35">
        <v>2</v>
      </c>
      <c r="CZ24" s="35">
        <v>3</v>
      </c>
      <c r="DA24" s="35">
        <v>4</v>
      </c>
      <c r="DB24" s="35">
        <v>1</v>
      </c>
      <c r="DC24" s="35">
        <v>2</v>
      </c>
      <c r="DD24" s="35">
        <v>3</v>
      </c>
      <c r="DE24" s="35">
        <v>4</v>
      </c>
      <c r="DF24" s="35">
        <v>1</v>
      </c>
      <c r="DG24" s="35">
        <v>2</v>
      </c>
      <c r="DH24" s="35">
        <v>3</v>
      </c>
      <c r="DI24" s="35">
        <v>4</v>
      </c>
      <c r="DJ24" s="35">
        <v>1</v>
      </c>
      <c r="DK24" s="35">
        <v>2</v>
      </c>
      <c r="DL24" s="35">
        <v>3</v>
      </c>
      <c r="DM24" s="35">
        <v>4</v>
      </c>
      <c r="DN24" s="35">
        <v>1</v>
      </c>
      <c r="DO24" s="35">
        <v>2</v>
      </c>
      <c r="DP24" s="35">
        <v>3</v>
      </c>
      <c r="DQ24" s="35">
        <v>4</v>
      </c>
      <c r="DR24" s="35">
        <v>1</v>
      </c>
      <c r="DS24" s="35">
        <v>2</v>
      </c>
      <c r="DT24" s="35">
        <v>3</v>
      </c>
      <c r="DU24" s="35">
        <v>4</v>
      </c>
      <c r="DV24" s="35">
        <v>1</v>
      </c>
      <c r="DW24" s="35">
        <v>2</v>
      </c>
      <c r="DX24" s="35">
        <v>3</v>
      </c>
      <c r="DY24" s="35">
        <v>4</v>
      </c>
      <c r="DZ24" s="35">
        <v>1</v>
      </c>
      <c r="EA24" s="35">
        <v>2</v>
      </c>
      <c r="EB24" s="35">
        <v>3</v>
      </c>
      <c r="EC24" s="35">
        <v>4</v>
      </c>
      <c r="ED24" s="35">
        <v>1</v>
      </c>
      <c r="EE24" s="35">
        <v>2</v>
      </c>
      <c r="EF24" s="35">
        <v>3</v>
      </c>
      <c r="EG24" s="35">
        <v>4</v>
      </c>
      <c r="EH24" s="35">
        <v>1</v>
      </c>
      <c r="EI24" s="35">
        <v>2</v>
      </c>
      <c r="EJ24" s="35">
        <v>3</v>
      </c>
      <c r="EK24" s="35">
        <v>4</v>
      </c>
      <c r="EL24" s="35">
        <v>1</v>
      </c>
      <c r="EM24" s="35">
        <v>2</v>
      </c>
      <c r="EN24" s="35">
        <v>3</v>
      </c>
      <c r="EO24" s="35">
        <v>4</v>
      </c>
      <c r="EP24" s="35">
        <v>1</v>
      </c>
      <c r="EQ24" s="35">
        <v>2</v>
      </c>
      <c r="ER24" s="35">
        <v>3</v>
      </c>
      <c r="ES24" s="35">
        <v>4</v>
      </c>
      <c r="ET24" s="35">
        <v>1</v>
      </c>
      <c r="EU24" s="35">
        <v>2</v>
      </c>
      <c r="EV24" s="35">
        <v>3</v>
      </c>
      <c r="EW24" s="35">
        <v>4</v>
      </c>
      <c r="EX24" s="35">
        <v>1</v>
      </c>
      <c r="EY24" s="35">
        <v>2</v>
      </c>
      <c r="EZ24" s="35">
        <v>3</v>
      </c>
      <c r="FA24" s="35">
        <v>4</v>
      </c>
      <c r="FB24" s="35">
        <v>1</v>
      </c>
      <c r="FC24" s="35">
        <v>2</v>
      </c>
      <c r="FD24" s="35">
        <v>3</v>
      </c>
      <c r="FE24" s="35">
        <v>4</v>
      </c>
      <c r="FF24" s="35">
        <v>1</v>
      </c>
      <c r="FG24" s="35">
        <v>2</v>
      </c>
      <c r="FH24" s="35">
        <v>3</v>
      </c>
      <c r="FI24" s="35">
        <v>4</v>
      </c>
      <c r="FJ24" s="35">
        <v>1</v>
      </c>
      <c r="FK24" s="35">
        <v>2</v>
      </c>
      <c r="FL24" s="35">
        <v>3</v>
      </c>
      <c r="FM24" s="35">
        <v>4</v>
      </c>
      <c r="FN24" s="35">
        <v>1</v>
      </c>
      <c r="FO24" s="35">
        <v>2</v>
      </c>
      <c r="FP24" s="35">
        <v>3</v>
      </c>
      <c r="FQ24" s="35">
        <v>4</v>
      </c>
      <c r="FR24" s="35">
        <v>1</v>
      </c>
      <c r="FS24" s="35">
        <v>2</v>
      </c>
      <c r="FT24" s="35">
        <v>3</v>
      </c>
      <c r="FU24" s="35">
        <v>4</v>
      </c>
      <c r="FV24" s="35">
        <v>1</v>
      </c>
      <c r="FW24" s="35">
        <v>2</v>
      </c>
      <c r="FX24" s="35">
        <v>3</v>
      </c>
      <c r="FY24" s="35">
        <v>4</v>
      </c>
      <c r="FZ24" s="35">
        <v>1</v>
      </c>
      <c r="GA24" s="35">
        <v>2</v>
      </c>
      <c r="GB24" s="35">
        <v>3</v>
      </c>
      <c r="GC24" s="35">
        <v>4</v>
      </c>
      <c r="GD24" s="35">
        <v>1</v>
      </c>
      <c r="GE24" s="35">
        <v>2</v>
      </c>
      <c r="GF24" s="35">
        <v>3</v>
      </c>
      <c r="GG24" s="35">
        <v>4</v>
      </c>
      <c r="GH24" s="35">
        <v>1</v>
      </c>
      <c r="GI24" s="35">
        <v>2</v>
      </c>
      <c r="GJ24" s="35">
        <v>3</v>
      </c>
      <c r="GK24" s="35">
        <v>4</v>
      </c>
      <c r="GL24" s="35">
        <v>1</v>
      </c>
      <c r="GM24" s="35">
        <v>2</v>
      </c>
      <c r="GN24" s="35">
        <v>3</v>
      </c>
      <c r="GO24" s="35">
        <v>4</v>
      </c>
      <c r="GP24" s="35">
        <v>1</v>
      </c>
      <c r="GQ24" s="35">
        <v>2</v>
      </c>
      <c r="GR24" s="35">
        <v>3</v>
      </c>
      <c r="GS24" s="35">
        <v>4</v>
      </c>
      <c r="GT24" s="35">
        <v>1</v>
      </c>
      <c r="GU24" s="35">
        <v>2</v>
      </c>
      <c r="GV24" s="35">
        <v>3</v>
      </c>
      <c r="GW24" s="35">
        <v>4</v>
      </c>
      <c r="GX24" s="35">
        <v>1</v>
      </c>
      <c r="GY24" s="35">
        <v>2</v>
      </c>
      <c r="GZ24" s="35">
        <v>3</v>
      </c>
      <c r="HA24" s="35">
        <v>4</v>
      </c>
      <c r="HB24" s="35">
        <v>1</v>
      </c>
      <c r="HC24" s="35">
        <v>2</v>
      </c>
      <c r="HD24" s="35">
        <v>3</v>
      </c>
      <c r="HE24" s="35">
        <v>4</v>
      </c>
      <c r="HF24" s="35">
        <v>1</v>
      </c>
      <c r="HG24" s="35">
        <v>2</v>
      </c>
      <c r="HH24" s="35">
        <v>3</v>
      </c>
      <c r="HI24" s="35">
        <v>4</v>
      </c>
      <c r="HJ24" s="35">
        <v>1</v>
      </c>
      <c r="HK24" s="35">
        <v>2</v>
      </c>
      <c r="HL24" s="35">
        <v>3</v>
      </c>
      <c r="HM24" s="35">
        <v>4</v>
      </c>
      <c r="HN24" s="35">
        <v>1</v>
      </c>
      <c r="HO24" s="35">
        <v>2</v>
      </c>
      <c r="HP24" s="35">
        <v>3</v>
      </c>
      <c r="HQ24" s="35">
        <v>4</v>
      </c>
      <c r="HR24" s="35">
        <v>1</v>
      </c>
    </row>
    <row r="25" spans="1:226">
      <c r="A25" s="36" t="s">
        <v>1596</v>
      </c>
      <c r="B25" s="37" t="s">
        <v>1597</v>
      </c>
      <c r="C25" s="37">
        <v>2.9851000000000001</v>
      </c>
      <c r="D25" s="37">
        <v>3.7037</v>
      </c>
      <c r="E25" s="37">
        <v>3.5413999999999999</v>
      </c>
      <c r="F25" s="37">
        <v>3.5303</v>
      </c>
      <c r="G25" s="37">
        <v>3.4163999999999999</v>
      </c>
      <c r="H25" s="37">
        <v>3.1358999999999999</v>
      </c>
      <c r="I25" s="37">
        <v>3.4194</v>
      </c>
      <c r="J25" s="37">
        <v>3.5392000000000001</v>
      </c>
      <c r="K25" s="37">
        <v>3.3858000000000001</v>
      </c>
      <c r="L25" s="37">
        <v>3.6128</v>
      </c>
      <c r="M25" s="37">
        <v>3.6999</v>
      </c>
      <c r="N25" s="37">
        <v>3.7608999999999999</v>
      </c>
      <c r="O25" s="37">
        <v>3.7723</v>
      </c>
      <c r="P25" s="37">
        <v>4.0998999999999999</v>
      </c>
      <c r="Q25" s="37">
        <v>5.3651</v>
      </c>
      <c r="R25" s="37">
        <v>5.6521999999999997</v>
      </c>
      <c r="S25" s="37">
        <v>5.6125999999999996</v>
      </c>
      <c r="T25" s="37" t="s">
        <v>1597</v>
      </c>
      <c r="U25" s="37">
        <v>7.6814</v>
      </c>
      <c r="V25" s="37">
        <v>7.2412000000000001</v>
      </c>
      <c r="W25" s="37">
        <v>5.5917000000000003</v>
      </c>
      <c r="X25" s="37">
        <v>5.9454000000000002</v>
      </c>
      <c r="Y25" s="37">
        <v>6.2087000000000003</v>
      </c>
      <c r="Z25" s="37">
        <v>6.1832000000000003</v>
      </c>
      <c r="AA25" s="37">
        <v>5.9001999999999999</v>
      </c>
      <c r="AB25" s="37">
        <v>6.0549999999999997</v>
      </c>
      <c r="AC25" s="37">
        <v>5.7290000000000001</v>
      </c>
      <c r="AD25" s="37">
        <v>5.6440000000000001</v>
      </c>
      <c r="AE25" s="37">
        <v>6.2678000000000003</v>
      </c>
      <c r="AF25" s="37">
        <v>5.8989000000000003</v>
      </c>
      <c r="AG25" s="37">
        <v>5.9557000000000002</v>
      </c>
      <c r="AH25" s="37">
        <v>5.9043999999999999</v>
      </c>
      <c r="AI25" s="37">
        <v>6.5327000000000002</v>
      </c>
      <c r="AJ25" s="37">
        <v>6.9055</v>
      </c>
      <c r="AK25" s="37">
        <v>7.0926999999999998</v>
      </c>
      <c r="AL25" s="37">
        <v>7.3262</v>
      </c>
      <c r="AM25" s="37">
        <v>7.9278000000000004</v>
      </c>
      <c r="AN25" s="37">
        <v>8.0251000000000001</v>
      </c>
      <c r="AO25" s="37">
        <v>8.1870999999999992</v>
      </c>
      <c r="AP25" s="37">
        <v>8.6957000000000004</v>
      </c>
      <c r="AQ25" s="37">
        <v>8.8415999999999997</v>
      </c>
      <c r="AR25" s="37">
        <v>8.9339999999999993</v>
      </c>
      <c r="AS25" s="37">
        <v>9.3725000000000005</v>
      </c>
      <c r="AT25" s="37">
        <v>9.0618999999999996</v>
      </c>
      <c r="AU25" s="37">
        <v>8.6786999999999992</v>
      </c>
      <c r="AV25" s="37">
        <v>7.8029000000000002</v>
      </c>
      <c r="AW25" s="37">
        <v>7.5187999999999997</v>
      </c>
      <c r="AX25" s="37">
        <v>7.0197000000000003</v>
      </c>
      <c r="AY25" s="37">
        <v>6.2378</v>
      </c>
      <c r="AZ25" s="37">
        <v>5.8738999999999999</v>
      </c>
      <c r="BA25" s="37">
        <v>5.5898000000000003</v>
      </c>
      <c r="BB25" s="37">
        <v>5.0011999999999999</v>
      </c>
      <c r="BC25" s="37">
        <v>4.8236999999999997</v>
      </c>
      <c r="BD25" s="37">
        <v>4.9493999999999998</v>
      </c>
      <c r="BE25" s="37">
        <v>5.5327000000000002</v>
      </c>
      <c r="BF25" s="37">
        <v>4.9774000000000003</v>
      </c>
      <c r="BG25" s="37">
        <v>5.3811999999999998</v>
      </c>
      <c r="BH25" s="37">
        <v>4.7460000000000004</v>
      </c>
      <c r="BI25" s="37">
        <v>4.4131</v>
      </c>
      <c r="BJ25" s="37">
        <v>3.9929999999999999</v>
      </c>
      <c r="BK25" s="37">
        <v>4.3289999999999997</v>
      </c>
      <c r="BL25" s="37">
        <v>4.2131999999999996</v>
      </c>
      <c r="BM25" s="37">
        <v>3.9744000000000002</v>
      </c>
      <c r="BN25" s="37">
        <v>3.3332999999999999</v>
      </c>
      <c r="BO25" s="37">
        <v>3.1524000000000001</v>
      </c>
      <c r="BP25" s="37">
        <v>2.6154999999999999</v>
      </c>
      <c r="BQ25" s="37">
        <v>3.1114999999999999</v>
      </c>
      <c r="BR25" s="37">
        <v>3.7037</v>
      </c>
      <c r="BS25" s="37">
        <v>3.9182000000000001</v>
      </c>
      <c r="BT25" s="37">
        <v>4.1420000000000003</v>
      </c>
      <c r="BU25" s="37">
        <v>3.6194999999999999</v>
      </c>
      <c r="BV25" s="37">
        <v>3.7610000000000001</v>
      </c>
      <c r="BW25" s="37">
        <v>3.9434999999999998</v>
      </c>
      <c r="BX25" s="37">
        <v>4.1837999999999997</v>
      </c>
      <c r="BY25" s="37">
        <v>4.3689</v>
      </c>
      <c r="BZ25" s="37">
        <v>4.5564</v>
      </c>
      <c r="CA25" s="37">
        <v>4.5777000000000001</v>
      </c>
      <c r="CB25" s="37">
        <v>4.3205</v>
      </c>
      <c r="CC25" s="37">
        <v>3.9843999999999999</v>
      </c>
      <c r="CD25" s="37">
        <v>4.0217000000000001</v>
      </c>
      <c r="CE25" s="37">
        <v>3.8168000000000002</v>
      </c>
      <c r="CF25" s="37">
        <v>4.3840000000000003</v>
      </c>
      <c r="CG25" s="37">
        <v>4.2648999999999999</v>
      </c>
      <c r="CH25" s="37">
        <v>3.4944000000000002</v>
      </c>
      <c r="CI25" s="37">
        <v>3.3824000000000001</v>
      </c>
      <c r="CJ25" s="37">
        <v>3.3527999999999998</v>
      </c>
      <c r="CK25" s="37">
        <v>3.1930000000000001</v>
      </c>
      <c r="CL25" s="37">
        <v>3.2498</v>
      </c>
      <c r="CM25" s="37">
        <v>3.1074000000000002</v>
      </c>
      <c r="CN25" s="37">
        <v>2.7909000000000002</v>
      </c>
      <c r="CO25" s="37">
        <v>2.7065999999999999</v>
      </c>
      <c r="CP25" s="37">
        <v>2.7801999999999998</v>
      </c>
      <c r="CQ25" s="37">
        <v>2.7557999999999998</v>
      </c>
      <c r="CR25" s="37">
        <v>3.0522</v>
      </c>
      <c r="CS25" s="37">
        <v>2.8332000000000002</v>
      </c>
      <c r="CT25" s="37">
        <v>2.7631000000000001</v>
      </c>
      <c r="CU25" s="37">
        <v>2.8923999999999999</v>
      </c>
      <c r="CV25" s="37">
        <v>3.0516999999999999</v>
      </c>
      <c r="CW25" s="37">
        <v>3.1029</v>
      </c>
      <c r="CX25" s="37">
        <v>2.8929</v>
      </c>
      <c r="CY25" s="37">
        <v>2.9361999999999999</v>
      </c>
      <c r="CZ25" s="37">
        <v>2.5676999999999999</v>
      </c>
      <c r="DA25" s="37">
        <v>2.3504999999999998</v>
      </c>
      <c r="DB25" s="37">
        <v>2.3622999999999998</v>
      </c>
      <c r="DC25" s="37">
        <v>2.5023</v>
      </c>
      <c r="DD25" s="37">
        <v>2.5049999999999999</v>
      </c>
      <c r="DE25" s="37">
        <v>2.5649999999999999</v>
      </c>
      <c r="DF25" s="37">
        <v>2.5781999999999998</v>
      </c>
      <c r="DG25" s="37">
        <v>2.423</v>
      </c>
      <c r="DH25" s="37">
        <v>2.4550000000000001</v>
      </c>
      <c r="DI25" s="37">
        <v>2.2968000000000002</v>
      </c>
      <c r="DJ25" s="37">
        <v>2.2338</v>
      </c>
      <c r="DK25" s="37">
        <v>2.0482999999999998</v>
      </c>
      <c r="DL25" s="37">
        <v>2.0345</v>
      </c>
      <c r="DM25" s="37">
        <v>1.8525</v>
      </c>
      <c r="DN25" s="37">
        <v>1.5446</v>
      </c>
      <c r="DO25" s="37">
        <v>1.7404999999999999</v>
      </c>
      <c r="DP25" s="37">
        <v>1.8674999999999999</v>
      </c>
      <c r="DQ25" s="37">
        <v>1.8129999999999999</v>
      </c>
      <c r="DR25" s="37">
        <v>1.9881</v>
      </c>
      <c r="DS25" s="37">
        <v>2.2149999999999999</v>
      </c>
      <c r="DT25" s="37">
        <v>2.3742999999999999</v>
      </c>
      <c r="DU25" s="37">
        <v>2.2595000000000001</v>
      </c>
      <c r="DV25" s="37">
        <v>2.1217999999999999</v>
      </c>
      <c r="DW25" s="37">
        <v>2.0695999999999999</v>
      </c>
      <c r="DX25" s="37">
        <v>2.0891000000000002</v>
      </c>
      <c r="DY25" s="37">
        <v>1.7377</v>
      </c>
      <c r="DZ25" s="37">
        <v>1.7831999999999999</v>
      </c>
      <c r="EA25" s="37">
        <v>1.9280999999999999</v>
      </c>
      <c r="EB25" s="37">
        <v>1.8935999999999999</v>
      </c>
      <c r="EC25" s="37">
        <v>1.9253</v>
      </c>
      <c r="ED25" s="37">
        <v>1.8409</v>
      </c>
      <c r="EE25" s="37">
        <v>1.7747999999999999</v>
      </c>
      <c r="EF25" s="37">
        <v>1.7225999999999999</v>
      </c>
      <c r="EG25" s="37">
        <v>1.7551000000000001</v>
      </c>
      <c r="EH25" s="37">
        <v>1.5686</v>
      </c>
      <c r="EI25" s="37">
        <v>1.8331</v>
      </c>
      <c r="EJ25" s="37">
        <v>2.1528</v>
      </c>
      <c r="EK25" s="37">
        <v>1.9992000000000001</v>
      </c>
      <c r="EL25" s="37">
        <v>1.9775</v>
      </c>
      <c r="EM25" s="37">
        <v>2.2313000000000001</v>
      </c>
      <c r="EN25" s="37">
        <v>2.2452000000000001</v>
      </c>
      <c r="EO25" s="37">
        <v>2.1876000000000002</v>
      </c>
      <c r="EP25" s="37">
        <v>2.1911</v>
      </c>
      <c r="EQ25" s="37">
        <v>2.2606000000000002</v>
      </c>
      <c r="ER25" s="37">
        <v>2.3919000000000001</v>
      </c>
      <c r="ES25" s="37">
        <v>2.2698</v>
      </c>
      <c r="ET25" s="37">
        <v>2.1312000000000002</v>
      </c>
      <c r="EU25" s="37">
        <v>2.2921999999999998</v>
      </c>
      <c r="EV25" s="37">
        <v>2.2673000000000001</v>
      </c>
      <c r="EW25" s="37">
        <v>2.2425000000000002</v>
      </c>
      <c r="EX25" s="37">
        <v>2.2444999999999999</v>
      </c>
      <c r="EY25" s="37">
        <v>2.3917000000000002</v>
      </c>
      <c r="EZ25" s="37">
        <v>2.2277</v>
      </c>
      <c r="FA25" s="37">
        <v>1.9411</v>
      </c>
      <c r="FB25" s="37">
        <v>1.2529999999999999</v>
      </c>
      <c r="FC25" s="37">
        <v>1.4694</v>
      </c>
      <c r="FD25" s="37">
        <v>1.4576</v>
      </c>
      <c r="FE25" s="37">
        <v>1.4816</v>
      </c>
      <c r="FF25" s="37">
        <v>1.5317000000000001</v>
      </c>
      <c r="FG25" s="37">
        <v>1.6557999999999999</v>
      </c>
      <c r="FH25" s="37">
        <v>1.5025999999999999</v>
      </c>
      <c r="FI25" s="37">
        <v>1.522</v>
      </c>
      <c r="FJ25" s="37">
        <v>1.5032000000000001</v>
      </c>
      <c r="FK25" s="37">
        <v>1.7729999999999999</v>
      </c>
      <c r="FL25" s="37">
        <v>1.8874</v>
      </c>
      <c r="FM25" s="37">
        <v>1.9301999999999999</v>
      </c>
      <c r="FN25" s="37">
        <v>1.7483</v>
      </c>
      <c r="FO25" s="37">
        <v>1.9376</v>
      </c>
      <c r="FP25" s="37">
        <v>1.8588</v>
      </c>
      <c r="FQ25" s="37">
        <v>1.9932000000000001</v>
      </c>
      <c r="FR25" s="37">
        <v>1.9262999999999999</v>
      </c>
      <c r="FS25" s="37">
        <v>1.8684000000000001</v>
      </c>
      <c r="FT25" s="37">
        <v>1.8130999999999999</v>
      </c>
      <c r="FU25" s="37">
        <v>1.8067</v>
      </c>
      <c r="FV25" s="37">
        <v>1.8391999999999999</v>
      </c>
      <c r="FW25" s="37">
        <v>1.8751</v>
      </c>
      <c r="FX25" s="37">
        <v>1.966</v>
      </c>
      <c r="FY25" s="37">
        <v>1.8653999999999999</v>
      </c>
      <c r="FZ25" s="37">
        <v>1.7706999999999999</v>
      </c>
      <c r="GA25" s="37">
        <v>1.8144</v>
      </c>
      <c r="GB25" s="37">
        <v>1.7656000000000001</v>
      </c>
      <c r="GC25" s="37">
        <v>1.8526</v>
      </c>
      <c r="GD25" s="37">
        <v>1.8085</v>
      </c>
      <c r="GE25" s="37">
        <v>1.8686</v>
      </c>
      <c r="GF25" s="37">
        <v>1.8892</v>
      </c>
      <c r="GG25" s="37">
        <v>1.9401999999999999</v>
      </c>
      <c r="GH25" s="37">
        <v>2.1025</v>
      </c>
      <c r="GI25" s="37">
        <v>2.0102000000000002</v>
      </c>
      <c r="GJ25" s="37">
        <v>1.9432</v>
      </c>
      <c r="GK25" s="37">
        <v>1.998</v>
      </c>
      <c r="GL25" s="37">
        <v>2.0365000000000002</v>
      </c>
      <c r="GM25" s="37">
        <v>2.1011000000000002</v>
      </c>
      <c r="GN25" s="37">
        <v>2.2248999999999999</v>
      </c>
      <c r="GO25" s="37">
        <v>2.2151000000000001</v>
      </c>
      <c r="GP25" s="37">
        <v>2.1038000000000001</v>
      </c>
      <c r="GQ25" s="37">
        <v>2.0131000000000001</v>
      </c>
      <c r="GR25" s="37">
        <v>1.9786999999999999</v>
      </c>
      <c r="GS25" s="37">
        <v>1.9404999999999999</v>
      </c>
      <c r="GT25" s="37">
        <v>1.9268000000000001</v>
      </c>
      <c r="GU25" s="37">
        <v>1.3731</v>
      </c>
      <c r="GV25" s="37">
        <v>1.5176000000000001</v>
      </c>
      <c r="GW25" s="37">
        <v>1.8720000000000001</v>
      </c>
      <c r="GX25" s="37">
        <v>1.9533</v>
      </c>
      <c r="GY25" s="37">
        <v>2.3090999999999999</v>
      </c>
      <c r="GZ25" s="37">
        <v>2.2511999999999999</v>
      </c>
      <c r="HA25" s="37">
        <v>2.5708000000000002</v>
      </c>
      <c r="HB25" s="37">
        <v>2.8054000000000001</v>
      </c>
      <c r="HC25" s="37">
        <v>3.0388000000000002</v>
      </c>
      <c r="HD25" s="37">
        <v>3.0528</v>
      </c>
      <c r="HE25" s="37">
        <v>2.9611999999999998</v>
      </c>
      <c r="HF25" s="37">
        <v>2.6903000000000001</v>
      </c>
      <c r="HG25" s="37">
        <v>2.5348999999999999</v>
      </c>
      <c r="HH25" s="37">
        <v>2.5076999999999998</v>
      </c>
      <c r="HI25" s="37">
        <v>2.2604000000000002</v>
      </c>
      <c r="HJ25" s="37">
        <v>2.1057999999999999</v>
      </c>
      <c r="HK25" s="37">
        <v>2.1943999999999999</v>
      </c>
      <c r="HL25" s="37">
        <v>2.1438999999999999</v>
      </c>
      <c r="HM25" s="37">
        <v>2.2161</v>
      </c>
      <c r="HN25" s="37">
        <v>2.5430999999999999</v>
      </c>
      <c r="HO25" s="37">
        <v>2.8119999999999998</v>
      </c>
      <c r="HP25" s="37">
        <v>2.3471000000000002</v>
      </c>
      <c r="HQ25" s="37">
        <v>2.4754</v>
      </c>
      <c r="HR25" s="37">
        <v>2.5636000000000001</v>
      </c>
    </row>
    <row r="26" spans="1:226">
      <c r="A26" s="36" t="s">
        <v>1598</v>
      </c>
      <c r="B26" s="37" t="s">
        <v>1597</v>
      </c>
      <c r="C26" s="37" t="s">
        <v>1597</v>
      </c>
      <c r="D26" s="37" t="s">
        <v>1597</v>
      </c>
      <c r="E26" s="37" t="s">
        <v>1597</v>
      </c>
      <c r="F26" s="37" t="s">
        <v>1597</v>
      </c>
      <c r="G26" s="37" t="s">
        <v>1597</v>
      </c>
      <c r="H26" s="37" t="s">
        <v>1597</v>
      </c>
      <c r="I26" s="37" t="s">
        <v>1597</v>
      </c>
      <c r="J26" s="37" t="s">
        <v>1597</v>
      </c>
      <c r="K26" s="37" t="s">
        <v>1597</v>
      </c>
      <c r="L26" s="37" t="s">
        <v>1597</v>
      </c>
      <c r="M26" s="37" t="s">
        <v>1597</v>
      </c>
      <c r="N26" s="37" t="s">
        <v>1597</v>
      </c>
      <c r="O26" s="37" t="s">
        <v>1597</v>
      </c>
      <c r="P26" s="37" t="s">
        <v>1597</v>
      </c>
      <c r="Q26" s="37" t="s">
        <v>1597</v>
      </c>
      <c r="R26" s="37" t="s">
        <v>1597</v>
      </c>
      <c r="S26" s="37" t="s">
        <v>1597</v>
      </c>
      <c r="T26" s="37" t="s">
        <v>1597</v>
      </c>
      <c r="U26" s="37" t="s">
        <v>1597</v>
      </c>
      <c r="V26" s="37" t="s">
        <v>1597</v>
      </c>
      <c r="W26" s="37" t="s">
        <v>1597</v>
      </c>
      <c r="X26" s="37" t="s">
        <v>1597</v>
      </c>
      <c r="Y26" s="37" t="s">
        <v>1597</v>
      </c>
      <c r="Z26" s="37" t="s">
        <v>1597</v>
      </c>
      <c r="AA26" s="37" t="s">
        <v>1597</v>
      </c>
      <c r="AB26" s="37" t="s">
        <v>1597</v>
      </c>
      <c r="AC26" s="37" t="s">
        <v>1597</v>
      </c>
      <c r="AD26" s="37" t="s">
        <v>1597</v>
      </c>
      <c r="AE26" s="37" t="s">
        <v>1597</v>
      </c>
      <c r="AF26" s="37" t="s">
        <v>1597</v>
      </c>
      <c r="AG26" s="37" t="s">
        <v>1597</v>
      </c>
      <c r="AH26" s="37" t="s">
        <v>1597</v>
      </c>
      <c r="AI26" s="37" t="s">
        <v>1597</v>
      </c>
      <c r="AJ26" s="37" t="s">
        <v>1597</v>
      </c>
      <c r="AK26" s="37" t="s">
        <v>1597</v>
      </c>
      <c r="AL26" s="37" t="s">
        <v>1597</v>
      </c>
      <c r="AM26" s="37" t="s">
        <v>1597</v>
      </c>
      <c r="AN26" s="37" t="s">
        <v>1597</v>
      </c>
      <c r="AO26" s="37" t="s">
        <v>1597</v>
      </c>
      <c r="AP26" s="37" t="s">
        <v>1597</v>
      </c>
      <c r="AQ26" s="37" t="s">
        <v>1597</v>
      </c>
      <c r="AR26" s="37" t="s">
        <v>1597</v>
      </c>
      <c r="AS26" s="37" t="s">
        <v>1597</v>
      </c>
      <c r="AT26" s="37" t="s">
        <v>1597</v>
      </c>
      <c r="AU26" s="37" t="s">
        <v>1597</v>
      </c>
      <c r="AV26" s="37">
        <v>7.8249000000000004</v>
      </c>
      <c r="AW26" s="37">
        <v>7.6997999999999998</v>
      </c>
      <c r="AX26" s="37">
        <v>6.6247999999999996</v>
      </c>
      <c r="AY26" s="37">
        <v>6.0373999999999999</v>
      </c>
      <c r="AZ26" s="37">
        <v>5.9748999999999999</v>
      </c>
      <c r="BA26" s="37">
        <v>5.4993999999999996</v>
      </c>
      <c r="BB26" s="37">
        <v>4.5244999999999997</v>
      </c>
      <c r="BC26" s="37">
        <v>4.7248000000000001</v>
      </c>
      <c r="BD26" s="37">
        <v>4.5374999999999996</v>
      </c>
      <c r="BE26" s="37">
        <v>5.1497999999999999</v>
      </c>
      <c r="BF26" s="37">
        <v>4.8121</v>
      </c>
      <c r="BG26" s="37">
        <v>5.2996999999999996</v>
      </c>
      <c r="BH26" s="37">
        <v>4.9493999999999998</v>
      </c>
      <c r="BI26" s="37">
        <v>4.4246999999999996</v>
      </c>
      <c r="BJ26" s="37">
        <v>4.1242000000000001</v>
      </c>
      <c r="BK26" s="37">
        <v>4.3497000000000003</v>
      </c>
      <c r="BL26" s="37">
        <v>4.2496999999999998</v>
      </c>
      <c r="BM26" s="37">
        <v>3.8496999999999999</v>
      </c>
      <c r="BN26" s="37">
        <v>3.5871</v>
      </c>
      <c r="BO26" s="37">
        <v>3.4112</v>
      </c>
      <c r="BP26" s="37">
        <v>3.4998999999999998</v>
      </c>
      <c r="BQ26" s="37">
        <v>3.6248</v>
      </c>
      <c r="BR26" s="37">
        <v>3.8997000000000002</v>
      </c>
      <c r="BS26" s="37">
        <v>4.3624999999999998</v>
      </c>
      <c r="BT26" s="37">
        <v>4.4999000000000002</v>
      </c>
      <c r="BU26" s="37">
        <v>4.3749000000000002</v>
      </c>
      <c r="BV26" s="37">
        <v>4.1997</v>
      </c>
      <c r="BW26" s="37">
        <v>4.5749000000000004</v>
      </c>
      <c r="BX26" s="37">
        <v>4.9749999999999996</v>
      </c>
      <c r="BY26" s="37">
        <v>4.9000000000000004</v>
      </c>
      <c r="BZ26" s="37">
        <v>4.8498999999999999</v>
      </c>
      <c r="CA26" s="37">
        <v>4.9123000000000001</v>
      </c>
      <c r="CB26" s="37">
        <v>4.6500000000000004</v>
      </c>
      <c r="CC26" s="37">
        <v>4.2249999999999996</v>
      </c>
      <c r="CD26" s="37">
        <v>4.3498999999999999</v>
      </c>
      <c r="CE26" s="37">
        <v>4.1997999999999998</v>
      </c>
      <c r="CF26" s="37">
        <v>4.4493999999999998</v>
      </c>
      <c r="CG26" s="37">
        <v>4.5114000000000001</v>
      </c>
      <c r="CH26" s="37">
        <v>3.6623999999999999</v>
      </c>
      <c r="CI26" s="37">
        <v>3.8374999999999999</v>
      </c>
      <c r="CJ26" s="37">
        <v>3.7724000000000002</v>
      </c>
      <c r="CK26" s="37">
        <v>3.5499000000000001</v>
      </c>
      <c r="CL26" s="37">
        <v>3.3999000000000001</v>
      </c>
      <c r="CM26" s="37">
        <v>3.5249000000000001</v>
      </c>
      <c r="CN26" s="37">
        <v>3.3250000000000002</v>
      </c>
      <c r="CO26" s="37">
        <v>3.2498999999999998</v>
      </c>
      <c r="CP26" s="37">
        <v>3.2124999999999999</v>
      </c>
      <c r="CQ26" s="37">
        <v>3.3748999999999998</v>
      </c>
      <c r="CR26" s="37">
        <v>3.3</v>
      </c>
      <c r="CS26" s="37">
        <v>3.03</v>
      </c>
      <c r="CT26" s="37">
        <v>3.2</v>
      </c>
      <c r="CU26" s="37">
        <v>3.2749999999999999</v>
      </c>
      <c r="CV26" s="37">
        <v>3.3250000000000002</v>
      </c>
      <c r="CW26" s="37">
        <v>3.4249999999999998</v>
      </c>
      <c r="CX26" s="37">
        <v>3.4125000000000001</v>
      </c>
      <c r="CY26" s="37">
        <v>3.5249999999999999</v>
      </c>
      <c r="CZ26" s="37">
        <v>3.2749999999999999</v>
      </c>
      <c r="DA26" s="37">
        <v>2.95</v>
      </c>
      <c r="DB26" s="37">
        <v>2.7749999999999999</v>
      </c>
      <c r="DC26" s="37">
        <v>2.8748999999999998</v>
      </c>
      <c r="DD26" s="37">
        <v>3.0024999999999999</v>
      </c>
      <c r="DE26" s="37">
        <v>3.0249999999999999</v>
      </c>
      <c r="DF26" s="37">
        <v>3.0625</v>
      </c>
      <c r="DG26" s="37">
        <v>2.9998999999999998</v>
      </c>
      <c r="DH26" s="37">
        <v>2.8498999999999999</v>
      </c>
      <c r="DI26" s="37">
        <v>2.6</v>
      </c>
      <c r="DJ26" s="37">
        <v>2.2624</v>
      </c>
      <c r="DK26" s="37">
        <v>2.4499</v>
      </c>
      <c r="DL26" s="37">
        <v>2.4750000000000001</v>
      </c>
      <c r="DM26" s="37">
        <v>2.3123999999999998</v>
      </c>
      <c r="DN26" s="37">
        <v>2.1749000000000001</v>
      </c>
      <c r="DO26" s="37">
        <v>2.2000000000000002</v>
      </c>
      <c r="DP26" s="37">
        <v>2.3786999999999998</v>
      </c>
      <c r="DQ26" s="37">
        <v>2.5249999999999999</v>
      </c>
      <c r="DR26" s="37">
        <v>2.4624999999999999</v>
      </c>
      <c r="DS26" s="37">
        <v>2.6061999999999999</v>
      </c>
      <c r="DT26" s="37">
        <v>2.7124999999999999</v>
      </c>
      <c r="DU26" s="37">
        <v>2.6749999999999998</v>
      </c>
      <c r="DV26" s="37">
        <v>2.4874999999999998</v>
      </c>
      <c r="DW26" s="37">
        <v>2.5125000000000002</v>
      </c>
      <c r="DX26" s="37">
        <v>2.6</v>
      </c>
      <c r="DY26" s="37">
        <v>2.1497999999999999</v>
      </c>
      <c r="DZ26" s="37">
        <v>2.1999</v>
      </c>
      <c r="EA26" s="37">
        <v>2.3498999999999999</v>
      </c>
      <c r="EB26" s="37">
        <v>2.2873999999999999</v>
      </c>
      <c r="EC26" s="37">
        <v>2.1875</v>
      </c>
      <c r="ED26" s="37">
        <v>2.125</v>
      </c>
      <c r="EE26" s="37">
        <v>2.0922999999999998</v>
      </c>
      <c r="EF26" s="37">
        <v>1.8247</v>
      </c>
      <c r="EG26" s="37">
        <v>2.125</v>
      </c>
      <c r="EH26" s="37">
        <v>1.6274</v>
      </c>
      <c r="EI26" s="37">
        <v>2.1318000000000001</v>
      </c>
      <c r="EJ26" s="37">
        <v>2.2999999999999998</v>
      </c>
      <c r="EK26" s="37">
        <v>2.2629999999999999</v>
      </c>
      <c r="EL26" s="37">
        <v>2.25</v>
      </c>
      <c r="EM26" s="37">
        <v>2.375</v>
      </c>
      <c r="EN26" s="37">
        <v>2.4371999999999998</v>
      </c>
      <c r="EO26" s="37">
        <v>2.3929999999999998</v>
      </c>
      <c r="EP26" s="37">
        <v>2.4295</v>
      </c>
      <c r="EQ26" s="37">
        <v>2.3864999999999998</v>
      </c>
      <c r="ER26" s="37">
        <v>2.6282999999999999</v>
      </c>
      <c r="ES26" s="37">
        <v>2.6179999999999999</v>
      </c>
      <c r="ET26" s="37">
        <v>2.4563000000000001</v>
      </c>
      <c r="EU26" s="37">
        <v>2.4340999999999999</v>
      </c>
      <c r="EV26" s="37">
        <v>2.2284999999999999</v>
      </c>
      <c r="EW26" s="37">
        <v>2.4424000000000001</v>
      </c>
      <c r="EX26" s="37">
        <v>2.3818999999999999</v>
      </c>
      <c r="EY26" s="37">
        <v>2.6650999999999998</v>
      </c>
      <c r="EZ26" s="37">
        <v>2.5230000000000001</v>
      </c>
      <c r="FA26" s="37">
        <v>1.756</v>
      </c>
      <c r="FB26" s="37">
        <v>1.5550999999999999</v>
      </c>
      <c r="FC26" s="37">
        <v>1.7069000000000001</v>
      </c>
      <c r="FD26" s="37">
        <v>1.8022</v>
      </c>
      <c r="FE26" s="37">
        <v>1.6329</v>
      </c>
      <c r="FF26" s="37">
        <v>1.7883</v>
      </c>
      <c r="FG26" s="37">
        <v>1.8774999999999999</v>
      </c>
      <c r="FH26" s="37">
        <v>1.7209000000000001</v>
      </c>
      <c r="FI26" s="37">
        <v>1.609</v>
      </c>
      <c r="FJ26" s="37">
        <v>1.7246999999999999</v>
      </c>
      <c r="FK26" s="37">
        <v>2.1303999999999998</v>
      </c>
      <c r="FL26" s="37">
        <v>2.0125000000000002</v>
      </c>
      <c r="FM26" s="37">
        <v>1.9692000000000001</v>
      </c>
      <c r="FN26" s="37">
        <v>2.0750000000000002</v>
      </c>
      <c r="FO26" s="37">
        <v>2.1831</v>
      </c>
      <c r="FP26" s="37">
        <v>2.1097999999999999</v>
      </c>
      <c r="FQ26" s="37">
        <v>2.1930999999999998</v>
      </c>
      <c r="FR26" s="37">
        <v>2.1</v>
      </c>
      <c r="FS26" s="37">
        <v>2.0413999999999999</v>
      </c>
      <c r="FT26" s="37">
        <v>1.8626</v>
      </c>
      <c r="FU26" s="37">
        <v>1.984</v>
      </c>
      <c r="FV26" s="37">
        <v>1.8880999999999999</v>
      </c>
      <c r="FW26" s="37">
        <v>1.9582999999999999</v>
      </c>
      <c r="FX26" s="37">
        <v>2.0990000000000002</v>
      </c>
      <c r="FY26" s="37">
        <v>1.9161999999999999</v>
      </c>
      <c r="FZ26" s="37">
        <v>1.8937999999999999</v>
      </c>
      <c r="GA26" s="37">
        <v>1.9731000000000001</v>
      </c>
      <c r="GB26" s="37">
        <v>2.0421999999999998</v>
      </c>
      <c r="GC26" s="37">
        <v>2.0434999999999999</v>
      </c>
      <c r="GD26" s="37">
        <v>1.9849000000000001</v>
      </c>
      <c r="GE26" s="37">
        <v>2.0573999999999999</v>
      </c>
      <c r="GF26" s="37">
        <v>2.2275999999999998</v>
      </c>
      <c r="GG26" s="37">
        <v>2.2029000000000001</v>
      </c>
      <c r="GH26" s="37">
        <v>2.3595999999999999</v>
      </c>
      <c r="GI26" s="37">
        <v>2.2749999999999999</v>
      </c>
      <c r="GJ26" s="37">
        <v>2.2052999999999998</v>
      </c>
      <c r="GK26" s="37">
        <v>2.0907</v>
      </c>
      <c r="GL26" s="37">
        <v>2.2117</v>
      </c>
      <c r="GM26" s="37">
        <v>2.2597</v>
      </c>
      <c r="GN26" s="37">
        <v>2.2589000000000001</v>
      </c>
      <c r="GO26" s="37">
        <v>2.3658000000000001</v>
      </c>
      <c r="GP26" s="37">
        <v>2.2650999999999999</v>
      </c>
      <c r="GQ26" s="37">
        <v>2.0855000000000001</v>
      </c>
      <c r="GR26" s="37">
        <v>2.0369000000000002</v>
      </c>
      <c r="GS26" s="37">
        <v>2.1383999999999999</v>
      </c>
      <c r="GT26" s="37">
        <v>2.1581999999999999</v>
      </c>
      <c r="GU26" s="37">
        <v>1.859</v>
      </c>
      <c r="GV26" s="37">
        <v>1.7697000000000001</v>
      </c>
      <c r="GW26" s="37">
        <v>2.0670000000000002</v>
      </c>
      <c r="GX26" s="37">
        <v>2.1545999999999998</v>
      </c>
      <c r="GY26" s="37">
        <v>2.3694999999999999</v>
      </c>
      <c r="GZ26" s="37">
        <v>2.3849999999999998</v>
      </c>
      <c r="HA26" s="37">
        <v>2.6145999999999998</v>
      </c>
      <c r="HB26" s="37">
        <v>2.9512</v>
      </c>
      <c r="HC26" s="37">
        <v>3.6013999999999999</v>
      </c>
      <c r="HD26" s="37">
        <v>3.573</v>
      </c>
      <c r="HE26" s="37">
        <v>3.5003000000000002</v>
      </c>
      <c r="HF26" s="37">
        <v>2.9575</v>
      </c>
      <c r="HG26" s="37">
        <v>2.8161</v>
      </c>
      <c r="HH26" s="37">
        <v>2.6696</v>
      </c>
      <c r="HI26" s="37">
        <v>2.5747</v>
      </c>
      <c r="HJ26" s="37">
        <v>2.3805999999999998</v>
      </c>
      <c r="HK26" s="37">
        <v>2.5068999999999999</v>
      </c>
      <c r="HL26" s="37">
        <v>2.4009999999999998</v>
      </c>
      <c r="HM26" s="37">
        <v>2.3081</v>
      </c>
      <c r="HN26" s="37">
        <v>2.6962000000000002</v>
      </c>
      <c r="HO26" s="37">
        <v>3.0461999999999998</v>
      </c>
      <c r="HP26" s="37">
        <v>2.6642999999999999</v>
      </c>
      <c r="HQ26" s="37">
        <v>2.7583000000000002</v>
      </c>
      <c r="HR26" s="37">
        <v>2.5579000000000001</v>
      </c>
    </row>
    <row r="27" spans="1:226">
      <c r="A27" s="36" t="s">
        <v>1599</v>
      </c>
      <c r="B27" s="37" t="s">
        <v>1597</v>
      </c>
      <c r="C27" s="37" t="s">
        <v>1597</v>
      </c>
      <c r="D27" s="37" t="s">
        <v>1597</v>
      </c>
      <c r="E27" s="37" t="s">
        <v>1597</v>
      </c>
      <c r="F27" s="37" t="s">
        <v>1597</v>
      </c>
      <c r="G27" s="37" t="s">
        <v>1597</v>
      </c>
      <c r="H27" s="37" t="s">
        <v>1597</v>
      </c>
      <c r="I27" s="37" t="s">
        <v>1597</v>
      </c>
      <c r="J27" s="37" t="s">
        <v>1597</v>
      </c>
      <c r="K27" s="37" t="s">
        <v>1597</v>
      </c>
      <c r="L27" s="37" t="s">
        <v>1597</v>
      </c>
      <c r="M27" s="37" t="s">
        <v>1597</v>
      </c>
      <c r="N27" s="37" t="s">
        <v>1597</v>
      </c>
      <c r="O27" s="37" t="s">
        <v>1597</v>
      </c>
      <c r="P27" s="37" t="s">
        <v>1597</v>
      </c>
      <c r="Q27" s="37" t="s">
        <v>1597</v>
      </c>
      <c r="R27" s="37" t="s">
        <v>1597</v>
      </c>
      <c r="S27" s="37" t="s">
        <v>1597</v>
      </c>
      <c r="T27" s="37" t="s">
        <v>1597</v>
      </c>
      <c r="U27" s="37" t="s">
        <v>1597</v>
      </c>
      <c r="V27" s="37" t="s">
        <v>1597</v>
      </c>
      <c r="W27" s="37" t="s">
        <v>1597</v>
      </c>
      <c r="X27" s="37" t="s">
        <v>1597</v>
      </c>
      <c r="Y27" s="37" t="s">
        <v>1597</v>
      </c>
      <c r="Z27" s="37" t="s">
        <v>1597</v>
      </c>
      <c r="AA27" s="37" t="s">
        <v>1597</v>
      </c>
      <c r="AB27" s="37" t="s">
        <v>1597</v>
      </c>
      <c r="AC27" s="37" t="s">
        <v>1597</v>
      </c>
      <c r="AD27" s="37" t="s">
        <v>1597</v>
      </c>
      <c r="AE27" s="37" t="s">
        <v>1597</v>
      </c>
      <c r="AF27" s="37" t="s">
        <v>1597</v>
      </c>
      <c r="AG27" s="37" t="s">
        <v>1597</v>
      </c>
      <c r="AH27" s="37" t="s">
        <v>1597</v>
      </c>
      <c r="AI27" s="37" t="s">
        <v>1597</v>
      </c>
      <c r="AJ27" s="37" t="s">
        <v>1597</v>
      </c>
      <c r="AK27" s="37" t="s">
        <v>1597</v>
      </c>
      <c r="AL27" s="37" t="s">
        <v>1597</v>
      </c>
      <c r="AM27" s="37" t="s">
        <v>1597</v>
      </c>
      <c r="AN27" s="37" t="s">
        <v>1597</v>
      </c>
      <c r="AO27" s="37" t="s">
        <v>1597</v>
      </c>
      <c r="AP27" s="37" t="s">
        <v>1597</v>
      </c>
      <c r="AQ27" s="37" t="s">
        <v>1597</v>
      </c>
      <c r="AR27" s="37" t="s">
        <v>1597</v>
      </c>
      <c r="AS27" s="37" t="s">
        <v>1597</v>
      </c>
      <c r="AT27" s="37" t="s">
        <v>1597</v>
      </c>
      <c r="AU27" s="37" t="s">
        <v>1597</v>
      </c>
      <c r="AV27" s="37" t="s">
        <v>1597</v>
      </c>
      <c r="AW27" s="37" t="s">
        <v>1597</v>
      </c>
      <c r="AX27" s="37" t="s">
        <v>1597</v>
      </c>
      <c r="AY27" s="37" t="s">
        <v>1597</v>
      </c>
      <c r="AZ27" s="37" t="s">
        <v>1597</v>
      </c>
      <c r="BA27" s="37" t="s">
        <v>1597</v>
      </c>
      <c r="BB27" s="37" t="s">
        <v>1597</v>
      </c>
      <c r="BC27" s="37" t="s">
        <v>1597</v>
      </c>
      <c r="BD27" s="37" t="s">
        <v>1597</v>
      </c>
      <c r="BE27" s="37" t="s">
        <v>1597</v>
      </c>
      <c r="BF27" s="37" t="s">
        <v>1597</v>
      </c>
      <c r="BG27" s="37" t="s">
        <v>1597</v>
      </c>
      <c r="BH27" s="37" t="s">
        <v>1597</v>
      </c>
      <c r="BI27" s="37" t="s">
        <v>1597</v>
      </c>
      <c r="BJ27" s="37" t="s">
        <v>1597</v>
      </c>
      <c r="BK27" s="37" t="s">
        <v>1597</v>
      </c>
      <c r="BL27" s="37" t="s">
        <v>1597</v>
      </c>
      <c r="BM27" s="37" t="s">
        <v>1597</v>
      </c>
      <c r="BN27" s="37" t="s">
        <v>1597</v>
      </c>
      <c r="BO27" s="37" t="s">
        <v>1597</v>
      </c>
      <c r="BP27" s="37" t="s">
        <v>1597</v>
      </c>
      <c r="BQ27" s="37" t="s">
        <v>1597</v>
      </c>
      <c r="BR27" s="37" t="s">
        <v>1597</v>
      </c>
      <c r="BS27" s="37" t="s">
        <v>1597</v>
      </c>
      <c r="BT27" s="37" t="s">
        <v>1597</v>
      </c>
      <c r="BU27" s="37" t="s">
        <v>1597</v>
      </c>
      <c r="BV27" s="37" t="s">
        <v>1597</v>
      </c>
      <c r="BW27" s="37" t="s">
        <v>1597</v>
      </c>
      <c r="BX27" s="37" t="s">
        <v>1597</v>
      </c>
      <c r="BY27" s="37" t="s">
        <v>1597</v>
      </c>
      <c r="BZ27" s="37" t="s">
        <v>1597</v>
      </c>
      <c r="CA27" s="37" t="s">
        <v>1597</v>
      </c>
      <c r="CB27" s="37" t="s">
        <v>1597</v>
      </c>
      <c r="CC27" s="37" t="s">
        <v>1597</v>
      </c>
      <c r="CD27" s="37" t="s">
        <v>1597</v>
      </c>
      <c r="CE27" s="37" t="s">
        <v>1597</v>
      </c>
      <c r="CF27" s="37" t="s">
        <v>1597</v>
      </c>
      <c r="CG27" s="37" t="s">
        <v>1597</v>
      </c>
      <c r="CH27" s="37" t="s">
        <v>1597</v>
      </c>
      <c r="CI27" s="37" t="s">
        <v>1597</v>
      </c>
      <c r="CJ27" s="37" t="s">
        <v>1597</v>
      </c>
      <c r="CK27" s="37">
        <v>4</v>
      </c>
      <c r="CL27" s="37">
        <v>3.7</v>
      </c>
      <c r="CM27" s="37">
        <v>3.9</v>
      </c>
      <c r="CN27" s="37">
        <v>3.75</v>
      </c>
      <c r="CO27" s="37">
        <v>3.6</v>
      </c>
      <c r="CP27" s="37">
        <v>3.5</v>
      </c>
      <c r="CQ27" s="37">
        <v>3.7</v>
      </c>
      <c r="CR27" s="37">
        <v>3.45</v>
      </c>
      <c r="CS27" s="37">
        <v>3.45</v>
      </c>
      <c r="CT27" s="37">
        <v>3.45</v>
      </c>
      <c r="CU27" s="37">
        <v>3.5</v>
      </c>
      <c r="CV27" s="37">
        <v>3.5</v>
      </c>
      <c r="CW27" s="37">
        <v>3.5</v>
      </c>
      <c r="CX27" s="37">
        <v>3.3</v>
      </c>
      <c r="CY27" s="37">
        <v>3.35</v>
      </c>
      <c r="CZ27" s="37">
        <v>3.2</v>
      </c>
      <c r="DA27" s="37">
        <v>3</v>
      </c>
      <c r="DB27" s="37">
        <v>3</v>
      </c>
      <c r="DC27" s="37">
        <v>3</v>
      </c>
      <c r="DD27" s="37">
        <v>3</v>
      </c>
      <c r="DE27" s="37">
        <v>3</v>
      </c>
      <c r="DF27" s="37">
        <v>3</v>
      </c>
      <c r="DG27" s="37">
        <v>2.85</v>
      </c>
      <c r="DH27" s="37">
        <v>3</v>
      </c>
      <c r="DI27" s="37">
        <v>2.65</v>
      </c>
      <c r="DJ27" s="37">
        <v>2.6</v>
      </c>
      <c r="DK27" s="37">
        <v>2.5</v>
      </c>
      <c r="DL27" s="37">
        <v>2.5</v>
      </c>
      <c r="DM27" s="37">
        <v>2.5</v>
      </c>
      <c r="DN27" s="37">
        <v>2.2999999999999998</v>
      </c>
      <c r="DO27" s="37">
        <v>2.5</v>
      </c>
      <c r="DP27" s="37">
        <v>2.5</v>
      </c>
      <c r="DQ27" s="37">
        <v>2.5</v>
      </c>
      <c r="DR27" s="37">
        <v>2.5</v>
      </c>
      <c r="DS27" s="37">
        <v>2.5</v>
      </c>
      <c r="DT27" s="37">
        <v>2.5</v>
      </c>
      <c r="DU27" s="37">
        <v>2.5</v>
      </c>
      <c r="DV27" s="37">
        <v>2.5</v>
      </c>
      <c r="DW27" s="37">
        <v>2.5</v>
      </c>
      <c r="DX27" s="37">
        <v>2.5</v>
      </c>
      <c r="DY27" s="37">
        <v>2.5499999999999998</v>
      </c>
      <c r="DZ27" s="37">
        <v>2.5</v>
      </c>
      <c r="EA27" s="37">
        <v>2.5</v>
      </c>
      <c r="EB27" s="37">
        <v>2.5</v>
      </c>
      <c r="EC27" s="37">
        <v>2.4500000000000002</v>
      </c>
      <c r="ED27" s="37">
        <v>2.5</v>
      </c>
      <c r="EE27" s="37">
        <v>2.5</v>
      </c>
      <c r="EF27" s="37">
        <v>2.5</v>
      </c>
      <c r="EG27" s="37">
        <v>2.5</v>
      </c>
      <c r="EH27" s="37">
        <v>2.5</v>
      </c>
      <c r="EI27" s="37">
        <v>2.5</v>
      </c>
      <c r="EJ27" s="37">
        <v>2.5</v>
      </c>
      <c r="EK27" s="37">
        <v>2.5</v>
      </c>
      <c r="EL27" s="37">
        <v>2.4500000000000002</v>
      </c>
      <c r="EM27" s="37">
        <v>2.5</v>
      </c>
      <c r="EN27" s="37">
        <v>2.5</v>
      </c>
      <c r="EO27" s="37">
        <v>2.5</v>
      </c>
      <c r="EP27" s="37">
        <v>2.5</v>
      </c>
      <c r="EQ27" s="37">
        <v>2.5</v>
      </c>
      <c r="ER27" s="37">
        <v>2.5</v>
      </c>
      <c r="ES27" s="37">
        <v>2.5</v>
      </c>
      <c r="ET27" s="37">
        <v>2.35</v>
      </c>
      <c r="EU27" s="37">
        <v>2.4</v>
      </c>
      <c r="EV27" s="37">
        <v>2.4</v>
      </c>
      <c r="EW27" s="37">
        <v>2.4</v>
      </c>
      <c r="EX27" s="37">
        <v>2.5</v>
      </c>
      <c r="EY27" s="37">
        <v>2.5</v>
      </c>
      <c r="EZ27" s="37">
        <v>2.5</v>
      </c>
      <c r="FA27" s="37">
        <v>2.5</v>
      </c>
      <c r="FB27" s="37">
        <v>2.4</v>
      </c>
      <c r="FC27" s="37">
        <v>2.5</v>
      </c>
      <c r="FD27" s="37">
        <v>2.5</v>
      </c>
      <c r="FE27" s="37">
        <v>2.2627000000000002</v>
      </c>
      <c r="FF27" s="37">
        <v>2.39</v>
      </c>
      <c r="FG27" s="37">
        <v>2.4</v>
      </c>
      <c r="FH27" s="37">
        <v>2.2999999999999998</v>
      </c>
      <c r="FI27" s="37">
        <v>2.2000000000000002</v>
      </c>
      <c r="FJ27" s="37">
        <v>2.2999999999999998</v>
      </c>
      <c r="FK27" s="37">
        <v>2.4</v>
      </c>
      <c r="FL27" s="37">
        <v>2.4</v>
      </c>
      <c r="FM27" s="37">
        <v>2.5</v>
      </c>
      <c r="FN27" s="37">
        <v>2.2999999999999998</v>
      </c>
      <c r="FO27" s="37">
        <v>2.48</v>
      </c>
      <c r="FP27" s="37">
        <v>2.35</v>
      </c>
      <c r="FQ27" s="37">
        <v>2.2999999999999998</v>
      </c>
      <c r="FR27" s="37">
        <v>2.2999999999999998</v>
      </c>
      <c r="FS27" s="37">
        <v>2.2999999999999998</v>
      </c>
      <c r="FT27" s="37">
        <v>2.2050000000000001</v>
      </c>
      <c r="FU27" s="37">
        <v>2.2999999999999998</v>
      </c>
      <c r="FV27" s="37">
        <v>2.2999999999999998</v>
      </c>
      <c r="FW27" s="37">
        <v>2.25</v>
      </c>
      <c r="FX27" s="37">
        <v>2.2000000000000002</v>
      </c>
      <c r="FY27" s="37">
        <v>2.2000000000000002</v>
      </c>
      <c r="FZ27" s="37">
        <v>2.1</v>
      </c>
      <c r="GA27" s="37">
        <v>2.1349999999999998</v>
      </c>
      <c r="GB27" s="37">
        <v>2.15</v>
      </c>
      <c r="GC27" s="37">
        <v>2.15</v>
      </c>
      <c r="GD27" s="37">
        <v>2.12</v>
      </c>
      <c r="GE27" s="37">
        <v>2.2000000000000002</v>
      </c>
      <c r="GF27" s="37">
        <v>2.15</v>
      </c>
      <c r="GG27" s="37">
        <v>2.2161</v>
      </c>
      <c r="GH27" s="37">
        <v>2.2999999999999998</v>
      </c>
      <c r="GI27" s="37">
        <v>2.2999999999999998</v>
      </c>
      <c r="GJ27" s="37">
        <v>2.25</v>
      </c>
      <c r="GK27" s="37">
        <v>2.2000000000000002</v>
      </c>
      <c r="GL27" s="37">
        <v>2.25</v>
      </c>
      <c r="GM27" s="37">
        <v>2.2999999999999998</v>
      </c>
      <c r="GN27" s="37">
        <v>2.2000000000000002</v>
      </c>
      <c r="GO27" s="37">
        <v>2.21</v>
      </c>
      <c r="GP27" s="37">
        <v>2.2000000000000002</v>
      </c>
      <c r="GQ27" s="37">
        <v>2.2000000000000002</v>
      </c>
      <c r="GR27" s="37">
        <v>2.2000000000000002</v>
      </c>
      <c r="GS27" s="37">
        <v>2.2000000000000002</v>
      </c>
      <c r="GT27" s="37">
        <v>2.2000000000000002</v>
      </c>
      <c r="GU27" s="37">
        <v>2.1349999999999998</v>
      </c>
      <c r="GV27" s="37">
        <v>2.0299999999999998</v>
      </c>
      <c r="GW27" s="37">
        <v>2.12</v>
      </c>
      <c r="GX27" s="37">
        <v>2.2000000000000002</v>
      </c>
      <c r="GY27" s="37">
        <v>2.2999999999999998</v>
      </c>
      <c r="GZ27" s="37">
        <v>2.4367000000000001</v>
      </c>
      <c r="HA27" s="37">
        <v>2.5499999999999998</v>
      </c>
      <c r="HB27" s="37">
        <v>2.4981</v>
      </c>
      <c r="HC27" s="37">
        <v>2.8</v>
      </c>
      <c r="HD27" s="37">
        <v>2.8</v>
      </c>
      <c r="HE27" s="37">
        <v>2.95</v>
      </c>
      <c r="HF27" s="37">
        <v>2.37</v>
      </c>
      <c r="HG27" s="37">
        <v>2.3555000000000001</v>
      </c>
      <c r="HH27" s="37">
        <v>2.4</v>
      </c>
      <c r="HI27" s="37">
        <v>2.4</v>
      </c>
      <c r="HJ27" s="37">
        <v>2.2400000000000002</v>
      </c>
      <c r="HK27" s="37">
        <v>2.3250000000000002</v>
      </c>
      <c r="HL27" s="37">
        <v>2.2999999999999998</v>
      </c>
      <c r="HM27" s="37">
        <v>2.2250000000000001</v>
      </c>
      <c r="HN27" s="37">
        <v>2.2999999999999998</v>
      </c>
      <c r="HO27" s="37">
        <v>2.3492000000000002</v>
      </c>
      <c r="HP27" s="37">
        <v>2.3050000000000002</v>
      </c>
      <c r="HQ27" s="37">
        <v>2.38</v>
      </c>
      <c r="HR27" s="37">
        <v>2.2999999999999998</v>
      </c>
    </row>
    <row r="29" spans="1:226">
      <c r="A29" s="38" t="s">
        <v>1600</v>
      </c>
    </row>
    <row r="30" spans="1:226">
      <c r="A30" s="39" t="s">
        <v>1601</v>
      </c>
    </row>
    <row r="31" spans="1:226">
      <c r="A31" s="40" t="s">
        <v>1602</v>
      </c>
    </row>
    <row r="32" spans="1:226">
      <c r="A32" s="40" t="s">
        <v>1603</v>
      </c>
    </row>
    <row r="33" spans="1:187">
      <c r="A33" s="39" t="s">
        <v>1604</v>
      </c>
    </row>
    <row r="36" spans="1:187">
      <c r="A36" s="41" t="s">
        <v>1605</v>
      </c>
      <c r="B36" s="42" t="s">
        <v>1606</v>
      </c>
      <c r="C36" s="42" t="s">
        <v>1607</v>
      </c>
      <c r="D36" s="42" t="s">
        <v>1608</v>
      </c>
      <c r="E36" s="42" t="s">
        <v>1609</v>
      </c>
      <c r="F36" s="42" t="s">
        <v>1610</v>
      </c>
      <c r="G36" s="42" t="s">
        <v>1611</v>
      </c>
      <c r="H36" s="42" t="s">
        <v>1612</v>
      </c>
      <c r="I36" s="42" t="s">
        <v>1613</v>
      </c>
      <c r="J36" s="42" t="s">
        <v>1614</v>
      </c>
      <c r="K36" s="42" t="s">
        <v>1615</v>
      </c>
      <c r="L36" s="42" t="s">
        <v>1616</v>
      </c>
      <c r="M36" s="42" t="s">
        <v>1617</v>
      </c>
      <c r="N36" s="42" t="s">
        <v>1618</v>
      </c>
      <c r="O36" s="42" t="s">
        <v>1619</v>
      </c>
      <c r="P36" s="42" t="s">
        <v>1620</v>
      </c>
      <c r="Q36" s="42" t="s">
        <v>1621</v>
      </c>
      <c r="R36" s="42" t="s">
        <v>1622</v>
      </c>
      <c r="S36" s="42" t="s">
        <v>1623</v>
      </c>
      <c r="T36" s="42" t="s">
        <v>1624</v>
      </c>
      <c r="U36" s="42" t="s">
        <v>1625</v>
      </c>
      <c r="V36" s="42" t="s">
        <v>1626</v>
      </c>
      <c r="W36" s="42" t="s">
        <v>1627</v>
      </c>
      <c r="X36" s="42" t="s">
        <v>1628</v>
      </c>
      <c r="Y36" s="42" t="s">
        <v>1629</v>
      </c>
      <c r="Z36" s="42" t="s">
        <v>1630</v>
      </c>
      <c r="AA36" s="42" t="s">
        <v>1631</v>
      </c>
      <c r="AB36" s="42" t="s">
        <v>1632</v>
      </c>
      <c r="AC36" s="42" t="s">
        <v>1633</v>
      </c>
      <c r="AD36" s="42" t="s">
        <v>1634</v>
      </c>
      <c r="AE36" s="42" t="s">
        <v>1635</v>
      </c>
      <c r="AF36" s="42" t="s">
        <v>1636</v>
      </c>
      <c r="AG36" s="42" t="s">
        <v>1637</v>
      </c>
      <c r="AH36" s="42" t="s">
        <v>1638</v>
      </c>
      <c r="AI36" s="42" t="s">
        <v>1639</v>
      </c>
      <c r="AJ36" s="42" t="s">
        <v>1640</v>
      </c>
      <c r="AK36" s="42" t="s">
        <v>1641</v>
      </c>
      <c r="AL36" s="42" t="s">
        <v>1642</v>
      </c>
      <c r="AM36" s="42" t="s">
        <v>1643</v>
      </c>
      <c r="AN36" s="42" t="s">
        <v>1644</v>
      </c>
      <c r="AO36" s="42" t="s">
        <v>1645</v>
      </c>
      <c r="AP36" s="42" t="s">
        <v>1646</v>
      </c>
      <c r="AQ36" s="42" t="s">
        <v>1647</v>
      </c>
      <c r="AR36" s="42" t="s">
        <v>1648</v>
      </c>
      <c r="AS36" s="42" t="s">
        <v>1649</v>
      </c>
      <c r="AT36" s="42" t="s">
        <v>1650</v>
      </c>
      <c r="AU36" s="42" t="s">
        <v>1651</v>
      </c>
      <c r="AV36" s="42" t="s">
        <v>1652</v>
      </c>
      <c r="AW36" s="42" t="s">
        <v>1653</v>
      </c>
      <c r="AX36" s="42" t="s">
        <v>1654</v>
      </c>
      <c r="AY36" s="42" t="s">
        <v>1655</v>
      </c>
      <c r="AZ36" s="42" t="s">
        <v>1656</v>
      </c>
      <c r="BA36" s="42" t="s">
        <v>1657</v>
      </c>
      <c r="BB36" s="42" t="s">
        <v>1658</v>
      </c>
      <c r="BC36" s="42" t="s">
        <v>1659</v>
      </c>
      <c r="BD36" s="42" t="s">
        <v>1660</v>
      </c>
      <c r="BE36" s="42" t="s">
        <v>1661</v>
      </c>
      <c r="BF36" s="42" t="s">
        <v>1662</v>
      </c>
      <c r="BG36" s="42" t="s">
        <v>1663</v>
      </c>
      <c r="BH36" s="42" t="s">
        <v>1664</v>
      </c>
      <c r="BI36" s="42" t="s">
        <v>1665</v>
      </c>
      <c r="BJ36" s="42" t="s">
        <v>1666</v>
      </c>
      <c r="BK36" s="42" t="s">
        <v>1667</v>
      </c>
      <c r="BL36" s="42" t="s">
        <v>1668</v>
      </c>
      <c r="BM36" s="42" t="s">
        <v>1669</v>
      </c>
      <c r="BN36" s="42" t="s">
        <v>1670</v>
      </c>
      <c r="BO36" s="42" t="s">
        <v>1671</v>
      </c>
      <c r="BP36" s="42" t="s">
        <v>1672</v>
      </c>
      <c r="BQ36" s="42" t="s">
        <v>1673</v>
      </c>
      <c r="BR36" s="42" t="s">
        <v>1674</v>
      </c>
      <c r="BS36" s="42" t="s">
        <v>1675</v>
      </c>
      <c r="BT36" s="42" t="s">
        <v>1676</v>
      </c>
      <c r="BU36" s="42" t="s">
        <v>1677</v>
      </c>
      <c r="BV36" s="42" t="s">
        <v>1678</v>
      </c>
      <c r="BW36" s="42" t="s">
        <v>1679</v>
      </c>
      <c r="BX36" s="42" t="s">
        <v>1680</v>
      </c>
      <c r="BY36" s="42" t="s">
        <v>1681</v>
      </c>
      <c r="BZ36" s="42" t="s">
        <v>1682</v>
      </c>
      <c r="CA36" s="42" t="s">
        <v>1683</v>
      </c>
      <c r="CB36" s="42" t="s">
        <v>1684</v>
      </c>
      <c r="CC36" s="42" t="s">
        <v>1685</v>
      </c>
      <c r="CD36" s="42" t="s">
        <v>1686</v>
      </c>
      <c r="CE36" s="42" t="s">
        <v>1687</v>
      </c>
      <c r="CF36" s="42" t="s">
        <v>1688</v>
      </c>
      <c r="CG36" s="42" t="s">
        <v>1689</v>
      </c>
      <c r="CH36" s="42" t="s">
        <v>1690</v>
      </c>
      <c r="CI36" s="42" t="s">
        <v>1691</v>
      </c>
      <c r="CJ36" s="42" t="s">
        <v>1692</v>
      </c>
      <c r="CK36" s="42" t="s">
        <v>1693</v>
      </c>
      <c r="CL36" s="42" t="s">
        <v>1694</v>
      </c>
      <c r="CM36" s="42" t="s">
        <v>1695</v>
      </c>
      <c r="CN36" s="42" t="s">
        <v>1696</v>
      </c>
      <c r="CO36" s="42" t="s">
        <v>1697</v>
      </c>
      <c r="CP36" s="42" t="s">
        <v>1698</v>
      </c>
      <c r="CQ36" s="42" t="s">
        <v>1699</v>
      </c>
      <c r="CR36" s="42" t="s">
        <v>1700</v>
      </c>
      <c r="CS36" s="42" t="s">
        <v>1701</v>
      </c>
      <c r="CT36" s="42" t="s">
        <v>1702</v>
      </c>
      <c r="CU36" s="42" t="s">
        <v>1703</v>
      </c>
      <c r="CV36" s="42" t="s">
        <v>1704</v>
      </c>
      <c r="CW36" s="42" t="s">
        <v>1705</v>
      </c>
      <c r="CX36" s="42" t="s">
        <v>1706</v>
      </c>
      <c r="CY36" s="42" t="s">
        <v>1707</v>
      </c>
      <c r="CZ36" s="42" t="s">
        <v>1708</v>
      </c>
      <c r="DA36" s="42" t="s">
        <v>1709</v>
      </c>
      <c r="DB36" s="42" t="s">
        <v>1710</v>
      </c>
      <c r="DC36" s="42" t="s">
        <v>1711</v>
      </c>
      <c r="DD36" s="42" t="s">
        <v>1712</v>
      </c>
      <c r="DE36" s="42" t="s">
        <v>1713</v>
      </c>
      <c r="DF36" s="42" t="s">
        <v>1714</v>
      </c>
      <c r="DG36" s="42" t="s">
        <v>1715</v>
      </c>
      <c r="DH36" s="42" t="s">
        <v>1716</v>
      </c>
      <c r="DI36" s="42" t="s">
        <v>1717</v>
      </c>
      <c r="DJ36" s="42" t="s">
        <v>1718</v>
      </c>
      <c r="DK36" s="42" t="s">
        <v>1719</v>
      </c>
      <c r="DL36" s="42" t="s">
        <v>1720</v>
      </c>
      <c r="DM36" s="42" t="s">
        <v>1721</v>
      </c>
      <c r="DN36" s="42" t="s">
        <v>1722</v>
      </c>
      <c r="DO36" s="42" t="s">
        <v>1723</v>
      </c>
      <c r="DP36" s="42" t="s">
        <v>1724</v>
      </c>
      <c r="DQ36" s="42" t="s">
        <v>1725</v>
      </c>
      <c r="DR36" s="42" t="s">
        <v>1726</v>
      </c>
      <c r="DS36" s="42" t="s">
        <v>1727</v>
      </c>
      <c r="DT36" s="42" t="s">
        <v>1728</v>
      </c>
      <c r="DU36" s="42" t="s">
        <v>1729</v>
      </c>
      <c r="DV36" s="42" t="s">
        <v>1730</v>
      </c>
      <c r="DW36" s="42" t="s">
        <v>1731</v>
      </c>
      <c r="DX36" s="42" t="s">
        <v>1732</v>
      </c>
      <c r="DY36" s="42" t="s">
        <v>1733</v>
      </c>
      <c r="DZ36" s="42" t="s">
        <v>1734</v>
      </c>
      <c r="EA36" s="43" t="s">
        <v>1735</v>
      </c>
      <c r="EB36" s="42" t="s">
        <v>1736</v>
      </c>
      <c r="EC36" s="42" t="s">
        <v>1737</v>
      </c>
      <c r="ED36" s="42" t="s">
        <v>1738</v>
      </c>
      <c r="EE36" s="43" t="s">
        <v>1739</v>
      </c>
      <c r="EF36" s="42" t="s">
        <v>1740</v>
      </c>
      <c r="EG36" s="42" t="s">
        <v>1741</v>
      </c>
      <c r="EH36" s="42" t="s">
        <v>1742</v>
      </c>
      <c r="EI36" s="43" t="s">
        <v>1743</v>
      </c>
      <c r="EJ36" s="43" t="s">
        <v>1744</v>
      </c>
      <c r="EK36" s="43" t="s">
        <v>1745</v>
      </c>
      <c r="EL36" s="43" t="s">
        <v>1746</v>
      </c>
      <c r="EM36" s="43" t="s">
        <v>1747</v>
      </c>
      <c r="EN36" s="43" t="s">
        <v>1748</v>
      </c>
      <c r="EO36" s="43" t="s">
        <v>1749</v>
      </c>
      <c r="EP36" s="42" t="s">
        <v>1750</v>
      </c>
      <c r="EQ36" s="42" t="s">
        <v>1751</v>
      </c>
      <c r="ER36" s="42" t="s">
        <v>1752</v>
      </c>
      <c r="ES36" s="42" t="s">
        <v>1753</v>
      </c>
      <c r="ET36" s="42" t="s">
        <v>1754</v>
      </c>
      <c r="EU36" s="42" t="s">
        <v>1755</v>
      </c>
      <c r="EV36" s="42" t="s">
        <v>1756</v>
      </c>
      <c r="EW36" s="42" t="s">
        <v>1757</v>
      </c>
      <c r="EX36" s="42" t="s">
        <v>1758</v>
      </c>
      <c r="EY36" s="42" t="s">
        <v>1759</v>
      </c>
      <c r="EZ36" s="42" t="s">
        <v>1760</v>
      </c>
      <c r="FA36" s="42" t="s">
        <v>1761</v>
      </c>
      <c r="FB36" s="43" t="s">
        <v>1762</v>
      </c>
      <c r="FC36" s="42" t="s">
        <v>1763</v>
      </c>
      <c r="FD36" s="42" t="s">
        <v>1764</v>
      </c>
      <c r="FE36" s="42" t="s">
        <v>1765</v>
      </c>
      <c r="FF36" s="42" t="s">
        <v>1766</v>
      </c>
      <c r="FG36" s="42" t="s">
        <v>1767</v>
      </c>
      <c r="FH36" s="42" t="s">
        <v>1768</v>
      </c>
      <c r="FI36" s="42" t="s">
        <v>1769</v>
      </c>
      <c r="FJ36" s="42" t="s">
        <v>1770</v>
      </c>
      <c r="FK36" s="42" t="s">
        <v>1771</v>
      </c>
      <c r="FL36" s="42" t="s">
        <v>1772</v>
      </c>
      <c r="FM36" s="42" t="s">
        <v>1773</v>
      </c>
      <c r="FN36" s="42" t="s">
        <v>1774</v>
      </c>
      <c r="FO36" s="42" t="s">
        <v>1775</v>
      </c>
      <c r="FP36" s="42" t="s">
        <v>1776</v>
      </c>
      <c r="FQ36" s="42" t="s">
        <v>1777</v>
      </c>
      <c r="FR36" s="42" t="s">
        <v>1778</v>
      </c>
      <c r="FS36" s="42" t="s">
        <v>1779</v>
      </c>
      <c r="FT36" s="42" t="s">
        <v>1780</v>
      </c>
      <c r="FU36" s="42" t="s">
        <v>1781</v>
      </c>
      <c r="FV36" s="42" t="s">
        <v>1782</v>
      </c>
      <c r="FW36" s="42" t="s">
        <v>1783</v>
      </c>
      <c r="FX36" s="42" t="s">
        <v>1784</v>
      </c>
      <c r="FY36" s="42" t="s">
        <v>1785</v>
      </c>
      <c r="FZ36" s="42" t="s">
        <v>1786</v>
      </c>
      <c r="GA36" s="42" t="s">
        <v>1787</v>
      </c>
      <c r="GB36" s="42" t="s">
        <v>1788</v>
      </c>
      <c r="GC36" s="42" t="s">
        <v>1789</v>
      </c>
      <c r="GD36" s="42" t="s">
        <v>1790</v>
      </c>
      <c r="GE36" s="42" t="s">
        <v>1791</v>
      </c>
    </row>
    <row r="37" spans="1:187">
      <c r="A37" s="41" t="s">
        <v>1792</v>
      </c>
      <c r="B37" t="e">
        <v>#N/A</v>
      </c>
      <c r="C37" t="e">
        <v>#N/A</v>
      </c>
      <c r="D37" t="e">
        <v>#N/A</v>
      </c>
      <c r="E37" t="e">
        <v>#N/A</v>
      </c>
      <c r="F37" t="e">
        <v>#N/A</v>
      </c>
      <c r="G37" t="e">
        <v>#N/A</v>
      </c>
      <c r="H37" t="e">
        <v>#N/A</v>
      </c>
      <c r="I37" t="e">
        <v>#N/A</v>
      </c>
      <c r="J37" t="e">
        <v>#N/A</v>
      </c>
      <c r="K37" t="e">
        <v>#N/A</v>
      </c>
      <c r="L37" t="e">
        <v>#N/A</v>
      </c>
      <c r="M37" t="e">
        <v>#N/A</v>
      </c>
      <c r="N37" t="e">
        <v>#N/A</v>
      </c>
      <c r="O37" t="e">
        <v>#N/A</v>
      </c>
      <c r="P37" t="e">
        <v>#N/A</v>
      </c>
      <c r="Q37" t="e">
        <v>#N/A</v>
      </c>
      <c r="R37" t="e">
        <v>#N/A</v>
      </c>
      <c r="S37" t="e">
        <v>#N/A</v>
      </c>
      <c r="T37" t="e">
        <v>#N/A</v>
      </c>
      <c r="U37" t="e">
        <v>#N/A</v>
      </c>
      <c r="V37" t="e">
        <v>#N/A</v>
      </c>
      <c r="W37" t="e">
        <v>#N/A</v>
      </c>
      <c r="X37" t="e">
        <v>#N/A</v>
      </c>
      <c r="Y37" t="e">
        <v>#N/A</v>
      </c>
      <c r="Z37" t="e">
        <v>#N/A</v>
      </c>
      <c r="AA37" t="e">
        <v>#N/A</v>
      </c>
      <c r="AB37" t="e">
        <v>#N/A</v>
      </c>
      <c r="AC37" t="e">
        <v>#N/A</v>
      </c>
      <c r="AD37" t="e">
        <v>#N/A</v>
      </c>
      <c r="AE37" t="e">
        <v>#N/A</v>
      </c>
      <c r="AF37" t="e">
        <v>#N/A</v>
      </c>
      <c r="AG37" t="e">
        <v>#N/A</v>
      </c>
      <c r="AH37" t="e">
        <v>#N/A</v>
      </c>
      <c r="AI37" t="e">
        <v>#N/A</v>
      </c>
      <c r="AJ37" t="e">
        <v>#N/A</v>
      </c>
      <c r="AK37" t="e">
        <v>#N/A</v>
      </c>
      <c r="AL37" t="e">
        <v>#N/A</v>
      </c>
      <c r="AM37" t="e">
        <v>#N/A</v>
      </c>
      <c r="AN37" t="e">
        <v>#N/A</v>
      </c>
      <c r="AO37" t="e">
        <v>#N/A</v>
      </c>
      <c r="AP37" t="e">
        <v>#N/A</v>
      </c>
      <c r="AQ37" t="e">
        <v>#N/A</v>
      </c>
      <c r="AR37">
        <v>4.21</v>
      </c>
      <c r="AS37" t="e">
        <v>#N/A</v>
      </c>
      <c r="AT37" t="e">
        <v>#N/A</v>
      </c>
      <c r="AU37" t="e">
        <v>#N/A</v>
      </c>
      <c r="AV37">
        <v>4.08</v>
      </c>
      <c r="AW37" t="e">
        <v>#N/A</v>
      </c>
      <c r="AX37">
        <v>3.91</v>
      </c>
      <c r="AY37" t="e">
        <v>#N/A</v>
      </c>
      <c r="AZ37">
        <v>4</v>
      </c>
      <c r="BA37" t="e">
        <v>#N/A</v>
      </c>
      <c r="BB37">
        <v>3.85</v>
      </c>
      <c r="BC37" t="e">
        <v>#N/A</v>
      </c>
      <c r="BD37">
        <v>3.8</v>
      </c>
      <c r="BE37" t="e">
        <v>#N/A</v>
      </c>
      <c r="BF37">
        <v>3.6</v>
      </c>
      <c r="BG37" t="e">
        <v>#N/A</v>
      </c>
      <c r="BH37">
        <v>3.5</v>
      </c>
      <c r="BI37" t="e">
        <v>#N/A</v>
      </c>
      <c r="BJ37">
        <v>3.4</v>
      </c>
      <c r="BK37" t="e">
        <v>#N/A</v>
      </c>
      <c r="BL37">
        <v>3.4</v>
      </c>
      <c r="BM37" t="e">
        <v>#N/A</v>
      </c>
      <c r="BN37">
        <v>3</v>
      </c>
      <c r="BO37" t="e">
        <v>#N/A</v>
      </c>
      <c r="BP37">
        <v>3.1</v>
      </c>
      <c r="BQ37" t="e">
        <v>#N/A</v>
      </c>
      <c r="BR37">
        <v>3</v>
      </c>
      <c r="BS37" t="e">
        <v>#N/A</v>
      </c>
      <c r="BT37">
        <v>2.9</v>
      </c>
      <c r="BU37" t="e">
        <v>#N/A</v>
      </c>
      <c r="BV37">
        <v>2.8</v>
      </c>
      <c r="BW37" t="e">
        <v>#N/A</v>
      </c>
      <c r="BX37">
        <v>2.7</v>
      </c>
      <c r="BY37" t="e">
        <v>#N/A</v>
      </c>
      <c r="BZ37">
        <v>2.5</v>
      </c>
      <c r="CA37" t="e">
        <v>#N/A</v>
      </c>
      <c r="CB37">
        <v>2.6</v>
      </c>
      <c r="CC37" t="e">
        <v>#N/A</v>
      </c>
      <c r="CD37">
        <v>2.5</v>
      </c>
      <c r="CE37" t="e">
        <v>#N/A</v>
      </c>
      <c r="CF37">
        <v>2.5</v>
      </c>
      <c r="CG37" t="e">
        <v>#N/A</v>
      </c>
      <c r="CH37">
        <v>2.6</v>
      </c>
      <c r="CI37" t="e">
        <v>#N/A</v>
      </c>
      <c r="CJ37">
        <v>2.6</v>
      </c>
      <c r="CK37" t="e">
        <v>#N/A</v>
      </c>
      <c r="CL37">
        <v>2.5</v>
      </c>
      <c r="CM37" t="e">
        <v>#N/A</v>
      </c>
      <c r="CN37">
        <v>2.5</v>
      </c>
      <c r="CO37" t="e">
        <v>#N/A</v>
      </c>
      <c r="CP37">
        <v>2.5</v>
      </c>
      <c r="CQ37" t="e">
        <v>#N/A</v>
      </c>
      <c r="CR37">
        <v>2.5</v>
      </c>
      <c r="CS37" t="e">
        <v>#N/A</v>
      </c>
      <c r="CT37">
        <v>2.5</v>
      </c>
      <c r="CU37" t="e">
        <v>#N/A</v>
      </c>
      <c r="CV37">
        <v>2.5</v>
      </c>
      <c r="CW37" t="e">
        <v>#N/A</v>
      </c>
      <c r="CX37">
        <v>2.5</v>
      </c>
      <c r="CY37" t="e">
        <v>#N/A</v>
      </c>
      <c r="CZ37">
        <v>2.5</v>
      </c>
      <c r="DA37" t="e">
        <v>#N/A</v>
      </c>
      <c r="DB37">
        <v>2.5</v>
      </c>
      <c r="DC37" t="e">
        <v>#N/A</v>
      </c>
      <c r="DD37">
        <v>2.5</v>
      </c>
      <c r="DE37" t="e">
        <v>#N/A</v>
      </c>
      <c r="DF37">
        <v>2.5</v>
      </c>
      <c r="DG37" t="e">
        <v>#N/A</v>
      </c>
      <c r="DH37">
        <v>2.5</v>
      </c>
      <c r="DI37" t="e">
        <v>#N/A</v>
      </c>
      <c r="DJ37">
        <v>2.5</v>
      </c>
      <c r="DK37" t="e">
        <v>#N/A</v>
      </c>
      <c r="DL37">
        <v>2.5</v>
      </c>
      <c r="DM37" t="e">
        <v>#N/A</v>
      </c>
      <c r="DN37">
        <v>2.5</v>
      </c>
      <c r="DO37" t="e">
        <v>#N/A</v>
      </c>
      <c r="DP37">
        <v>2.5</v>
      </c>
      <c r="DQ37" t="e">
        <v>#N/A</v>
      </c>
      <c r="DR37">
        <v>2.4</v>
      </c>
      <c r="DS37" t="e">
        <v>#N/A</v>
      </c>
      <c r="DT37">
        <v>2.2999999999999998</v>
      </c>
      <c r="DU37" t="e">
        <v>#N/A</v>
      </c>
      <c r="DV37">
        <v>2.5</v>
      </c>
      <c r="DW37" t="e">
        <v>#N/A</v>
      </c>
      <c r="DX37">
        <v>2.4</v>
      </c>
      <c r="DY37" t="e">
        <v>#N/A</v>
      </c>
      <c r="DZ37">
        <v>2.5</v>
      </c>
      <c r="EA37" t="e">
        <v>#N/A</v>
      </c>
      <c r="EB37">
        <v>2.5</v>
      </c>
      <c r="EC37" t="e">
        <v>#N/A</v>
      </c>
      <c r="ED37">
        <v>2.5</v>
      </c>
      <c r="EE37" t="e">
        <v>#N/A</v>
      </c>
      <c r="EF37">
        <v>2.5</v>
      </c>
      <c r="EG37" t="e">
        <v>#N/A</v>
      </c>
      <c r="EH37">
        <v>2.2999999999999998</v>
      </c>
      <c r="EI37" t="e">
        <v>#N/A</v>
      </c>
      <c r="EJ37">
        <v>2.2999999999999998</v>
      </c>
      <c r="EK37" t="e">
        <v>#N/A</v>
      </c>
      <c r="EL37">
        <v>2.2999999999999998</v>
      </c>
      <c r="EM37" t="e">
        <v>#N/A</v>
      </c>
      <c r="EN37">
        <v>2.2000000000000002</v>
      </c>
      <c r="EO37" t="e">
        <v>#N/A</v>
      </c>
      <c r="EP37">
        <v>2.2999999999999998</v>
      </c>
      <c r="EQ37" t="e">
        <v>#N/A</v>
      </c>
      <c r="ER37">
        <v>2.2999999999999998</v>
      </c>
      <c r="ES37" t="e">
        <v>#N/A</v>
      </c>
      <c r="ET37">
        <v>2.2999999999999998</v>
      </c>
      <c r="EU37" t="e">
        <v>#N/A</v>
      </c>
      <c r="EV37">
        <v>2.3199999999999998</v>
      </c>
      <c r="EW37" t="e">
        <v>#N/A</v>
      </c>
      <c r="EX37">
        <v>2.34</v>
      </c>
      <c r="EY37" t="e">
        <v>#N/A</v>
      </c>
      <c r="EZ37">
        <v>2.2799999999999998</v>
      </c>
      <c r="FA37" t="e">
        <v>#N/A</v>
      </c>
      <c r="FB37">
        <v>2.23</v>
      </c>
      <c r="FC37" t="e">
        <v>#N/A</v>
      </c>
      <c r="FD37">
        <v>2.2599999999999998</v>
      </c>
      <c r="FE37" t="e">
        <v>#N/A</v>
      </c>
      <c r="FF37">
        <v>2.2200000000000002</v>
      </c>
      <c r="FG37" t="e">
        <v>#N/A</v>
      </c>
      <c r="FH37" s="32">
        <v>2</v>
      </c>
      <c r="FI37" t="e">
        <v>#N/A</v>
      </c>
      <c r="FJ37">
        <v>2.23</v>
      </c>
      <c r="FK37" t="e">
        <v>#N/A</v>
      </c>
      <c r="FL37" s="32">
        <v>2.5</v>
      </c>
      <c r="FM37" t="e">
        <v>#N/A</v>
      </c>
      <c r="FN37" s="32">
        <v>2.4</v>
      </c>
      <c r="FO37" t="e">
        <v>#N/A</v>
      </c>
      <c r="FP37" s="32">
        <v>2.5</v>
      </c>
      <c r="FQ37" t="e">
        <v>#N/A</v>
      </c>
      <c r="FR37" s="32">
        <v>2.5</v>
      </c>
      <c r="FS37" t="e">
        <v>#N/A</v>
      </c>
      <c r="FT37" s="32">
        <v>2.4</v>
      </c>
      <c r="FU37" t="e">
        <v>#N/A</v>
      </c>
      <c r="FV37">
        <v>2.2599999999999998</v>
      </c>
      <c r="FW37" t="e">
        <v>#N/A</v>
      </c>
      <c r="FX37">
        <v>2.25</v>
      </c>
      <c r="FY37" t="e">
        <v>#N/A</v>
      </c>
      <c r="FZ37">
        <v>2.2799999999999998</v>
      </c>
      <c r="GA37" t="e">
        <v>#N/A</v>
      </c>
      <c r="GB37">
        <v>2.2599999999999998</v>
      </c>
      <c r="GC37" t="e">
        <v>#N/A</v>
      </c>
      <c r="GD37" s="32">
        <v>2.4</v>
      </c>
      <c r="GE37" t="e">
        <v>#N/A</v>
      </c>
    </row>
    <row r="38" spans="1:187">
      <c r="A38" s="41" t="s">
        <v>1793</v>
      </c>
      <c r="B38">
        <v>6.9</v>
      </c>
      <c r="C38" t="e">
        <v>#N/A</v>
      </c>
      <c r="D38">
        <v>7.85</v>
      </c>
      <c r="E38" t="e">
        <v>#N/A</v>
      </c>
      <c r="F38">
        <v>8.25</v>
      </c>
      <c r="G38" t="e">
        <v>#N/A</v>
      </c>
      <c r="H38">
        <v>7.8</v>
      </c>
      <c r="I38" t="e">
        <v>#N/A</v>
      </c>
      <c r="J38">
        <v>7.05</v>
      </c>
      <c r="K38" t="e">
        <v>#N/A</v>
      </c>
      <c r="L38">
        <v>5.7</v>
      </c>
      <c r="M38" t="e">
        <v>#N/A</v>
      </c>
      <c r="N38">
        <v>5.65</v>
      </c>
      <c r="O38">
        <v>5.3</v>
      </c>
      <c r="P38" t="e">
        <v>#N/A</v>
      </c>
      <c r="Q38" t="e">
        <v>#N/A</v>
      </c>
      <c r="R38">
        <v>5.2</v>
      </c>
      <c r="S38">
        <v>5.6</v>
      </c>
      <c r="T38" t="e">
        <v>#N/A</v>
      </c>
      <c r="U38" t="e">
        <v>#N/A</v>
      </c>
      <c r="V38">
        <v>5.2</v>
      </c>
      <c r="W38">
        <v>4.3499999999999996</v>
      </c>
      <c r="X38" t="e">
        <v>#N/A</v>
      </c>
      <c r="Y38" t="e">
        <v>#N/A</v>
      </c>
      <c r="Z38">
        <v>4.55</v>
      </c>
      <c r="AA38">
        <v>4</v>
      </c>
      <c r="AB38" t="e">
        <v>#N/A</v>
      </c>
      <c r="AC38" t="e">
        <v>#N/A</v>
      </c>
      <c r="AD38">
        <v>4</v>
      </c>
      <c r="AE38">
        <v>4.2</v>
      </c>
      <c r="AF38" t="e">
        <v>#N/A</v>
      </c>
      <c r="AG38" t="e">
        <v>#N/A</v>
      </c>
      <c r="AH38">
        <v>4.5</v>
      </c>
      <c r="AI38">
        <v>4.3</v>
      </c>
      <c r="AJ38" t="e">
        <v>#N/A</v>
      </c>
      <c r="AK38" t="e">
        <v>#N/A</v>
      </c>
      <c r="AL38">
        <v>4.3499999999999996</v>
      </c>
      <c r="AM38">
        <v>4.25</v>
      </c>
      <c r="AN38" t="e">
        <v>#N/A</v>
      </c>
      <c r="AO38" t="e">
        <v>#N/A</v>
      </c>
      <c r="AP38">
        <v>4.2</v>
      </c>
      <c r="AQ38">
        <v>3.95</v>
      </c>
      <c r="AR38" t="e">
        <v>#N/A</v>
      </c>
      <c r="AS38" t="e">
        <v>#N/A</v>
      </c>
      <c r="AT38">
        <v>4.1500000000000004</v>
      </c>
      <c r="AU38">
        <v>4.05</v>
      </c>
      <c r="AV38" t="e">
        <v>#N/A</v>
      </c>
      <c r="AW38" t="e">
        <v>#N/A</v>
      </c>
      <c r="AX38" t="e">
        <v>#N/A</v>
      </c>
      <c r="AY38" t="e">
        <v>#N/A</v>
      </c>
      <c r="AZ38" t="e">
        <v>#N/A</v>
      </c>
      <c r="BA38" t="e">
        <v>#N/A</v>
      </c>
      <c r="BB38" t="e">
        <v>#N/A</v>
      </c>
      <c r="BC38" t="e">
        <v>#N/A</v>
      </c>
      <c r="BD38" t="e">
        <v>#N/A</v>
      </c>
      <c r="BE38" t="e">
        <v>#N/A</v>
      </c>
      <c r="BF38" t="e">
        <v>#N/A</v>
      </c>
      <c r="BG38" t="e">
        <v>#N/A</v>
      </c>
      <c r="BH38" t="e">
        <v>#N/A</v>
      </c>
      <c r="BI38" t="e">
        <v>#N/A</v>
      </c>
      <c r="BJ38" t="e">
        <v>#N/A</v>
      </c>
      <c r="BK38" t="e">
        <v>#N/A</v>
      </c>
      <c r="BL38" t="e">
        <v>#N/A</v>
      </c>
      <c r="BM38" t="e">
        <v>#N/A</v>
      </c>
      <c r="BN38" t="e">
        <v>#N/A</v>
      </c>
      <c r="BO38" t="e">
        <v>#N/A</v>
      </c>
      <c r="BP38" t="e">
        <v>#N/A</v>
      </c>
      <c r="BQ38" t="e">
        <v>#N/A</v>
      </c>
      <c r="BR38" t="e">
        <v>#N/A</v>
      </c>
      <c r="BS38" t="e">
        <v>#N/A</v>
      </c>
      <c r="BT38" t="e">
        <v>#N/A</v>
      </c>
      <c r="BU38" t="e">
        <v>#N/A</v>
      </c>
      <c r="BV38" t="e">
        <v>#N/A</v>
      </c>
      <c r="BW38" t="e">
        <v>#N/A</v>
      </c>
      <c r="BX38" t="e">
        <v>#N/A</v>
      </c>
      <c r="BY38" t="e">
        <v>#N/A</v>
      </c>
      <c r="BZ38" t="e">
        <v>#N/A</v>
      </c>
      <c r="CA38" t="e">
        <v>#N/A</v>
      </c>
      <c r="CB38" t="e">
        <v>#N/A</v>
      </c>
      <c r="CC38" t="e">
        <v>#N/A</v>
      </c>
      <c r="CD38" t="e">
        <v>#N/A</v>
      </c>
      <c r="CE38" t="e">
        <v>#N/A</v>
      </c>
      <c r="CF38" t="e">
        <v>#N/A</v>
      </c>
      <c r="CG38" t="e">
        <v>#N/A</v>
      </c>
      <c r="CH38" t="e">
        <v>#N/A</v>
      </c>
      <c r="CI38" t="e">
        <v>#N/A</v>
      </c>
      <c r="CJ38" t="e">
        <v>#N/A</v>
      </c>
      <c r="CK38" t="e">
        <v>#N/A</v>
      </c>
      <c r="CL38" t="e">
        <v>#N/A</v>
      </c>
      <c r="CM38" t="e">
        <v>#N/A</v>
      </c>
      <c r="CN38" t="e">
        <v>#N/A</v>
      </c>
      <c r="CO38" t="e">
        <v>#N/A</v>
      </c>
      <c r="CP38" t="e">
        <v>#N/A</v>
      </c>
      <c r="CQ38" t="e">
        <v>#N/A</v>
      </c>
      <c r="CR38" t="e">
        <v>#N/A</v>
      </c>
      <c r="CS38" t="e">
        <v>#N/A</v>
      </c>
      <c r="CT38" t="e">
        <v>#N/A</v>
      </c>
      <c r="CU38" t="e">
        <v>#N/A</v>
      </c>
      <c r="CV38" t="e">
        <v>#N/A</v>
      </c>
      <c r="CW38" t="e">
        <v>#N/A</v>
      </c>
      <c r="CX38" t="e">
        <v>#N/A</v>
      </c>
      <c r="CY38" t="e">
        <v>#N/A</v>
      </c>
      <c r="CZ38" t="e">
        <v>#N/A</v>
      </c>
      <c r="DA38" t="e">
        <v>#N/A</v>
      </c>
      <c r="DB38" t="e">
        <v>#N/A</v>
      </c>
      <c r="DC38" t="e">
        <v>#N/A</v>
      </c>
      <c r="DD38" t="e">
        <v>#N/A</v>
      </c>
      <c r="DE38" t="e">
        <v>#N/A</v>
      </c>
      <c r="DF38" t="e">
        <v>#N/A</v>
      </c>
      <c r="DG38" t="e">
        <v>#N/A</v>
      </c>
      <c r="DH38" t="e">
        <v>#N/A</v>
      </c>
      <c r="DI38" t="e">
        <v>#N/A</v>
      </c>
      <c r="DJ38" t="e">
        <v>#N/A</v>
      </c>
      <c r="DK38" t="e">
        <v>#N/A</v>
      </c>
      <c r="DL38" t="e">
        <v>#N/A</v>
      </c>
      <c r="DM38" t="e">
        <v>#N/A</v>
      </c>
      <c r="DN38" t="e">
        <v>#N/A</v>
      </c>
      <c r="DO38" t="e">
        <v>#N/A</v>
      </c>
      <c r="DP38" t="e">
        <v>#N/A</v>
      </c>
      <c r="DQ38" t="e">
        <v>#N/A</v>
      </c>
      <c r="DR38" t="e">
        <v>#N/A</v>
      </c>
      <c r="DS38" t="e">
        <v>#N/A</v>
      </c>
      <c r="DT38" t="e">
        <v>#N/A</v>
      </c>
      <c r="DU38" t="e">
        <v>#N/A</v>
      </c>
      <c r="DV38" t="e">
        <v>#N/A</v>
      </c>
      <c r="DW38" t="e">
        <v>#N/A</v>
      </c>
      <c r="DX38" t="e">
        <v>#N/A</v>
      </c>
      <c r="DY38" t="e">
        <v>#N/A</v>
      </c>
      <c r="DZ38" t="e">
        <v>#N/A</v>
      </c>
      <c r="EA38" t="e">
        <v>#N/A</v>
      </c>
      <c r="EB38" t="e">
        <v>#N/A</v>
      </c>
      <c r="EC38" t="e">
        <v>#N/A</v>
      </c>
      <c r="ED38" t="e">
        <v>#N/A</v>
      </c>
      <c r="EE38" t="e">
        <v>#N/A</v>
      </c>
      <c r="EF38" t="e">
        <v>#N/A</v>
      </c>
      <c r="EG38" t="e">
        <v>#N/A</v>
      </c>
      <c r="EH38" t="e">
        <v>#N/A</v>
      </c>
      <c r="EI38" t="e">
        <v>#N/A</v>
      </c>
      <c r="EJ38" t="e">
        <v>#N/A</v>
      </c>
      <c r="EK38" t="e">
        <v>#N/A</v>
      </c>
      <c r="EL38" t="e">
        <v>#N/A</v>
      </c>
      <c r="EM38" t="e">
        <v>#N/A</v>
      </c>
      <c r="EN38" t="e">
        <v>#N/A</v>
      </c>
      <c r="EO38" t="e">
        <v>#N/A</v>
      </c>
      <c r="EP38" t="e">
        <v>#N/A</v>
      </c>
      <c r="EQ38" t="e">
        <v>#N/A</v>
      </c>
      <c r="ER38" t="e">
        <v>#N/A</v>
      </c>
      <c r="ES38" t="e">
        <v>#N/A</v>
      </c>
      <c r="ET38" t="e">
        <v>#N/A</v>
      </c>
      <c r="EU38" t="e">
        <v>#N/A</v>
      </c>
      <c r="EV38" t="e">
        <v>#N/A</v>
      </c>
      <c r="EW38" t="e">
        <v>#N/A</v>
      </c>
      <c r="EX38" t="e">
        <v>#N/A</v>
      </c>
      <c r="EY38" t="e">
        <v>#N/A</v>
      </c>
      <c r="EZ38" t="e">
        <v>#N/A</v>
      </c>
      <c r="FA38" t="e">
        <v>#N/A</v>
      </c>
      <c r="FB38" t="e">
        <v>#N/A</v>
      </c>
      <c r="FC38" t="e">
        <v>#N/A</v>
      </c>
      <c r="FD38" t="e">
        <v>#N/A</v>
      </c>
      <c r="FE38" t="e">
        <v>#N/A</v>
      </c>
      <c r="FF38" t="e">
        <v>#N/A</v>
      </c>
      <c r="FG38" t="e">
        <v>#N/A</v>
      </c>
      <c r="FH38" t="e">
        <v>#N/A</v>
      </c>
      <c r="FI38" t="e">
        <v>#N/A</v>
      </c>
      <c r="FJ38" t="e">
        <v>#N/A</v>
      </c>
      <c r="FK38" t="e">
        <v>#N/A</v>
      </c>
      <c r="FL38" t="e">
        <v>#N/A</v>
      </c>
      <c r="FM38" t="e">
        <v>#N/A</v>
      </c>
      <c r="FN38" t="e">
        <v>#N/A</v>
      </c>
      <c r="FO38" t="e">
        <v>#N/A</v>
      </c>
      <c r="FP38" t="e">
        <v>#N/A</v>
      </c>
      <c r="FQ38" t="e">
        <v>#N/A</v>
      </c>
      <c r="FR38" t="e">
        <v>#N/A</v>
      </c>
      <c r="FS38" t="e">
        <v>#N/A</v>
      </c>
      <c r="FT38" t="e">
        <v>#N/A</v>
      </c>
      <c r="FU38" t="e">
        <v>#N/A</v>
      </c>
      <c r="FV38" t="e">
        <v>#N/A</v>
      </c>
      <c r="FW38" t="e">
        <v>#N/A</v>
      </c>
      <c r="FX38" t="e">
        <v>#N/A</v>
      </c>
      <c r="FY38" t="e">
        <v>#N/A</v>
      </c>
      <c r="FZ38" t="e">
        <v>#N/A</v>
      </c>
      <c r="GA38" t="e">
        <v>#N/A</v>
      </c>
      <c r="GB38" t="e">
        <v>#N/A</v>
      </c>
      <c r="GC38" t="e">
        <v>#N/A</v>
      </c>
      <c r="GD38" t="e">
        <v>#N/A</v>
      </c>
      <c r="GE38" t="e">
        <v>#N/A</v>
      </c>
    </row>
    <row r="39" spans="1:187">
      <c r="A39" s="41" t="s">
        <v>1794</v>
      </c>
      <c r="B39">
        <v>6.9</v>
      </c>
      <c r="C39" t="e">
        <v>#N/A</v>
      </c>
      <c r="D39">
        <v>7.85</v>
      </c>
      <c r="E39" t="e">
        <v>#N/A</v>
      </c>
      <c r="F39">
        <v>8.25</v>
      </c>
      <c r="G39" t="e">
        <v>#N/A</v>
      </c>
      <c r="H39">
        <v>7.8</v>
      </c>
      <c r="I39" t="e">
        <v>#N/A</v>
      </c>
      <c r="J39">
        <v>7.05</v>
      </c>
      <c r="K39" t="e">
        <v>#N/A</v>
      </c>
      <c r="L39">
        <v>5.7</v>
      </c>
      <c r="M39" t="e">
        <v>#N/A</v>
      </c>
      <c r="N39">
        <v>5.65</v>
      </c>
      <c r="O39">
        <v>5.3</v>
      </c>
      <c r="P39" t="e">
        <v>#N/A</v>
      </c>
      <c r="Q39" t="e">
        <v>#N/A</v>
      </c>
      <c r="R39">
        <v>5.2</v>
      </c>
      <c r="S39">
        <v>5.6</v>
      </c>
      <c r="T39" t="e">
        <v>#N/A</v>
      </c>
      <c r="U39" t="e">
        <v>#N/A</v>
      </c>
      <c r="V39">
        <v>5.2</v>
      </c>
      <c r="W39">
        <v>4.3499999999999996</v>
      </c>
      <c r="X39" t="e">
        <v>#N/A</v>
      </c>
      <c r="Y39" t="e">
        <v>#N/A</v>
      </c>
      <c r="Z39">
        <v>4.55</v>
      </c>
      <c r="AA39">
        <v>4</v>
      </c>
      <c r="AB39" t="e">
        <v>#N/A</v>
      </c>
      <c r="AC39" t="e">
        <v>#N/A</v>
      </c>
      <c r="AD39">
        <v>4</v>
      </c>
      <c r="AE39">
        <v>4.2</v>
      </c>
      <c r="AF39" t="e">
        <v>#N/A</v>
      </c>
      <c r="AG39" t="e">
        <v>#N/A</v>
      </c>
      <c r="AH39">
        <v>4.5</v>
      </c>
      <c r="AI39">
        <v>4.3</v>
      </c>
      <c r="AJ39" t="e">
        <v>#N/A</v>
      </c>
      <c r="AK39" t="e">
        <v>#N/A</v>
      </c>
      <c r="AL39">
        <v>4.3499999999999996</v>
      </c>
      <c r="AM39">
        <v>4.25</v>
      </c>
      <c r="AN39" t="e">
        <v>#N/A</v>
      </c>
      <c r="AO39" t="e">
        <v>#N/A</v>
      </c>
      <c r="AP39">
        <v>4.2</v>
      </c>
      <c r="AQ39">
        <v>3.95</v>
      </c>
      <c r="AR39">
        <v>4.21</v>
      </c>
      <c r="AS39" t="e">
        <v>#N/A</v>
      </c>
      <c r="AT39">
        <v>4.1500000000000004</v>
      </c>
      <c r="AU39">
        <v>4.05</v>
      </c>
      <c r="AV39">
        <v>4.08</v>
      </c>
      <c r="AW39" t="e">
        <v>#N/A</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DBD9F-A309-3247-850A-5D8A62BCEAD2}">
  <dimension ref="A1:BX46"/>
  <sheetViews>
    <sheetView topLeftCell="A4" workbookViewId="0">
      <selection activeCell="B45" sqref="B45:AS46"/>
    </sheetView>
  </sheetViews>
  <sheetFormatPr baseColWidth="10" defaultColWidth="11.5" defaultRowHeight="16"/>
  <cols>
    <col min="1" max="1" width="61.6640625" customWidth="1"/>
  </cols>
  <sheetData>
    <row r="1" spans="1:76" ht="17">
      <c r="A1" s="29" t="s">
        <v>1157</v>
      </c>
    </row>
    <row r="2" spans="1:76" ht="17">
      <c r="A2" s="29" t="s">
        <v>1148</v>
      </c>
    </row>
    <row r="3" spans="1:76" ht="17">
      <c r="A3" s="29" t="s">
        <v>1149</v>
      </c>
    </row>
    <row r="4" spans="1:76" ht="17">
      <c r="A4" s="29" t="s">
        <v>1150</v>
      </c>
    </row>
    <row r="5" spans="1:76" ht="34">
      <c r="A5" s="29" t="s">
        <v>1151</v>
      </c>
    </row>
    <row r="6" spans="1:76" ht="17">
      <c r="A6" s="29" t="s">
        <v>1586</v>
      </c>
    </row>
    <row r="7" spans="1:76">
      <c r="A7" s="29"/>
    </row>
    <row r="8" spans="1:76" ht="17">
      <c r="A8" s="29" t="s">
        <v>1152</v>
      </c>
      <c r="B8" t="s">
        <v>1153</v>
      </c>
      <c r="C8" t="s">
        <v>1154</v>
      </c>
    </row>
    <row r="9" spans="1:76">
      <c r="A9" s="29"/>
      <c r="B9" s="30">
        <v>9133</v>
      </c>
      <c r="C9" s="30">
        <v>9498</v>
      </c>
      <c r="D9" s="30">
        <v>9863</v>
      </c>
      <c r="E9" s="30">
        <v>10228</v>
      </c>
      <c r="F9" s="30">
        <v>10594</v>
      </c>
      <c r="G9" s="30">
        <v>10959</v>
      </c>
      <c r="H9" s="30">
        <v>11324</v>
      </c>
      <c r="I9" s="30">
        <v>11689</v>
      </c>
      <c r="J9" s="30">
        <v>12055</v>
      </c>
      <c r="K9" s="30">
        <v>12420</v>
      </c>
      <c r="L9" s="30">
        <v>12785</v>
      </c>
      <c r="M9" s="30">
        <v>13150</v>
      </c>
      <c r="N9" s="30">
        <v>13516</v>
      </c>
      <c r="O9" s="30">
        <v>13881</v>
      </c>
      <c r="P9" s="30">
        <v>14246</v>
      </c>
      <c r="Q9" s="30">
        <v>14611</v>
      </c>
      <c r="R9" s="30">
        <v>14977</v>
      </c>
      <c r="S9" s="30">
        <v>15342</v>
      </c>
      <c r="T9" s="30">
        <v>15707</v>
      </c>
      <c r="U9" s="30">
        <v>16072</v>
      </c>
      <c r="V9" s="30">
        <v>16438</v>
      </c>
      <c r="W9" s="30">
        <v>16803</v>
      </c>
      <c r="X9" s="30">
        <v>17168</v>
      </c>
      <c r="Y9" s="30">
        <v>17533</v>
      </c>
      <c r="Z9" s="30">
        <v>17899</v>
      </c>
      <c r="AA9" s="30">
        <v>18264</v>
      </c>
      <c r="AB9" s="30">
        <v>18629</v>
      </c>
      <c r="AC9" s="30">
        <v>18994</v>
      </c>
      <c r="AD9" s="30">
        <v>19360</v>
      </c>
      <c r="AE9" s="30">
        <v>19725</v>
      </c>
      <c r="AF9" s="30">
        <v>20090</v>
      </c>
      <c r="AG9" s="30">
        <v>20455</v>
      </c>
      <c r="AH9" s="30">
        <v>20821</v>
      </c>
      <c r="AI9" s="30">
        <v>21186</v>
      </c>
      <c r="AJ9" s="30">
        <v>21551</v>
      </c>
      <c r="AK9" s="30">
        <v>21916</v>
      </c>
      <c r="AL9" s="30">
        <v>22282</v>
      </c>
      <c r="AM9" s="30">
        <v>22647</v>
      </c>
      <c r="AN9" s="30">
        <v>23012</v>
      </c>
      <c r="AO9" s="30">
        <v>23377</v>
      </c>
      <c r="AP9" s="30">
        <v>23743</v>
      </c>
      <c r="AQ9" s="30">
        <v>24108</v>
      </c>
      <c r="AR9" s="30">
        <v>24473</v>
      </c>
      <c r="AS9" s="30">
        <v>24838</v>
      </c>
      <c r="AT9" s="30">
        <v>25204</v>
      </c>
      <c r="AU9" s="30">
        <v>25569</v>
      </c>
      <c r="AV9" s="30">
        <v>25934</v>
      </c>
      <c r="AW9" s="30">
        <v>26299</v>
      </c>
      <c r="AX9" s="30">
        <v>26665</v>
      </c>
      <c r="AY9" s="30">
        <v>27030</v>
      </c>
      <c r="AZ9" s="30">
        <v>27395</v>
      </c>
      <c r="BA9" s="30">
        <v>27760</v>
      </c>
      <c r="BB9" s="30">
        <v>28126</v>
      </c>
      <c r="BC9" s="30">
        <v>28491</v>
      </c>
      <c r="BD9" s="30">
        <v>28856</v>
      </c>
      <c r="BE9" s="30">
        <v>29221</v>
      </c>
      <c r="BF9" s="30">
        <v>29587</v>
      </c>
      <c r="BG9" s="30">
        <v>29952</v>
      </c>
      <c r="BH9" s="30">
        <v>30317</v>
      </c>
      <c r="BI9" s="30">
        <v>30682</v>
      </c>
      <c r="BJ9" s="30">
        <v>31048</v>
      </c>
      <c r="BK9" s="30">
        <v>31413</v>
      </c>
      <c r="BL9" s="30">
        <v>31778</v>
      </c>
      <c r="BM9" s="30">
        <v>32143</v>
      </c>
      <c r="BN9" s="30">
        <v>32509</v>
      </c>
      <c r="BO9" s="30">
        <v>32874</v>
      </c>
      <c r="BP9" s="30">
        <v>33239</v>
      </c>
      <c r="BQ9" s="30">
        <v>33604</v>
      </c>
      <c r="BR9" s="30">
        <v>33970</v>
      </c>
      <c r="BS9" s="30">
        <v>34335</v>
      </c>
      <c r="BT9" s="30">
        <v>34700</v>
      </c>
      <c r="BU9" s="30">
        <v>35065</v>
      </c>
      <c r="BV9" s="30">
        <v>35431</v>
      </c>
      <c r="BW9" s="30">
        <v>35796</v>
      </c>
      <c r="BX9" s="30">
        <v>36161</v>
      </c>
    </row>
    <row r="10" spans="1:76">
      <c r="A10" s="29"/>
      <c r="B10">
        <v>3.8</v>
      </c>
      <c r="C10">
        <v>3.56</v>
      </c>
      <c r="D10">
        <v>3.17</v>
      </c>
      <c r="E10">
        <v>3.45</v>
      </c>
      <c r="F10">
        <v>3.36</v>
      </c>
      <c r="G10">
        <v>3.22</v>
      </c>
      <c r="H10">
        <v>3.93</v>
      </c>
      <c r="I10">
        <v>3.35</v>
      </c>
      <c r="J10">
        <v>3.53</v>
      </c>
      <c r="K10">
        <v>3.01</v>
      </c>
      <c r="L10">
        <v>2.84</v>
      </c>
      <c r="M10">
        <v>2.59</v>
      </c>
      <c r="N10">
        <v>2.73</v>
      </c>
      <c r="O10">
        <v>2.56</v>
      </c>
      <c r="P10">
        <v>2.35</v>
      </c>
      <c r="Q10">
        <v>2.0099999999999998</v>
      </c>
      <c r="R10">
        <v>2.4700000000000002</v>
      </c>
      <c r="S10">
        <v>2.4900000000000002</v>
      </c>
      <c r="T10">
        <v>2.4900000000000002</v>
      </c>
      <c r="U10">
        <v>2.48</v>
      </c>
      <c r="V10">
        <v>2.33</v>
      </c>
      <c r="W10">
        <v>2.2400000000000002</v>
      </c>
      <c r="X10">
        <v>2.39</v>
      </c>
      <c r="Y10">
        <v>2.44</v>
      </c>
      <c r="Z10">
        <v>2.19</v>
      </c>
      <c r="AA10">
        <v>2.39</v>
      </c>
      <c r="AB10">
        <v>2.7</v>
      </c>
      <c r="AC10">
        <v>2.75</v>
      </c>
      <c r="AD10">
        <v>2.79</v>
      </c>
      <c r="AE10">
        <v>2.59</v>
      </c>
      <c r="AF10">
        <v>2.91</v>
      </c>
      <c r="AG10">
        <v>3.4</v>
      </c>
      <c r="AH10">
        <v>3.3</v>
      </c>
      <c r="AI10">
        <v>3.8</v>
      </c>
      <c r="AJ10">
        <v>4.2699999999999996</v>
      </c>
      <c r="AK10">
        <v>3.88</v>
      </c>
      <c r="AL10">
        <v>4.0599999999999996</v>
      </c>
      <c r="AM10">
        <v>3.87</v>
      </c>
      <c r="AN10">
        <v>4.1399999999999997</v>
      </c>
      <c r="AO10">
        <v>4.1399999999999997</v>
      </c>
      <c r="AP10">
        <v>4.43</v>
      </c>
      <c r="AQ10">
        <v>4.6500000000000004</v>
      </c>
      <c r="AR10">
        <v>5.36</v>
      </c>
      <c r="AS10">
        <v>5.65</v>
      </c>
      <c r="AT10">
        <v>6.81</v>
      </c>
      <c r="AU10">
        <v>5.97</v>
      </c>
      <c r="AV10">
        <v>5.62</v>
      </c>
      <c r="AW10">
        <v>5.63</v>
      </c>
      <c r="AX10">
        <v>6.35</v>
      </c>
      <c r="AY10">
        <v>6.78</v>
      </c>
      <c r="AZ10">
        <v>7.17</v>
      </c>
      <c r="BA10">
        <v>6.39</v>
      </c>
      <c r="BB10">
        <v>7.23</v>
      </c>
      <c r="BC10">
        <v>8.35</v>
      </c>
      <c r="BD10">
        <v>9.59</v>
      </c>
      <c r="BE10">
        <v>11.89</v>
      </c>
      <c r="BF10">
        <v>12.88</v>
      </c>
      <c r="BG10">
        <v>10.33</v>
      </c>
      <c r="BH10">
        <v>11.44</v>
      </c>
      <c r="BI10">
        <v>11.21</v>
      </c>
      <c r="BJ10">
        <v>9.59</v>
      </c>
      <c r="BK10">
        <v>7.67</v>
      </c>
      <c r="BL10">
        <v>9.1199999999999992</v>
      </c>
      <c r="BM10">
        <v>9.1300000000000008</v>
      </c>
      <c r="BN10">
        <v>8.02</v>
      </c>
      <c r="BO10">
        <v>8.31</v>
      </c>
      <c r="BP10">
        <v>7.58</v>
      </c>
      <c r="BQ10">
        <v>7.3</v>
      </c>
      <c r="BR10">
        <v>6.27</v>
      </c>
      <c r="BS10">
        <v>7.97</v>
      </c>
      <c r="BT10">
        <v>6.11</v>
      </c>
      <c r="BU10">
        <v>6.63</v>
      </c>
      <c r="BV10">
        <v>6.06</v>
      </c>
      <c r="BW10">
        <v>5.29</v>
      </c>
      <c r="BX10">
        <v>6.63</v>
      </c>
    </row>
    <row r="12" spans="1:76" ht="17">
      <c r="A12" s="29" t="s">
        <v>1157</v>
      </c>
    </row>
    <row r="13" spans="1:76" ht="17">
      <c r="A13" s="29" t="s">
        <v>1148</v>
      </c>
    </row>
    <row r="14" spans="1:76" ht="17">
      <c r="A14" s="29" t="s">
        <v>1149</v>
      </c>
    </row>
    <row r="15" spans="1:76" ht="17">
      <c r="A15" s="29" t="s">
        <v>1150</v>
      </c>
    </row>
    <row r="16" spans="1:76" ht="34">
      <c r="A16" s="29" t="s">
        <v>1151</v>
      </c>
    </row>
    <row r="17" spans="1:73" ht="17">
      <c r="A17" s="29" t="s">
        <v>1587</v>
      </c>
    </row>
    <row r="18" spans="1:73">
      <c r="A18" s="29"/>
    </row>
    <row r="19" spans="1:73" ht="17">
      <c r="A19" s="29" t="s">
        <v>1588</v>
      </c>
      <c r="B19" t="s">
        <v>1156</v>
      </c>
      <c r="C19" t="s">
        <v>1585</v>
      </c>
    </row>
    <row r="20" spans="1:73">
      <c r="A20" t="s">
        <v>1155</v>
      </c>
      <c r="B20" s="31">
        <v>19725</v>
      </c>
      <c r="C20" s="31">
        <v>20090</v>
      </c>
      <c r="D20" s="31">
        <v>20455</v>
      </c>
      <c r="E20" s="31">
        <v>20821</v>
      </c>
      <c r="F20" s="31">
        <v>21186</v>
      </c>
      <c r="G20" s="31">
        <v>21551</v>
      </c>
      <c r="H20" s="31">
        <v>21916</v>
      </c>
      <c r="I20" s="31">
        <v>22282</v>
      </c>
      <c r="J20" s="31">
        <v>22647</v>
      </c>
      <c r="K20" s="31">
        <v>23012</v>
      </c>
      <c r="L20" s="31">
        <v>23377</v>
      </c>
      <c r="M20" s="31">
        <v>23743</v>
      </c>
      <c r="N20" s="31">
        <v>24108</v>
      </c>
      <c r="O20" s="31">
        <v>24473</v>
      </c>
      <c r="P20" s="31">
        <v>24838</v>
      </c>
      <c r="Q20" s="31">
        <v>25204</v>
      </c>
      <c r="R20" s="31">
        <v>25569</v>
      </c>
      <c r="S20" s="31">
        <v>25934</v>
      </c>
      <c r="T20" s="31">
        <v>26299</v>
      </c>
      <c r="U20" s="31">
        <v>26665</v>
      </c>
      <c r="V20" s="31">
        <v>27030</v>
      </c>
      <c r="W20" s="31">
        <v>27395</v>
      </c>
      <c r="X20" s="31">
        <v>27760</v>
      </c>
      <c r="Y20" s="31">
        <v>28126</v>
      </c>
      <c r="Z20" s="31">
        <v>28491</v>
      </c>
      <c r="AA20" s="31">
        <v>28856</v>
      </c>
      <c r="AB20" s="31">
        <v>29221</v>
      </c>
      <c r="AC20" s="31">
        <v>29587</v>
      </c>
      <c r="AD20" s="31">
        <v>29952</v>
      </c>
      <c r="AE20" s="31">
        <v>30317</v>
      </c>
      <c r="AF20" s="31">
        <v>30682</v>
      </c>
      <c r="AG20" s="31">
        <v>31048</v>
      </c>
      <c r="AH20" s="31">
        <v>31413</v>
      </c>
      <c r="AI20" s="31">
        <v>31778</v>
      </c>
      <c r="AJ20" s="31">
        <v>32143</v>
      </c>
      <c r="AK20" s="31">
        <v>32509</v>
      </c>
      <c r="AL20" s="31">
        <v>32874</v>
      </c>
      <c r="AM20" s="31">
        <v>33239</v>
      </c>
      <c r="AN20" s="31">
        <v>33604</v>
      </c>
      <c r="AO20" s="31">
        <v>33970</v>
      </c>
      <c r="AP20" s="31">
        <v>34335</v>
      </c>
      <c r="AQ20" s="31">
        <v>34700</v>
      </c>
      <c r="AR20" s="31">
        <v>35065</v>
      </c>
      <c r="AS20" s="31">
        <v>35431</v>
      </c>
      <c r="AT20" s="31">
        <v>35796</v>
      </c>
      <c r="AU20" s="31">
        <v>36161</v>
      </c>
      <c r="AV20" s="31">
        <v>36526</v>
      </c>
      <c r="AW20" s="31">
        <v>36892</v>
      </c>
      <c r="AX20" s="31">
        <v>37257</v>
      </c>
      <c r="AY20" s="31">
        <v>37622</v>
      </c>
      <c r="AZ20" s="31">
        <v>37987</v>
      </c>
      <c r="BA20" s="31">
        <v>38353</v>
      </c>
      <c r="BB20" s="31">
        <v>38718</v>
      </c>
      <c r="BC20" s="31">
        <v>39083</v>
      </c>
      <c r="BD20" s="31">
        <v>39448</v>
      </c>
      <c r="BE20" s="31">
        <v>39814</v>
      </c>
      <c r="BF20" s="31">
        <v>40179</v>
      </c>
      <c r="BG20" s="31">
        <v>40544</v>
      </c>
      <c r="BH20" s="31">
        <v>40909</v>
      </c>
      <c r="BI20" s="31">
        <v>41275</v>
      </c>
      <c r="BJ20" s="31">
        <v>41640</v>
      </c>
      <c r="BK20" s="31">
        <v>42005</v>
      </c>
      <c r="BL20" s="31">
        <v>42370</v>
      </c>
      <c r="BM20" s="31">
        <v>42736</v>
      </c>
      <c r="BN20" s="31">
        <v>43101</v>
      </c>
      <c r="BO20" s="31">
        <v>43466</v>
      </c>
      <c r="BP20" s="31">
        <v>43831</v>
      </c>
      <c r="BQ20" s="31">
        <v>44197</v>
      </c>
      <c r="BR20" s="31">
        <v>44562</v>
      </c>
      <c r="BS20" s="31">
        <v>44927</v>
      </c>
      <c r="BT20" s="31">
        <v>45292</v>
      </c>
      <c r="BU20" s="31">
        <v>45658</v>
      </c>
    </row>
    <row r="21" spans="1:73">
      <c r="A21" t="s">
        <v>1588</v>
      </c>
      <c r="B21" s="32">
        <v>2.5099999999999998</v>
      </c>
      <c r="C21" s="32">
        <v>2.96</v>
      </c>
      <c r="D21" s="32">
        <v>3.59</v>
      </c>
      <c r="E21" s="32">
        <v>3.21</v>
      </c>
      <c r="F21" s="32">
        <v>3.86</v>
      </c>
      <c r="G21" s="32">
        <v>4.6900000000000004</v>
      </c>
      <c r="H21" s="32">
        <v>3.84</v>
      </c>
      <c r="I21" s="32">
        <v>4.0599999999999996</v>
      </c>
      <c r="J21" s="32">
        <v>3.86</v>
      </c>
      <c r="K21" s="32">
        <v>4.13</v>
      </c>
      <c r="L21" s="32">
        <v>4.18</v>
      </c>
      <c r="M21" s="32">
        <v>4.62</v>
      </c>
      <c r="N21" s="32">
        <v>4.84</v>
      </c>
      <c r="O21" s="32">
        <v>5.7</v>
      </c>
      <c r="P21" s="32">
        <v>6.03</v>
      </c>
      <c r="Q21" s="32">
        <v>7.65</v>
      </c>
      <c r="R21" s="32">
        <v>6.39</v>
      </c>
      <c r="S21" s="32">
        <v>5.93</v>
      </c>
      <c r="T21" s="32">
        <v>6.36</v>
      </c>
      <c r="U21" s="32">
        <v>6.74</v>
      </c>
      <c r="V21" s="32">
        <v>7.43</v>
      </c>
      <c r="W21" s="32">
        <v>8</v>
      </c>
      <c r="X21" s="32">
        <v>6.87</v>
      </c>
      <c r="Y21" s="32">
        <v>7.69</v>
      </c>
      <c r="Z21" s="32">
        <v>9.01</v>
      </c>
      <c r="AA21" s="32">
        <v>10.39</v>
      </c>
      <c r="AB21" s="32">
        <v>12.84</v>
      </c>
      <c r="AC21" s="32">
        <v>13.72</v>
      </c>
      <c r="AD21" s="32">
        <v>10.54</v>
      </c>
      <c r="AE21" s="32">
        <v>11.83</v>
      </c>
      <c r="AF21" s="32">
        <v>11.5</v>
      </c>
      <c r="AG21" s="32">
        <v>9.26</v>
      </c>
      <c r="AH21" s="32">
        <v>7.11</v>
      </c>
      <c r="AI21" s="32">
        <v>8.99</v>
      </c>
      <c r="AJ21" s="32">
        <v>9.11</v>
      </c>
      <c r="AK21" s="32">
        <v>7.84</v>
      </c>
      <c r="AL21" s="32">
        <v>8.08</v>
      </c>
      <c r="AM21" s="32">
        <v>7.09</v>
      </c>
      <c r="AN21" s="32">
        <v>6.77</v>
      </c>
      <c r="AO21" s="32">
        <v>5.77</v>
      </c>
      <c r="AP21" s="32">
        <v>7.81</v>
      </c>
      <c r="AQ21" s="32">
        <v>5.71</v>
      </c>
      <c r="AR21" s="32">
        <v>6.3</v>
      </c>
      <c r="AS21" s="32">
        <v>5.81</v>
      </c>
      <c r="AT21" s="32">
        <v>4.6500000000000004</v>
      </c>
      <c r="AU21" s="32">
        <v>6.28</v>
      </c>
      <c r="AV21" s="32">
        <v>5.24</v>
      </c>
      <c r="AW21" s="32">
        <v>5.09</v>
      </c>
      <c r="AX21" s="32">
        <v>4.03</v>
      </c>
      <c r="AY21" s="32">
        <v>4.2699999999999996</v>
      </c>
      <c r="AZ21" s="32">
        <v>4.2300000000000004</v>
      </c>
      <c r="BA21" s="32">
        <v>4.47</v>
      </c>
      <c r="BB21" s="32">
        <v>4.5599999999999996</v>
      </c>
      <c r="BC21" s="32">
        <v>4.0999999999999996</v>
      </c>
      <c r="BD21" s="32">
        <v>2.42</v>
      </c>
      <c r="BE21" s="32">
        <v>3.59</v>
      </c>
      <c r="BF21" s="32">
        <v>3.29</v>
      </c>
      <c r="BG21" s="32">
        <v>1.98</v>
      </c>
      <c r="BH21" s="32">
        <v>1.72</v>
      </c>
      <c r="BI21" s="32">
        <v>2.9</v>
      </c>
      <c r="BJ21" s="32">
        <v>2.21</v>
      </c>
      <c r="BK21" s="32">
        <v>2.2400000000000002</v>
      </c>
      <c r="BL21" s="32">
        <v>2.4900000000000002</v>
      </c>
      <c r="BM21" s="32">
        <v>2.4</v>
      </c>
      <c r="BN21" s="32">
        <v>2.83</v>
      </c>
      <c r="BO21" s="32">
        <v>1.86</v>
      </c>
      <c r="BP21" s="32">
        <v>0.93</v>
      </c>
      <c r="BQ21" s="32">
        <v>1.47</v>
      </c>
      <c r="BR21" s="32">
        <v>3.62</v>
      </c>
      <c r="BS21" s="32">
        <v>4.0199999999999996</v>
      </c>
      <c r="BT21" s="32">
        <v>4.3899999999999997</v>
      </c>
      <c r="BU21" s="32">
        <v>4.1399999999999997</v>
      </c>
    </row>
    <row r="24" spans="1:73" ht="20" customHeight="1">
      <c r="A24" s="29" t="s">
        <v>1157</v>
      </c>
    </row>
    <row r="25" spans="1:73" ht="20" customHeight="1">
      <c r="A25" s="29" t="s">
        <v>1148</v>
      </c>
    </row>
    <row r="26" spans="1:73" ht="20" customHeight="1">
      <c r="A26" s="29" t="s">
        <v>1149</v>
      </c>
    </row>
    <row r="27" spans="1:73" ht="20" customHeight="1">
      <c r="A27" s="29" t="s">
        <v>1150</v>
      </c>
    </row>
    <row r="28" spans="1:73" ht="20" customHeight="1">
      <c r="A28" s="29" t="s">
        <v>1151</v>
      </c>
    </row>
    <row r="29" spans="1:73" ht="20" customHeight="1">
      <c r="A29" s="29" t="s">
        <v>1583</v>
      </c>
    </row>
    <row r="30" spans="1:73">
      <c r="A30" s="29"/>
    </row>
    <row r="31" spans="1:73" ht="17">
      <c r="A31" s="29" t="s">
        <v>1584</v>
      </c>
      <c r="B31" t="s">
        <v>1159</v>
      </c>
      <c r="C31" t="s">
        <v>1585</v>
      </c>
    </row>
    <row r="32" spans="1:73">
      <c r="A32" t="s">
        <v>1155</v>
      </c>
      <c r="B32" s="30">
        <v>19725</v>
      </c>
      <c r="C32">
        <v>20090</v>
      </c>
      <c r="D32">
        <v>20455</v>
      </c>
      <c r="E32">
        <v>20821</v>
      </c>
      <c r="F32">
        <v>21186</v>
      </c>
      <c r="G32">
        <v>21551</v>
      </c>
      <c r="H32">
        <v>21916</v>
      </c>
      <c r="I32">
        <v>22282</v>
      </c>
      <c r="J32">
        <v>22647</v>
      </c>
      <c r="K32">
        <v>23012</v>
      </c>
      <c r="L32">
        <v>23377</v>
      </c>
      <c r="M32">
        <v>23743</v>
      </c>
      <c r="N32">
        <v>24108</v>
      </c>
      <c r="O32">
        <v>24473</v>
      </c>
      <c r="P32">
        <v>24838</v>
      </c>
      <c r="Q32">
        <v>25204</v>
      </c>
      <c r="R32">
        <v>25569</v>
      </c>
      <c r="S32">
        <v>25934</v>
      </c>
      <c r="T32">
        <v>26299</v>
      </c>
      <c r="U32">
        <v>26665</v>
      </c>
      <c r="V32">
        <v>27030</v>
      </c>
      <c r="W32">
        <v>27395</v>
      </c>
      <c r="X32">
        <v>27760</v>
      </c>
      <c r="Y32">
        <v>28126</v>
      </c>
      <c r="Z32">
        <v>28491</v>
      </c>
      <c r="AA32">
        <v>28856</v>
      </c>
      <c r="AB32">
        <v>29221</v>
      </c>
      <c r="AC32">
        <v>29587</v>
      </c>
      <c r="AD32">
        <v>29952</v>
      </c>
      <c r="AE32">
        <v>30317</v>
      </c>
      <c r="AF32">
        <v>30682</v>
      </c>
      <c r="AG32">
        <v>31048</v>
      </c>
      <c r="AH32">
        <v>31413</v>
      </c>
      <c r="AI32">
        <v>31778</v>
      </c>
      <c r="AJ32">
        <v>32143</v>
      </c>
      <c r="AK32">
        <v>32509</v>
      </c>
      <c r="AL32">
        <v>32874</v>
      </c>
      <c r="AM32">
        <v>33239</v>
      </c>
      <c r="AN32">
        <v>33604</v>
      </c>
      <c r="AO32">
        <v>33970</v>
      </c>
      <c r="AP32">
        <v>34335</v>
      </c>
      <c r="AQ32">
        <v>34700</v>
      </c>
      <c r="AR32">
        <v>35065</v>
      </c>
      <c r="AS32">
        <v>35431</v>
      </c>
      <c r="AT32">
        <v>35796</v>
      </c>
      <c r="AU32">
        <v>36161</v>
      </c>
      <c r="AV32">
        <v>36526</v>
      </c>
      <c r="AW32">
        <v>36892</v>
      </c>
      <c r="AX32">
        <v>37257</v>
      </c>
      <c r="AY32">
        <v>37622</v>
      </c>
      <c r="AZ32">
        <v>37987</v>
      </c>
      <c r="BA32">
        <v>38353</v>
      </c>
      <c r="BB32">
        <v>38718</v>
      </c>
      <c r="BC32">
        <v>39083</v>
      </c>
      <c r="BD32">
        <v>39448</v>
      </c>
      <c r="BE32">
        <v>39814</v>
      </c>
      <c r="BF32">
        <v>40179</v>
      </c>
      <c r="BG32">
        <v>40544</v>
      </c>
      <c r="BH32">
        <v>40909</v>
      </c>
      <c r="BI32">
        <v>41275</v>
      </c>
      <c r="BJ32">
        <v>41640</v>
      </c>
      <c r="BK32">
        <v>42005</v>
      </c>
      <c r="BL32">
        <v>42370</v>
      </c>
      <c r="BM32">
        <v>42736</v>
      </c>
      <c r="BN32">
        <v>43101</v>
      </c>
      <c r="BO32">
        <v>43466</v>
      </c>
      <c r="BP32">
        <v>43831</v>
      </c>
      <c r="BQ32">
        <v>44197</v>
      </c>
      <c r="BR32">
        <v>44562</v>
      </c>
      <c r="BS32">
        <v>44927</v>
      </c>
      <c r="BT32">
        <v>45292</v>
      </c>
      <c r="BU32">
        <v>45658</v>
      </c>
    </row>
    <row r="33" spans="1:73">
      <c r="A33" t="s">
        <v>1158</v>
      </c>
      <c r="B33">
        <v>1.21</v>
      </c>
      <c r="C33">
        <v>2.73</v>
      </c>
      <c r="D33">
        <v>3.68</v>
      </c>
      <c r="E33">
        <v>3.18</v>
      </c>
      <c r="F33">
        <v>3.29</v>
      </c>
      <c r="G33">
        <v>5.14</v>
      </c>
      <c r="H33">
        <v>2.86</v>
      </c>
      <c r="I33">
        <v>3.18</v>
      </c>
      <c r="J33">
        <v>3.01</v>
      </c>
      <c r="K33">
        <v>3.81</v>
      </c>
      <c r="L33">
        <v>4.0199999999999996</v>
      </c>
      <c r="M33">
        <v>4.72</v>
      </c>
      <c r="N33">
        <v>5.2</v>
      </c>
      <c r="O33">
        <v>5.71</v>
      </c>
      <c r="P33">
        <v>6.19</v>
      </c>
      <c r="Q33">
        <v>8.17</v>
      </c>
      <c r="R33">
        <v>5</v>
      </c>
      <c r="S33">
        <v>4.5999999999999996</v>
      </c>
      <c r="T33">
        <v>5.52</v>
      </c>
      <c r="U33">
        <v>7.27</v>
      </c>
      <c r="V33">
        <v>7.31</v>
      </c>
      <c r="W33">
        <v>6.6</v>
      </c>
      <c r="X33">
        <v>4.8899999999999997</v>
      </c>
      <c r="Y33">
        <v>6.96</v>
      </c>
      <c r="Z33">
        <v>10.3</v>
      </c>
      <c r="AA33">
        <v>11.98</v>
      </c>
      <c r="AB33">
        <v>14.88</v>
      </c>
      <c r="AC33">
        <v>12.85</v>
      </c>
      <c r="AD33">
        <v>8.91</v>
      </c>
      <c r="AE33">
        <v>10.11</v>
      </c>
      <c r="AF33">
        <v>9.33</v>
      </c>
      <c r="AG33">
        <v>7.67</v>
      </c>
      <c r="AH33">
        <v>5.87</v>
      </c>
      <c r="AI33">
        <v>7.17</v>
      </c>
      <c r="AJ33">
        <v>8.99</v>
      </c>
      <c r="AK33">
        <v>7.72</v>
      </c>
      <c r="AL33">
        <v>7.05</v>
      </c>
      <c r="AM33">
        <v>4.38</v>
      </c>
      <c r="AN33">
        <v>3.71</v>
      </c>
      <c r="AO33">
        <v>3.61</v>
      </c>
      <c r="AP33">
        <v>7.14</v>
      </c>
      <c r="AQ33">
        <v>5.31</v>
      </c>
      <c r="AR33">
        <v>5.47</v>
      </c>
      <c r="AS33">
        <v>5.53</v>
      </c>
      <c r="AT33">
        <v>4.5199999999999996</v>
      </c>
      <c r="AU33">
        <v>5.84</v>
      </c>
      <c r="AV33">
        <v>5.6</v>
      </c>
      <c r="AW33">
        <v>2.2200000000000002</v>
      </c>
      <c r="AX33">
        <v>1.45</v>
      </c>
      <c r="AY33">
        <v>1.31</v>
      </c>
      <c r="AZ33">
        <v>2.67</v>
      </c>
      <c r="BA33">
        <v>4.3499999999999996</v>
      </c>
      <c r="BB33">
        <v>4.9400000000000004</v>
      </c>
      <c r="BC33">
        <v>3.26</v>
      </c>
      <c r="BD33">
        <v>0.49</v>
      </c>
      <c r="BE33">
        <v>0.37</v>
      </c>
      <c r="BF33">
        <v>0.28999999999999998</v>
      </c>
      <c r="BG33">
        <v>0.12</v>
      </c>
      <c r="BH33">
        <v>0.16</v>
      </c>
      <c r="BI33">
        <v>0.13</v>
      </c>
      <c r="BJ33">
        <v>0.21</v>
      </c>
      <c r="BK33">
        <v>0.65</v>
      </c>
      <c r="BL33">
        <v>0.87</v>
      </c>
      <c r="BM33">
        <v>1.7</v>
      </c>
      <c r="BN33">
        <v>2.66</v>
      </c>
      <c r="BO33">
        <v>1.55</v>
      </c>
      <c r="BP33">
        <v>0.1</v>
      </c>
      <c r="BQ33">
        <v>0.3</v>
      </c>
      <c r="BR33">
        <v>4.68</v>
      </c>
      <c r="BS33">
        <v>4.96</v>
      </c>
      <c r="BT33">
        <v>4.2300000000000004</v>
      </c>
      <c r="BU33">
        <v>3.54</v>
      </c>
    </row>
    <row r="37" spans="1:73" ht="17">
      <c r="A37" s="29" t="s">
        <v>1157</v>
      </c>
    </row>
    <row r="38" spans="1:73" ht="17">
      <c r="A38" s="29" t="s">
        <v>1148</v>
      </c>
    </row>
    <row r="39" spans="1:73" ht="17">
      <c r="A39" s="29" t="s">
        <v>1149</v>
      </c>
    </row>
    <row r="40" spans="1:73" ht="17">
      <c r="A40" s="29" t="s">
        <v>1150</v>
      </c>
    </row>
    <row r="41" spans="1:73" ht="34">
      <c r="A41" s="29" t="s">
        <v>1151</v>
      </c>
    </row>
    <row r="42" spans="1:73" ht="17">
      <c r="A42" s="29" t="s">
        <v>1589</v>
      </c>
    </row>
    <row r="43" spans="1:73">
      <c r="A43" s="29"/>
    </row>
    <row r="44" spans="1:73" ht="17">
      <c r="A44" s="29" t="s">
        <v>1160</v>
      </c>
      <c r="B44" t="s">
        <v>1161</v>
      </c>
      <c r="C44" t="s">
        <v>1590</v>
      </c>
    </row>
    <row r="45" spans="1:73">
      <c r="A45" t="s">
        <v>1155</v>
      </c>
      <c r="B45" s="31">
        <v>29952</v>
      </c>
      <c r="C45" s="31">
        <v>30317</v>
      </c>
      <c r="D45" s="31">
        <v>30682</v>
      </c>
      <c r="E45" s="31">
        <v>31048</v>
      </c>
      <c r="F45" s="31">
        <v>31413</v>
      </c>
      <c r="G45" s="31">
        <v>31778</v>
      </c>
      <c r="H45" s="31">
        <v>32143</v>
      </c>
      <c r="I45" s="31">
        <v>32509</v>
      </c>
      <c r="J45" s="31">
        <v>32874</v>
      </c>
      <c r="K45" s="31">
        <v>33239</v>
      </c>
      <c r="L45" s="31">
        <v>33604</v>
      </c>
      <c r="M45" s="31">
        <v>33970</v>
      </c>
      <c r="N45" s="31">
        <v>34335</v>
      </c>
      <c r="O45" s="31">
        <v>34700</v>
      </c>
      <c r="P45" s="31">
        <v>35065</v>
      </c>
      <c r="Q45" s="31">
        <v>35431</v>
      </c>
      <c r="R45" s="31">
        <v>35796</v>
      </c>
      <c r="S45" s="31">
        <v>36161</v>
      </c>
      <c r="T45" s="31">
        <v>36526</v>
      </c>
      <c r="U45" s="31">
        <v>36892</v>
      </c>
      <c r="V45" s="31">
        <v>37257</v>
      </c>
      <c r="W45" s="31">
        <v>37622</v>
      </c>
      <c r="X45" s="31">
        <v>37987</v>
      </c>
      <c r="Y45" s="31">
        <v>38353</v>
      </c>
      <c r="Z45" s="31">
        <v>38718</v>
      </c>
      <c r="AA45" s="31">
        <v>39083</v>
      </c>
      <c r="AB45" s="31">
        <v>39448</v>
      </c>
      <c r="AC45" s="31">
        <v>39814</v>
      </c>
      <c r="AD45" s="31">
        <v>40179</v>
      </c>
      <c r="AE45" s="31">
        <v>40544</v>
      </c>
      <c r="AF45" s="31">
        <v>40909</v>
      </c>
      <c r="AG45" s="31">
        <v>41275</v>
      </c>
      <c r="AH45" s="31">
        <v>41640</v>
      </c>
      <c r="AI45" s="31">
        <v>42005</v>
      </c>
      <c r="AJ45" s="31">
        <v>42370</v>
      </c>
      <c r="AK45" s="31">
        <v>42736</v>
      </c>
      <c r="AL45" s="31">
        <v>43101</v>
      </c>
      <c r="AM45" s="31">
        <v>43466</v>
      </c>
      <c r="AN45" s="31">
        <v>43831</v>
      </c>
      <c r="AO45" s="31">
        <v>44197</v>
      </c>
      <c r="AP45" s="31">
        <v>44562</v>
      </c>
      <c r="AQ45" s="31">
        <v>44927</v>
      </c>
      <c r="AR45" s="31">
        <v>45292</v>
      </c>
      <c r="AS45" s="31">
        <v>45658</v>
      </c>
    </row>
    <row r="46" spans="1:73">
      <c r="A46" t="s">
        <v>1160</v>
      </c>
      <c r="B46" s="33">
        <v>5.8817314200000004</v>
      </c>
      <c r="C46" s="33">
        <v>6.1484245399999997</v>
      </c>
      <c r="D46" s="33">
        <v>6.0756251099999998</v>
      </c>
      <c r="E46" s="33">
        <v>5.0807695199999996</v>
      </c>
      <c r="F46" s="33">
        <v>3.5437343600000002</v>
      </c>
      <c r="G46" s="33">
        <v>4.5792755100000004</v>
      </c>
      <c r="H46" s="33">
        <v>4.6179387199999997</v>
      </c>
      <c r="I46" s="33">
        <v>4.0296658299999999</v>
      </c>
      <c r="J46" s="33">
        <v>3.8939206999999998</v>
      </c>
      <c r="K46" s="33">
        <v>3.4103334599999999</v>
      </c>
      <c r="L46" s="33">
        <v>3.5096854300000002</v>
      </c>
      <c r="M46" s="33">
        <v>2.7201164699999998</v>
      </c>
      <c r="N46" s="33">
        <v>4.1169530700000001</v>
      </c>
      <c r="O46" s="33">
        <v>2.7221534599999999</v>
      </c>
      <c r="P46" s="33">
        <v>2.9509351100000001</v>
      </c>
      <c r="Q46" s="33">
        <v>2.9198510400000002</v>
      </c>
      <c r="R46" s="33">
        <v>2.2295798100000002</v>
      </c>
      <c r="S46" s="33">
        <v>3.1922035000000002</v>
      </c>
      <c r="T46" s="33">
        <v>2.6392104199999999</v>
      </c>
      <c r="U46" s="33">
        <v>2.0405763000000001</v>
      </c>
      <c r="V46" s="33">
        <v>1.69225366</v>
      </c>
      <c r="W46" s="33">
        <v>1.7135726600000001</v>
      </c>
      <c r="X46" s="33">
        <v>1.9095366199999999</v>
      </c>
      <c r="Y46" s="33">
        <v>2.01834727</v>
      </c>
      <c r="Z46" s="33">
        <v>2.1221377800000001</v>
      </c>
      <c r="AA46" s="33">
        <v>1.3869688099999999</v>
      </c>
      <c r="AB46" s="33">
        <v>0.97537985000000005</v>
      </c>
      <c r="AC46" s="33">
        <v>0.84804056000000005</v>
      </c>
      <c r="AD46" s="33">
        <v>0.62620927000000004</v>
      </c>
      <c r="AE46" s="33">
        <v>0.14446830999999999</v>
      </c>
      <c r="AF46" s="33">
        <v>-0.17237744999999999</v>
      </c>
      <c r="AG46" s="33">
        <v>0.41829992999999999</v>
      </c>
      <c r="AH46" s="33">
        <v>0.38472537000000001</v>
      </c>
      <c r="AI46" s="33">
        <v>0.64742222999999999</v>
      </c>
      <c r="AJ46" s="33">
        <v>0.70045658</v>
      </c>
      <c r="AK46" s="33">
        <v>0.57304922999999997</v>
      </c>
      <c r="AL46" s="33">
        <v>1.25496666</v>
      </c>
      <c r="AM46" s="33">
        <v>0.51426492999999995</v>
      </c>
      <c r="AN46" s="33">
        <v>-0.23232146000000001</v>
      </c>
      <c r="AO46" s="33">
        <v>9.168917E-2</v>
      </c>
      <c r="AP46" s="33">
        <v>1.57612515</v>
      </c>
      <c r="AQ46" s="33">
        <v>1.6808990699999999</v>
      </c>
      <c r="AR46" s="33">
        <v>1.8243687900000001</v>
      </c>
      <c r="AS46" s="33">
        <v>1.45728631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5F0D-CDC2-1A44-A134-BD91D4F3EEDF}">
  <dimension ref="A1:CV46"/>
  <sheetViews>
    <sheetView workbookViewId="0">
      <selection sqref="A1:CV48"/>
    </sheetView>
  </sheetViews>
  <sheetFormatPr baseColWidth="10" defaultColWidth="11.5" defaultRowHeight="16"/>
  <sheetData>
    <row r="1" spans="1:99" ht="19">
      <c r="A1" s="53" t="s">
        <v>1162</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row>
    <row r="2" spans="1:99" ht="17">
      <c r="A2" s="54" t="s">
        <v>1163</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2"/>
      <c r="CS2" s="52"/>
      <c r="CT2" s="52"/>
      <c r="CU2" s="52"/>
    </row>
    <row r="3" spans="1:99">
      <c r="A3" s="52" t="s">
        <v>992</v>
      </c>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2"/>
      <c r="CS3" s="52"/>
      <c r="CT3" s="52"/>
      <c r="CU3" s="52"/>
    </row>
    <row r="4" spans="1:99">
      <c r="A4" s="52" t="s">
        <v>993</v>
      </c>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row>
    <row r="6" spans="1:99">
      <c r="A6" s="11" t="s">
        <v>994</v>
      </c>
      <c r="B6" s="11" t="s">
        <v>97</v>
      </c>
      <c r="C6" s="11" t="s">
        <v>995</v>
      </c>
      <c r="D6" s="11" t="s">
        <v>996</v>
      </c>
      <c r="E6" s="11" t="s">
        <v>997</v>
      </c>
      <c r="F6" s="11" t="s">
        <v>998</v>
      </c>
      <c r="G6" s="11" t="s">
        <v>999</v>
      </c>
      <c r="H6" s="11" t="s">
        <v>1000</v>
      </c>
      <c r="I6" s="11" t="s">
        <v>1001</v>
      </c>
      <c r="J6" s="11" t="s">
        <v>1002</v>
      </c>
      <c r="K6" s="11" t="s">
        <v>1003</v>
      </c>
      <c r="L6" s="11" t="s">
        <v>1004</v>
      </c>
      <c r="M6" s="11" t="s">
        <v>1005</v>
      </c>
      <c r="N6" s="11" t="s">
        <v>1006</v>
      </c>
      <c r="O6" s="11" t="s">
        <v>1007</v>
      </c>
      <c r="P6" s="11" t="s">
        <v>1008</v>
      </c>
      <c r="Q6" s="11" t="s">
        <v>1009</v>
      </c>
      <c r="R6" s="11" t="s">
        <v>1010</v>
      </c>
      <c r="S6" s="11" t="s">
        <v>7</v>
      </c>
      <c r="T6" s="11" t="s">
        <v>8</v>
      </c>
      <c r="U6" s="11" t="s">
        <v>9</v>
      </c>
      <c r="V6" s="11" t="s">
        <v>10</v>
      </c>
      <c r="W6" s="11" t="s">
        <v>11</v>
      </c>
      <c r="X6" s="11" t="s">
        <v>12</v>
      </c>
      <c r="Y6" s="11" t="s">
        <v>13</v>
      </c>
      <c r="Z6" s="11" t="s">
        <v>14</v>
      </c>
      <c r="AA6" s="11" t="s">
        <v>15</v>
      </c>
      <c r="AB6" s="11" t="s">
        <v>16</v>
      </c>
      <c r="AC6" s="11" t="s">
        <v>17</v>
      </c>
      <c r="AD6" s="11" t="s">
        <v>18</v>
      </c>
      <c r="AE6" s="11" t="s">
        <v>19</v>
      </c>
      <c r="AF6" s="11" t="s">
        <v>20</v>
      </c>
      <c r="AG6" s="11" t="s">
        <v>21</v>
      </c>
      <c r="AH6" s="11" t="s">
        <v>22</v>
      </c>
      <c r="AI6" s="11" t="s">
        <v>23</v>
      </c>
      <c r="AJ6" s="11" t="s">
        <v>24</v>
      </c>
      <c r="AK6" s="11" t="s">
        <v>25</v>
      </c>
      <c r="AL6" s="11" t="s">
        <v>26</v>
      </c>
      <c r="AM6" s="11" t="s">
        <v>27</v>
      </c>
      <c r="AN6" s="11" t="s">
        <v>28</v>
      </c>
      <c r="AO6" s="11" t="s">
        <v>29</v>
      </c>
      <c r="AP6" s="11" t="s">
        <v>30</v>
      </c>
      <c r="AQ6" s="11" t="s">
        <v>31</v>
      </c>
      <c r="AR6" s="11" t="s">
        <v>32</v>
      </c>
      <c r="AS6" s="11" t="s">
        <v>33</v>
      </c>
      <c r="AT6" s="11" t="s">
        <v>34</v>
      </c>
      <c r="AU6" s="11" t="s">
        <v>35</v>
      </c>
      <c r="AV6" s="11" t="s">
        <v>36</v>
      </c>
      <c r="AW6" s="11" t="s">
        <v>37</v>
      </c>
      <c r="AX6" s="11" t="s">
        <v>38</v>
      </c>
      <c r="AY6" s="11" t="s">
        <v>39</v>
      </c>
      <c r="AZ6" s="11" t="s">
        <v>40</v>
      </c>
      <c r="BA6" s="11" t="s">
        <v>41</v>
      </c>
      <c r="BB6" s="11" t="s">
        <v>42</v>
      </c>
      <c r="BC6" s="11" t="s">
        <v>43</v>
      </c>
      <c r="BD6" s="11" t="s">
        <v>44</v>
      </c>
      <c r="BE6" s="11" t="s">
        <v>45</v>
      </c>
      <c r="BF6" s="11" t="s">
        <v>46</v>
      </c>
      <c r="BG6" s="11" t="s">
        <v>47</v>
      </c>
      <c r="BH6" s="11" t="s">
        <v>48</v>
      </c>
      <c r="BI6" s="11" t="s">
        <v>49</v>
      </c>
      <c r="BJ6" s="11" t="s">
        <v>50</v>
      </c>
      <c r="BK6" s="11" t="s">
        <v>51</v>
      </c>
      <c r="BL6" s="11" t="s">
        <v>52</v>
      </c>
      <c r="BM6" s="11" t="s">
        <v>53</v>
      </c>
      <c r="BN6" s="11" t="s">
        <v>54</v>
      </c>
      <c r="BO6" s="11" t="s">
        <v>55</v>
      </c>
      <c r="BP6" s="11" t="s">
        <v>56</v>
      </c>
      <c r="BQ6" s="11" t="s">
        <v>57</v>
      </c>
      <c r="BR6" s="11" t="s">
        <v>58</v>
      </c>
      <c r="BS6" s="11" t="s">
        <v>59</v>
      </c>
      <c r="BT6" s="11" t="s">
        <v>60</v>
      </c>
      <c r="BU6" s="11" t="s">
        <v>61</v>
      </c>
      <c r="BV6" s="11" t="s">
        <v>62</v>
      </c>
      <c r="BW6" s="11" t="s">
        <v>63</v>
      </c>
      <c r="BX6" s="11" t="s">
        <v>64</v>
      </c>
      <c r="BY6" s="11" t="s">
        <v>65</v>
      </c>
      <c r="BZ6" s="11" t="s">
        <v>66</v>
      </c>
      <c r="CA6" s="11" t="s">
        <v>67</v>
      </c>
      <c r="CB6" s="11" t="s">
        <v>68</v>
      </c>
      <c r="CC6" s="11" t="s">
        <v>69</v>
      </c>
      <c r="CD6" s="11" t="s">
        <v>70</v>
      </c>
      <c r="CE6" s="11" t="s">
        <v>71</v>
      </c>
      <c r="CF6" s="11" t="s">
        <v>72</v>
      </c>
      <c r="CG6" s="11" t="s">
        <v>73</v>
      </c>
      <c r="CH6" s="11" t="s">
        <v>74</v>
      </c>
      <c r="CI6" s="11" t="s">
        <v>75</v>
      </c>
      <c r="CJ6" s="11" t="s">
        <v>76</v>
      </c>
      <c r="CK6" s="11" t="s">
        <v>77</v>
      </c>
      <c r="CL6" s="11" t="s">
        <v>78</v>
      </c>
      <c r="CM6" s="11" t="s">
        <v>79</v>
      </c>
      <c r="CN6" s="11" t="s">
        <v>80</v>
      </c>
      <c r="CO6" s="11" t="s">
        <v>81</v>
      </c>
      <c r="CP6" s="11" t="s">
        <v>82</v>
      </c>
      <c r="CQ6" s="11" t="s">
        <v>83</v>
      </c>
      <c r="CR6" s="11" t="s">
        <v>84</v>
      </c>
      <c r="CS6" s="11" t="s">
        <v>85</v>
      </c>
      <c r="CT6" s="11" t="s">
        <v>86</v>
      </c>
      <c r="CU6" s="11" t="s">
        <v>1011</v>
      </c>
    </row>
    <row r="7" spans="1:99">
      <c r="A7" t="s">
        <v>994</v>
      </c>
      <c r="B7" t="s">
        <v>97</v>
      </c>
      <c r="C7" t="s">
        <v>97</v>
      </c>
      <c r="D7" t="s">
        <v>97</v>
      </c>
      <c r="E7" t="s">
        <v>97</v>
      </c>
      <c r="F7" t="s">
        <v>97</v>
      </c>
      <c r="G7" t="s">
        <v>97</v>
      </c>
      <c r="H7" t="s">
        <v>97</v>
      </c>
      <c r="I7" t="s">
        <v>97</v>
      </c>
      <c r="J7" t="s">
        <v>97</v>
      </c>
      <c r="K7" t="s">
        <v>97</v>
      </c>
      <c r="L7" t="s">
        <v>97</v>
      </c>
      <c r="M7" t="s">
        <v>97</v>
      </c>
      <c r="N7" t="s">
        <v>97</v>
      </c>
      <c r="O7" t="s">
        <v>97</v>
      </c>
      <c r="P7" t="s">
        <v>97</v>
      </c>
      <c r="Q7" t="s">
        <v>97</v>
      </c>
      <c r="R7" t="s">
        <v>97</v>
      </c>
      <c r="S7" t="s">
        <v>97</v>
      </c>
      <c r="T7" t="s">
        <v>97</v>
      </c>
      <c r="U7" t="s">
        <v>97</v>
      </c>
      <c r="V7" t="s">
        <v>97</v>
      </c>
      <c r="W7" t="s">
        <v>97</v>
      </c>
      <c r="X7" t="s">
        <v>97</v>
      </c>
      <c r="Y7" t="s">
        <v>97</v>
      </c>
      <c r="Z7" t="s">
        <v>97</v>
      </c>
      <c r="AA7" t="s">
        <v>97</v>
      </c>
      <c r="AB7" t="s">
        <v>97</v>
      </c>
      <c r="AC7" t="s">
        <v>97</v>
      </c>
      <c r="AD7" t="s">
        <v>97</v>
      </c>
      <c r="AE7" t="s">
        <v>97</v>
      </c>
      <c r="AF7" t="s">
        <v>97</v>
      </c>
      <c r="AG7" t="s">
        <v>97</v>
      </c>
      <c r="AH7" t="s">
        <v>97</v>
      </c>
      <c r="AI7" t="s">
        <v>97</v>
      </c>
      <c r="AJ7" t="s">
        <v>97</v>
      </c>
      <c r="AK7" t="s">
        <v>97</v>
      </c>
      <c r="AL7" t="s">
        <v>97</v>
      </c>
      <c r="AM7" t="s">
        <v>97</v>
      </c>
      <c r="AN7" t="s">
        <v>97</v>
      </c>
      <c r="AO7" t="s">
        <v>97</v>
      </c>
      <c r="AP7" t="s">
        <v>97</v>
      </c>
      <c r="AQ7" t="s">
        <v>97</v>
      </c>
      <c r="AR7" t="s">
        <v>97</v>
      </c>
      <c r="AS7" t="s">
        <v>97</v>
      </c>
      <c r="AT7" t="s">
        <v>97</v>
      </c>
      <c r="AU7" t="s">
        <v>97</v>
      </c>
      <c r="AV7" t="s">
        <v>97</v>
      </c>
      <c r="AW7" t="s">
        <v>97</v>
      </c>
      <c r="AX7" t="s">
        <v>97</v>
      </c>
      <c r="AY7" t="s">
        <v>97</v>
      </c>
      <c r="AZ7" t="s">
        <v>97</v>
      </c>
      <c r="BA7" t="s">
        <v>97</v>
      </c>
      <c r="BB7" t="s">
        <v>97</v>
      </c>
      <c r="BC7" t="s">
        <v>97</v>
      </c>
      <c r="BD7" t="s">
        <v>97</v>
      </c>
      <c r="BE7" t="s">
        <v>97</v>
      </c>
      <c r="BF7" t="s">
        <v>97</v>
      </c>
      <c r="BG7" t="s">
        <v>97</v>
      </c>
      <c r="BH7" t="s">
        <v>97</v>
      </c>
      <c r="BI7" t="s">
        <v>97</v>
      </c>
      <c r="BJ7" t="s">
        <v>97</v>
      </c>
      <c r="BK7" t="s">
        <v>97</v>
      </c>
      <c r="BL7" t="s">
        <v>97</v>
      </c>
      <c r="BM7" t="s">
        <v>97</v>
      </c>
      <c r="BN7" t="s">
        <v>97</v>
      </c>
      <c r="BO7" t="s">
        <v>97</v>
      </c>
      <c r="BP7" t="s">
        <v>97</v>
      </c>
      <c r="BQ7" t="s">
        <v>97</v>
      </c>
      <c r="BR7" t="s">
        <v>97</v>
      </c>
      <c r="BS7" t="s">
        <v>97</v>
      </c>
      <c r="BT7" t="s">
        <v>97</v>
      </c>
      <c r="BU7" t="s">
        <v>97</v>
      </c>
      <c r="BV7" t="s">
        <v>97</v>
      </c>
      <c r="BW7" t="s">
        <v>97</v>
      </c>
      <c r="BX7" t="s">
        <v>97</v>
      </c>
      <c r="BY7" t="s">
        <v>97</v>
      </c>
      <c r="BZ7" t="s">
        <v>97</v>
      </c>
      <c r="CA7" t="s">
        <v>97</v>
      </c>
      <c r="CB7" t="s">
        <v>97</v>
      </c>
      <c r="CC7" t="s">
        <v>97</v>
      </c>
      <c r="CD7" t="s">
        <v>97</v>
      </c>
      <c r="CE7" t="s">
        <v>97</v>
      </c>
      <c r="CF7" t="s">
        <v>97</v>
      </c>
      <c r="CG7" t="s">
        <v>97</v>
      </c>
      <c r="CH7" t="s">
        <v>97</v>
      </c>
      <c r="CI7" t="s">
        <v>97</v>
      </c>
      <c r="CJ7" t="s">
        <v>97</v>
      </c>
      <c r="CK7" t="s">
        <v>97</v>
      </c>
      <c r="CL7" t="s">
        <v>97</v>
      </c>
      <c r="CM7" t="s">
        <v>97</v>
      </c>
      <c r="CN7" t="s">
        <v>97</v>
      </c>
      <c r="CO7" t="s">
        <v>97</v>
      </c>
      <c r="CP7" t="s">
        <v>97</v>
      </c>
      <c r="CQ7" t="s">
        <v>97</v>
      </c>
      <c r="CR7" t="s">
        <v>97</v>
      </c>
      <c r="CS7" t="s">
        <v>97</v>
      </c>
      <c r="CT7" t="s">
        <v>97</v>
      </c>
      <c r="CU7" t="s">
        <v>97</v>
      </c>
    </row>
    <row r="8" spans="1:99">
      <c r="A8" t="s">
        <v>1012</v>
      </c>
      <c r="B8" s="12" t="s">
        <v>1164</v>
      </c>
      <c r="C8" s="12">
        <v>8.7870000000000008</v>
      </c>
      <c r="D8" s="12">
        <v>8.4149999999999991</v>
      </c>
      <c r="E8" s="12">
        <v>7.5140000000000002</v>
      </c>
      <c r="F8" s="12">
        <v>6.6269999999999998</v>
      </c>
      <c r="G8" s="12">
        <v>6.391</v>
      </c>
      <c r="H8" s="12">
        <v>6.681</v>
      </c>
      <c r="I8" s="12">
        <v>6.8460000000000001</v>
      </c>
      <c r="J8" s="12">
        <v>6.9089999999999998</v>
      </c>
      <c r="K8" s="12">
        <v>7.16</v>
      </c>
      <c r="L8" s="12">
        <v>6.9969999999999999</v>
      </c>
      <c r="M8" s="12">
        <v>6.9290000000000003</v>
      </c>
      <c r="N8" s="12">
        <v>6.9880000000000004</v>
      </c>
      <c r="O8" s="12">
        <v>7.423</v>
      </c>
      <c r="P8" s="12">
        <v>8.3469999999999995</v>
      </c>
      <c r="Q8" s="12">
        <v>9.1150000000000002</v>
      </c>
      <c r="R8" s="12">
        <v>9.6379999999999999</v>
      </c>
      <c r="S8" s="12">
        <v>10.023999999999999</v>
      </c>
      <c r="T8" s="12">
        <v>10.722</v>
      </c>
      <c r="U8" s="12">
        <v>11.808999999999999</v>
      </c>
      <c r="V8" s="12">
        <v>12.477</v>
      </c>
      <c r="W8" s="12">
        <v>12.379</v>
      </c>
      <c r="X8" s="12">
        <v>12.526999999999999</v>
      </c>
      <c r="Y8" s="12">
        <v>13.38</v>
      </c>
      <c r="Z8" s="12">
        <v>13.654</v>
      </c>
      <c r="AA8" s="12">
        <v>13.834</v>
      </c>
      <c r="AB8" s="12">
        <v>13.95</v>
      </c>
      <c r="AC8" s="12">
        <v>14.005000000000001</v>
      </c>
      <c r="AD8" s="12">
        <v>14.284000000000001</v>
      </c>
      <c r="AE8" s="12">
        <v>14.718</v>
      </c>
      <c r="AF8" s="12">
        <v>15.066000000000001</v>
      </c>
      <c r="AG8" s="12">
        <v>15.29</v>
      </c>
      <c r="AH8" s="12">
        <v>15.541</v>
      </c>
      <c r="AI8" s="12">
        <v>15.702</v>
      </c>
      <c r="AJ8" s="12">
        <v>15.885999999999999</v>
      </c>
      <c r="AK8" s="12">
        <v>16.077000000000002</v>
      </c>
      <c r="AL8" s="12">
        <v>16.309000000000001</v>
      </c>
      <c r="AM8" s="12">
        <v>16.544</v>
      </c>
      <c r="AN8" s="12">
        <v>16.962</v>
      </c>
      <c r="AO8" s="12">
        <v>17.388999999999999</v>
      </c>
      <c r="AP8" s="12">
        <v>18.068999999999999</v>
      </c>
      <c r="AQ8" s="12">
        <v>18.882999999999999</v>
      </c>
      <c r="AR8" s="12">
        <v>19.765999999999998</v>
      </c>
      <c r="AS8" s="12">
        <v>20.605</v>
      </c>
      <c r="AT8" s="12">
        <v>21.308</v>
      </c>
      <c r="AU8" s="12">
        <v>22.454999999999998</v>
      </c>
      <c r="AV8" s="12">
        <v>24.792999999999999</v>
      </c>
      <c r="AW8" s="12">
        <v>26.86</v>
      </c>
      <c r="AX8" s="12">
        <v>28.332999999999998</v>
      </c>
      <c r="AY8" s="12">
        <v>30.175999999999998</v>
      </c>
      <c r="AZ8" s="12">
        <v>32.276000000000003</v>
      </c>
      <c r="BA8" s="12">
        <v>35.143000000000001</v>
      </c>
      <c r="BB8" s="12">
        <v>38.927999999999997</v>
      </c>
      <c r="BC8" s="12">
        <v>42.414999999999999</v>
      </c>
      <c r="BD8" s="12">
        <v>44.771000000000001</v>
      </c>
      <c r="BE8" s="12">
        <v>46.676000000000002</v>
      </c>
      <c r="BF8" s="12">
        <v>48.439</v>
      </c>
      <c r="BG8" s="12">
        <v>50.128</v>
      </c>
      <c r="BH8" s="12">
        <v>51.219000000000001</v>
      </c>
      <c r="BI8" s="12">
        <v>52.802</v>
      </c>
      <c r="BJ8" s="12">
        <v>54.865000000000002</v>
      </c>
      <c r="BK8" s="12">
        <v>57.261000000000003</v>
      </c>
      <c r="BL8" s="12">
        <v>59.774999999999999</v>
      </c>
      <c r="BM8" s="12">
        <v>61.774000000000001</v>
      </c>
      <c r="BN8" s="12">
        <v>63.42</v>
      </c>
      <c r="BO8" s="12">
        <v>65</v>
      </c>
      <c r="BP8" s="12">
        <v>66.355999999999995</v>
      </c>
      <c r="BQ8" s="12">
        <v>67.754000000000005</v>
      </c>
      <c r="BR8" s="12">
        <v>69.203000000000003</v>
      </c>
      <c r="BS8" s="12">
        <v>70.406999999999996</v>
      </c>
      <c r="BT8" s="12">
        <v>70.966999999999999</v>
      </c>
      <c r="BU8" s="12">
        <v>72.001000000000005</v>
      </c>
      <c r="BV8" s="12">
        <v>73.822000000000003</v>
      </c>
      <c r="BW8" s="12">
        <v>75.302000000000007</v>
      </c>
      <c r="BX8" s="12">
        <v>76.290999999999997</v>
      </c>
      <c r="BY8" s="12">
        <v>77.894000000000005</v>
      </c>
      <c r="BZ8" s="12">
        <v>79.826999999999998</v>
      </c>
      <c r="CA8" s="12">
        <v>82.126999999999995</v>
      </c>
      <c r="CB8" s="12">
        <v>84.44</v>
      </c>
      <c r="CC8" s="12">
        <v>86.606999999999999</v>
      </c>
      <c r="CD8" s="12">
        <v>89.17</v>
      </c>
      <c r="CE8" s="12">
        <v>88.921000000000006</v>
      </c>
      <c r="CF8" s="12">
        <v>90.513999999999996</v>
      </c>
      <c r="CG8" s="12">
        <v>92.804000000000002</v>
      </c>
      <c r="CH8" s="12">
        <v>94.534000000000006</v>
      </c>
      <c r="CI8" s="12">
        <v>95.781000000000006</v>
      </c>
      <c r="CJ8" s="12">
        <v>97.120999999999995</v>
      </c>
      <c r="CK8" s="12">
        <v>97.299000000000007</v>
      </c>
      <c r="CL8" s="12">
        <v>98.284000000000006</v>
      </c>
      <c r="CM8" s="12">
        <v>100</v>
      </c>
      <c r="CN8" s="12">
        <v>102.047</v>
      </c>
      <c r="CO8" s="12">
        <v>103.509</v>
      </c>
      <c r="CP8" s="12">
        <v>104.666</v>
      </c>
      <c r="CQ8" s="12">
        <v>108.97199999999999</v>
      </c>
      <c r="CR8" s="12">
        <v>116.1</v>
      </c>
      <c r="CS8" s="12">
        <v>120.511</v>
      </c>
      <c r="CT8" s="12">
        <v>123.666</v>
      </c>
      <c r="CU8" s="12">
        <v>126.922</v>
      </c>
    </row>
    <row r="9" spans="1:99">
      <c r="A9" t="s">
        <v>1015</v>
      </c>
      <c r="B9" s="12" t="s">
        <v>1165</v>
      </c>
      <c r="C9" s="12">
        <v>15.721</v>
      </c>
      <c r="D9" s="12">
        <v>14.884</v>
      </c>
      <c r="E9" s="12">
        <v>12.832000000000001</v>
      </c>
      <c r="F9" s="12">
        <v>11.055</v>
      </c>
      <c r="G9" s="12">
        <v>10.964</v>
      </c>
      <c r="H9" s="12">
        <v>12.045</v>
      </c>
      <c r="I9" s="12">
        <v>12.368</v>
      </c>
      <c r="J9" s="12">
        <v>12.416</v>
      </c>
      <c r="K9" s="12">
        <v>12.863</v>
      </c>
      <c r="L9" s="12">
        <v>12.342000000000001</v>
      </c>
      <c r="M9" s="12">
        <v>12.154999999999999</v>
      </c>
      <c r="N9" s="12">
        <v>12.263999999999999</v>
      </c>
      <c r="O9" s="12">
        <v>13.272</v>
      </c>
      <c r="P9" s="12">
        <v>15.465999999999999</v>
      </c>
      <c r="Q9" s="12">
        <v>17.244</v>
      </c>
      <c r="R9" s="12">
        <v>18.391999999999999</v>
      </c>
      <c r="S9" s="12">
        <v>19.234000000000002</v>
      </c>
      <c r="T9" s="12">
        <v>20.7</v>
      </c>
      <c r="U9" s="12">
        <v>23.190999999999999</v>
      </c>
      <c r="V9" s="12">
        <v>24.559000000000001</v>
      </c>
      <c r="W9" s="12">
        <v>23.984999999999999</v>
      </c>
      <c r="X9" s="12">
        <v>24.061</v>
      </c>
      <c r="Y9" s="12">
        <v>26.003</v>
      </c>
      <c r="Z9" s="12">
        <v>26.253</v>
      </c>
      <c r="AA9" s="12">
        <v>26.132999999999999</v>
      </c>
      <c r="AB9" s="12">
        <v>26.033000000000001</v>
      </c>
      <c r="AC9" s="12">
        <v>25.88</v>
      </c>
      <c r="AD9" s="12">
        <v>26.32</v>
      </c>
      <c r="AE9" s="12">
        <v>27.143000000000001</v>
      </c>
      <c r="AF9" s="12">
        <v>27.760999999999999</v>
      </c>
      <c r="AG9" s="12">
        <v>27.902999999999999</v>
      </c>
      <c r="AH9" s="12">
        <v>28.122</v>
      </c>
      <c r="AI9" s="12">
        <v>28.227</v>
      </c>
      <c r="AJ9" s="12">
        <v>28.373000000000001</v>
      </c>
      <c r="AK9" s="12">
        <v>28.609000000000002</v>
      </c>
      <c r="AL9" s="12">
        <v>28.92</v>
      </c>
      <c r="AM9" s="12">
        <v>29.224</v>
      </c>
      <c r="AN9" s="12">
        <v>29.867999999999999</v>
      </c>
      <c r="AO9" s="12">
        <v>30.393999999999998</v>
      </c>
      <c r="AP9" s="12">
        <v>31.454000000000001</v>
      </c>
      <c r="AQ9" s="12">
        <v>32.673000000000002</v>
      </c>
      <c r="AR9" s="12">
        <v>33.918999999999997</v>
      </c>
      <c r="AS9" s="12">
        <v>34.938000000000002</v>
      </c>
      <c r="AT9" s="12">
        <v>35.832999999999998</v>
      </c>
      <c r="AU9" s="12">
        <v>37.97</v>
      </c>
      <c r="AV9" s="12">
        <v>42.709000000000003</v>
      </c>
      <c r="AW9" s="12">
        <v>46.158999999999999</v>
      </c>
      <c r="AX9" s="12">
        <v>47.966000000000001</v>
      </c>
      <c r="AY9" s="12">
        <v>50.526000000000003</v>
      </c>
      <c r="AZ9" s="12">
        <v>53.625999999999998</v>
      </c>
      <c r="BA9" s="12">
        <v>58.698</v>
      </c>
      <c r="BB9" s="12">
        <v>65.271000000000001</v>
      </c>
      <c r="BC9" s="12">
        <v>70.12</v>
      </c>
      <c r="BD9" s="12">
        <v>72.031000000000006</v>
      </c>
      <c r="BE9" s="12">
        <v>73.331000000000003</v>
      </c>
      <c r="BF9" s="12">
        <v>74.718000000000004</v>
      </c>
      <c r="BG9" s="12">
        <v>75.917000000000002</v>
      </c>
      <c r="BH9" s="12">
        <v>75.561999999999998</v>
      </c>
      <c r="BI9" s="12">
        <v>77.992000000000004</v>
      </c>
      <c r="BJ9" s="12">
        <v>80.048000000000002</v>
      </c>
      <c r="BK9" s="12">
        <v>83.128</v>
      </c>
      <c r="BL9" s="12">
        <v>86.531999999999996</v>
      </c>
      <c r="BM9" s="12">
        <v>88.647000000000006</v>
      </c>
      <c r="BN9" s="12">
        <v>89.716999999999999</v>
      </c>
      <c r="BO9" s="12">
        <v>90.495999999999995</v>
      </c>
      <c r="BP9" s="12">
        <v>91.417000000000002</v>
      </c>
      <c r="BQ9" s="12">
        <v>92.271000000000001</v>
      </c>
      <c r="BR9" s="12">
        <v>93.284999999999997</v>
      </c>
      <c r="BS9" s="12">
        <v>93.177000000000007</v>
      </c>
      <c r="BT9" s="12">
        <v>91.777000000000001</v>
      </c>
      <c r="BU9" s="12">
        <v>92.257999999999996</v>
      </c>
      <c r="BV9" s="12">
        <v>94.088999999999999</v>
      </c>
      <c r="BW9" s="12">
        <v>94.018000000000001</v>
      </c>
      <c r="BX9" s="12">
        <v>93.122</v>
      </c>
      <c r="BY9" s="12">
        <v>93.003</v>
      </c>
      <c r="BZ9" s="12">
        <v>94.311000000000007</v>
      </c>
      <c r="CA9" s="12">
        <v>96.203000000000003</v>
      </c>
      <c r="CB9" s="12">
        <v>97.494</v>
      </c>
      <c r="CC9" s="12">
        <v>98.575999999999993</v>
      </c>
      <c r="CD9" s="12">
        <v>101.524</v>
      </c>
      <c r="CE9" s="12">
        <v>99.084000000000003</v>
      </c>
      <c r="CF9" s="12">
        <v>100.533</v>
      </c>
      <c r="CG9" s="12">
        <v>104.325</v>
      </c>
      <c r="CH9" s="12">
        <v>105.62</v>
      </c>
      <c r="CI9" s="12">
        <v>105.04900000000001</v>
      </c>
      <c r="CJ9" s="12">
        <v>104.542</v>
      </c>
      <c r="CK9" s="12">
        <v>101.35</v>
      </c>
      <c r="CL9" s="12">
        <v>99.71</v>
      </c>
      <c r="CM9" s="12">
        <v>100</v>
      </c>
      <c r="CN9" s="12">
        <v>100.81100000000001</v>
      </c>
      <c r="CO9" s="12">
        <v>100.426</v>
      </c>
      <c r="CP9" s="12">
        <v>99.665999999999997</v>
      </c>
      <c r="CQ9" s="12">
        <v>104.599</v>
      </c>
      <c r="CR9" s="12">
        <v>113.639</v>
      </c>
      <c r="CS9" s="12">
        <v>115.03700000000001</v>
      </c>
      <c r="CT9" s="12">
        <v>114.538</v>
      </c>
      <c r="CU9" s="12">
        <v>115.325</v>
      </c>
    </row>
    <row r="10" spans="1:99">
      <c r="A10" t="s">
        <v>1017</v>
      </c>
      <c r="B10" t="s">
        <v>1166</v>
      </c>
      <c r="C10">
        <v>35.784999999999997</v>
      </c>
      <c r="D10">
        <v>33.69</v>
      </c>
      <c r="E10">
        <v>30.082000000000001</v>
      </c>
      <c r="F10">
        <v>26.504999999999999</v>
      </c>
      <c r="G10">
        <v>25.861000000000001</v>
      </c>
      <c r="H10">
        <v>27.414000000000001</v>
      </c>
      <c r="I10">
        <v>27.259</v>
      </c>
      <c r="J10">
        <v>27.416</v>
      </c>
      <c r="K10">
        <v>28.545000000000002</v>
      </c>
      <c r="L10">
        <v>28.524000000000001</v>
      </c>
      <c r="M10">
        <v>28.178999999999998</v>
      </c>
      <c r="N10">
        <v>28.463000000000001</v>
      </c>
      <c r="O10">
        <v>30.568999999999999</v>
      </c>
      <c r="P10">
        <v>35.786000000000001</v>
      </c>
      <c r="Q10">
        <v>39.034999999999997</v>
      </c>
      <c r="R10">
        <v>43.881</v>
      </c>
      <c r="S10">
        <v>46.414999999999999</v>
      </c>
      <c r="T10">
        <v>48.332000000000001</v>
      </c>
      <c r="U10">
        <v>52.567999999999998</v>
      </c>
      <c r="V10">
        <v>55.258000000000003</v>
      </c>
      <c r="W10">
        <v>55.636000000000003</v>
      </c>
      <c r="X10">
        <v>55.917999999999999</v>
      </c>
      <c r="Y10">
        <v>59.665999999999997</v>
      </c>
      <c r="Z10">
        <v>60.036999999999999</v>
      </c>
      <c r="AA10">
        <v>59.566000000000003</v>
      </c>
      <c r="AB10">
        <v>58.261000000000003</v>
      </c>
      <c r="AC10">
        <v>58.034999999999997</v>
      </c>
      <c r="AD10">
        <v>59.435000000000002</v>
      </c>
      <c r="AE10">
        <v>61.621000000000002</v>
      </c>
      <c r="AF10">
        <v>62.741</v>
      </c>
      <c r="AG10">
        <v>63.738</v>
      </c>
      <c r="AH10">
        <v>63.497</v>
      </c>
      <c r="AI10">
        <v>63.656999999999996</v>
      </c>
      <c r="AJ10">
        <v>63.930999999999997</v>
      </c>
      <c r="AK10">
        <v>64.174999999999997</v>
      </c>
      <c r="AL10">
        <v>64.465000000000003</v>
      </c>
      <c r="AM10">
        <v>63.936</v>
      </c>
      <c r="AN10">
        <v>63.795999999999999</v>
      </c>
      <c r="AO10">
        <v>64.820999999999998</v>
      </c>
      <c r="AP10">
        <v>66.897999999999996</v>
      </c>
      <c r="AQ10">
        <v>68.784000000000006</v>
      </c>
      <c r="AR10">
        <v>70.268000000000001</v>
      </c>
      <c r="AS10">
        <v>72.694000000000003</v>
      </c>
      <c r="AT10">
        <v>73.495000000000005</v>
      </c>
      <c r="AU10">
        <v>74.584000000000003</v>
      </c>
      <c r="AV10">
        <v>79.48</v>
      </c>
      <c r="AW10">
        <v>86.593000000000004</v>
      </c>
      <c r="AX10">
        <v>91.328999999999994</v>
      </c>
      <c r="AY10">
        <v>95.418999999999997</v>
      </c>
      <c r="AZ10">
        <v>100.76</v>
      </c>
      <c r="BA10">
        <v>107.438</v>
      </c>
      <c r="BB10">
        <v>116.762</v>
      </c>
      <c r="BC10">
        <v>124.57</v>
      </c>
      <c r="BD10">
        <v>129.429</v>
      </c>
      <c r="BE10">
        <v>132.05199999999999</v>
      </c>
      <c r="BF10">
        <v>134.005</v>
      </c>
      <c r="BG10">
        <v>135.423</v>
      </c>
      <c r="BH10">
        <v>136.91200000000001</v>
      </c>
      <c r="BI10">
        <v>140.852</v>
      </c>
      <c r="BJ10">
        <v>143.17500000000001</v>
      </c>
      <c r="BK10">
        <v>145.78399999999999</v>
      </c>
      <c r="BL10">
        <v>147.232</v>
      </c>
      <c r="BM10">
        <v>149.38999999999999</v>
      </c>
      <c r="BN10">
        <v>150.422</v>
      </c>
      <c r="BO10">
        <v>151.90299999999999</v>
      </c>
      <c r="BP10">
        <v>154.876</v>
      </c>
      <c r="BQ10">
        <v>156.006</v>
      </c>
      <c r="BR10">
        <v>154.43100000000001</v>
      </c>
      <c r="BS10">
        <v>151.059</v>
      </c>
      <c r="BT10">
        <v>146.79</v>
      </c>
      <c r="BU10">
        <v>142.83500000000001</v>
      </c>
      <c r="BV10">
        <v>140.29300000000001</v>
      </c>
      <c r="BW10">
        <v>137.54499999999999</v>
      </c>
      <c r="BX10">
        <v>134.07400000000001</v>
      </c>
      <c r="BY10">
        <v>129.173</v>
      </c>
      <c r="BZ10">
        <v>126.64700000000001</v>
      </c>
      <c r="CA10">
        <v>125.33199999999999</v>
      </c>
      <c r="CB10">
        <v>123.187</v>
      </c>
      <c r="CC10">
        <v>120.56399999999999</v>
      </c>
      <c r="CD10">
        <v>118.304</v>
      </c>
      <c r="CE10">
        <v>116.081</v>
      </c>
      <c r="CF10">
        <v>113.946</v>
      </c>
      <c r="CG10">
        <v>113.023</v>
      </c>
      <c r="CH10">
        <v>111.595</v>
      </c>
      <c r="CI10">
        <v>109.551</v>
      </c>
      <c r="CJ10">
        <v>106.771</v>
      </c>
      <c r="CK10">
        <v>104.617</v>
      </c>
      <c r="CL10">
        <v>102.337</v>
      </c>
      <c r="CM10">
        <v>100</v>
      </c>
      <c r="CN10">
        <v>98.632999999999996</v>
      </c>
      <c r="CO10">
        <v>97.686000000000007</v>
      </c>
      <c r="CP10">
        <v>96.813999999999993</v>
      </c>
      <c r="CQ10">
        <v>102.182</v>
      </c>
      <c r="CR10">
        <v>108.792</v>
      </c>
      <c r="CS10">
        <v>107.979</v>
      </c>
      <c r="CT10">
        <v>105.751</v>
      </c>
      <c r="CU10">
        <v>106.16800000000001</v>
      </c>
    </row>
    <row r="11" spans="1:99">
      <c r="A11" t="s">
        <v>1019</v>
      </c>
      <c r="B11" t="s">
        <v>1167</v>
      </c>
      <c r="C11">
        <v>11.367000000000001</v>
      </c>
      <c r="D11">
        <v>10.951000000000001</v>
      </c>
      <c r="E11">
        <v>10.215</v>
      </c>
      <c r="F11">
        <v>9.5860000000000003</v>
      </c>
      <c r="G11">
        <v>8.9870000000000001</v>
      </c>
      <c r="H11">
        <v>9.4120000000000008</v>
      </c>
      <c r="I11">
        <v>9.2729999999999997</v>
      </c>
      <c r="J11">
        <v>9.3170000000000002</v>
      </c>
      <c r="K11">
        <v>9.5510000000000002</v>
      </c>
      <c r="L11">
        <v>9.93</v>
      </c>
      <c r="M11">
        <v>9.702</v>
      </c>
      <c r="N11">
        <v>9.7170000000000005</v>
      </c>
      <c r="O11">
        <v>10.563000000000001</v>
      </c>
      <c r="P11">
        <v>13.532999999999999</v>
      </c>
      <c r="Q11">
        <v>14.252000000000001</v>
      </c>
      <c r="R11">
        <v>15.308</v>
      </c>
      <c r="S11">
        <v>15.555999999999999</v>
      </c>
      <c r="T11">
        <v>19.471</v>
      </c>
      <c r="U11">
        <v>21.395</v>
      </c>
      <c r="V11">
        <v>23.05</v>
      </c>
      <c r="W11">
        <v>23.856999999999999</v>
      </c>
      <c r="X11">
        <v>23.922999999999998</v>
      </c>
      <c r="Y11">
        <v>25.146999999999998</v>
      </c>
      <c r="Z11">
        <v>26.181999999999999</v>
      </c>
      <c r="AA11">
        <v>25.687999999999999</v>
      </c>
      <c r="AB11">
        <v>24.797999999999998</v>
      </c>
      <c r="AC11">
        <v>25.085999999999999</v>
      </c>
      <c r="AD11">
        <v>26.225999999999999</v>
      </c>
      <c r="AE11">
        <v>27.879000000000001</v>
      </c>
      <c r="AF11">
        <v>28.933</v>
      </c>
      <c r="AG11">
        <v>30.367999999999999</v>
      </c>
      <c r="AH11">
        <v>29.800999999999998</v>
      </c>
      <c r="AI11">
        <v>29.969000000000001</v>
      </c>
      <c r="AJ11">
        <v>30.457000000000001</v>
      </c>
      <c r="AK11">
        <v>30.696999999999999</v>
      </c>
      <c r="AL11">
        <v>30.948</v>
      </c>
      <c r="AM11">
        <v>30.693999999999999</v>
      </c>
      <c r="AN11">
        <v>30.486999999999998</v>
      </c>
      <c r="AO11">
        <v>30.902999999999999</v>
      </c>
      <c r="AP11">
        <v>31.966999999999999</v>
      </c>
      <c r="AQ11">
        <v>32.610999999999997</v>
      </c>
      <c r="AR11">
        <v>33.594999999999999</v>
      </c>
      <c r="AS11">
        <v>35.22</v>
      </c>
      <c r="AT11">
        <v>35.308</v>
      </c>
      <c r="AU11">
        <v>35.469000000000001</v>
      </c>
      <c r="AV11">
        <v>37.652999999999999</v>
      </c>
      <c r="AW11">
        <v>41.374000000000002</v>
      </c>
      <c r="AX11">
        <v>44.536999999999999</v>
      </c>
      <c r="AY11">
        <v>47.14</v>
      </c>
      <c r="AZ11">
        <v>50.406999999999996</v>
      </c>
      <c r="BA11">
        <v>54.207999999999998</v>
      </c>
      <c r="BB11">
        <v>58.225000000000001</v>
      </c>
      <c r="BC11">
        <v>62.73</v>
      </c>
      <c r="BD11">
        <v>65.703000000000003</v>
      </c>
      <c r="BE11">
        <v>67.748999999999995</v>
      </c>
      <c r="BF11">
        <v>69.685000000000002</v>
      </c>
      <c r="BG11">
        <v>71.299000000000007</v>
      </c>
      <c r="BH11">
        <v>73.266000000000005</v>
      </c>
      <c r="BI11">
        <v>76.617999999999995</v>
      </c>
      <c r="BJ11">
        <v>77.820999999999998</v>
      </c>
      <c r="BK11">
        <v>80.120999999999995</v>
      </c>
      <c r="BL11">
        <v>80.379000000000005</v>
      </c>
      <c r="BM11">
        <v>82.64</v>
      </c>
      <c r="BN11">
        <v>84.198999999999998</v>
      </c>
      <c r="BO11">
        <v>87.516000000000005</v>
      </c>
      <c r="BP11">
        <v>91.578000000000003</v>
      </c>
      <c r="BQ11">
        <v>95.206999999999994</v>
      </c>
      <c r="BR11">
        <v>97.116</v>
      </c>
      <c r="BS11">
        <v>97.484999999999999</v>
      </c>
      <c r="BT11">
        <v>96.426000000000002</v>
      </c>
      <c r="BU11">
        <v>96.718000000000004</v>
      </c>
      <c r="BV11">
        <v>97.075000000000003</v>
      </c>
      <c r="BW11">
        <v>97.456000000000003</v>
      </c>
      <c r="BX11">
        <v>96.945999999999998</v>
      </c>
      <c r="BY11">
        <v>94.209000000000003</v>
      </c>
      <c r="BZ11">
        <v>93.454999999999998</v>
      </c>
      <c r="CA11">
        <v>94.89</v>
      </c>
      <c r="CB11">
        <v>94.941000000000003</v>
      </c>
      <c r="CC11">
        <v>94.418999999999997</v>
      </c>
      <c r="CD11">
        <v>92.691000000000003</v>
      </c>
      <c r="CE11">
        <v>92.552999999999997</v>
      </c>
      <c r="CF11">
        <v>96.364999999999995</v>
      </c>
      <c r="CG11">
        <v>99.361999999999995</v>
      </c>
      <c r="CH11">
        <v>100.712</v>
      </c>
      <c r="CI11">
        <v>101.66</v>
      </c>
      <c r="CJ11">
        <v>101.809</v>
      </c>
      <c r="CK11">
        <v>101.965</v>
      </c>
      <c r="CL11">
        <v>101.309</v>
      </c>
      <c r="CM11">
        <v>100</v>
      </c>
      <c r="CN11">
        <v>100.01600000000001</v>
      </c>
      <c r="CO11">
        <v>100.84399999999999</v>
      </c>
      <c r="CP11">
        <v>102.48399999999999</v>
      </c>
      <c r="CQ11">
        <v>114.18600000000001</v>
      </c>
      <c r="CR11">
        <v>127.563</v>
      </c>
      <c r="CS11">
        <v>127.751</v>
      </c>
      <c r="CT11">
        <v>125.251</v>
      </c>
      <c r="CU11">
        <v>126.86799999999999</v>
      </c>
    </row>
    <row r="12" spans="1:99">
      <c r="A12" t="s">
        <v>1021</v>
      </c>
      <c r="B12" t="s">
        <v>1168</v>
      </c>
      <c r="C12">
        <v>30.652999999999999</v>
      </c>
      <c r="D12">
        <v>29.475999999999999</v>
      </c>
      <c r="E12">
        <v>26.178000000000001</v>
      </c>
      <c r="F12">
        <v>22.591999999999999</v>
      </c>
      <c r="G12">
        <v>22.657</v>
      </c>
      <c r="H12">
        <v>24.486000000000001</v>
      </c>
      <c r="I12">
        <v>24.640999999999998</v>
      </c>
      <c r="J12">
        <v>24.809000000000001</v>
      </c>
      <c r="K12">
        <v>26.468</v>
      </c>
      <c r="L12">
        <v>25.992000000000001</v>
      </c>
      <c r="M12">
        <v>25.797000000000001</v>
      </c>
      <c r="N12">
        <v>26.047000000000001</v>
      </c>
      <c r="O12">
        <v>27.998000000000001</v>
      </c>
      <c r="P12">
        <v>32.369999999999997</v>
      </c>
      <c r="Q12">
        <v>37.011000000000003</v>
      </c>
      <c r="R12">
        <v>42.518000000000001</v>
      </c>
      <c r="S12">
        <v>46.133000000000003</v>
      </c>
      <c r="T12">
        <v>46.305</v>
      </c>
      <c r="U12">
        <v>49.563000000000002</v>
      </c>
      <c r="V12">
        <v>51.65</v>
      </c>
      <c r="W12">
        <v>50.426000000000002</v>
      </c>
      <c r="X12">
        <v>51.308999999999997</v>
      </c>
      <c r="Y12">
        <v>56.545000000000002</v>
      </c>
      <c r="Z12">
        <v>55.978000000000002</v>
      </c>
      <c r="AA12">
        <v>56.075000000000003</v>
      </c>
      <c r="AB12">
        <v>55.81</v>
      </c>
      <c r="AC12">
        <v>55.396000000000001</v>
      </c>
      <c r="AD12">
        <v>55.853000000000002</v>
      </c>
      <c r="AE12">
        <v>56.792000000000002</v>
      </c>
      <c r="AF12">
        <v>56.673999999999999</v>
      </c>
      <c r="AG12">
        <v>56.71</v>
      </c>
      <c r="AH12">
        <v>57.21</v>
      </c>
      <c r="AI12">
        <v>57.402999999999999</v>
      </c>
      <c r="AJ12">
        <v>57.332999999999998</v>
      </c>
      <c r="AK12">
        <v>57.362000000000002</v>
      </c>
      <c r="AL12">
        <v>57.424999999999997</v>
      </c>
      <c r="AM12">
        <v>57.055</v>
      </c>
      <c r="AN12">
        <v>57.527999999999999</v>
      </c>
      <c r="AO12">
        <v>58.822000000000003</v>
      </c>
      <c r="AP12">
        <v>61.131999999999998</v>
      </c>
      <c r="AQ12">
        <v>63.314999999999998</v>
      </c>
      <c r="AR12">
        <v>64.692999999999998</v>
      </c>
      <c r="AS12">
        <v>65.863</v>
      </c>
      <c r="AT12">
        <v>66.799000000000007</v>
      </c>
      <c r="AU12">
        <v>68.373999999999995</v>
      </c>
      <c r="AV12">
        <v>73.945999999999998</v>
      </c>
      <c r="AW12">
        <v>81.296999999999997</v>
      </c>
      <c r="AX12">
        <v>84.795000000000002</v>
      </c>
      <c r="AY12">
        <v>87.921999999999997</v>
      </c>
      <c r="AZ12">
        <v>92.370999999999995</v>
      </c>
      <c r="BA12">
        <v>98.132999999999996</v>
      </c>
      <c r="BB12">
        <v>106.10599999999999</v>
      </c>
      <c r="BC12">
        <v>113.947</v>
      </c>
      <c r="BD12">
        <v>119.82</v>
      </c>
      <c r="BE12">
        <v>122.61199999999999</v>
      </c>
      <c r="BF12">
        <v>124.098</v>
      </c>
      <c r="BG12">
        <v>125.459</v>
      </c>
      <c r="BH12">
        <v>126.78</v>
      </c>
      <c r="BI12">
        <v>128.78399999999999</v>
      </c>
      <c r="BJ12">
        <v>130.62</v>
      </c>
      <c r="BK12">
        <v>131.00899999999999</v>
      </c>
      <c r="BL12">
        <v>132.33500000000001</v>
      </c>
      <c r="BM12">
        <v>133.089</v>
      </c>
      <c r="BN12">
        <v>134.666</v>
      </c>
      <c r="BO12">
        <v>135.38</v>
      </c>
      <c r="BP12">
        <v>137.471</v>
      </c>
      <c r="BQ12">
        <v>137.256</v>
      </c>
      <c r="BR12">
        <v>137.64500000000001</v>
      </c>
      <c r="BS12">
        <v>137.44200000000001</v>
      </c>
      <c r="BT12">
        <v>137.327</v>
      </c>
      <c r="BU12">
        <v>135.541</v>
      </c>
      <c r="BV12">
        <v>134.56</v>
      </c>
      <c r="BW12">
        <v>132.255</v>
      </c>
      <c r="BX12">
        <v>129.52199999999999</v>
      </c>
      <c r="BY12">
        <v>125.876</v>
      </c>
      <c r="BZ12">
        <v>124.322</v>
      </c>
      <c r="CA12">
        <v>124.34699999999999</v>
      </c>
      <c r="CB12">
        <v>123.708</v>
      </c>
      <c r="CC12">
        <v>122.702</v>
      </c>
      <c r="CD12">
        <v>121.875</v>
      </c>
      <c r="CE12">
        <v>121.4</v>
      </c>
      <c r="CF12">
        <v>116.212</v>
      </c>
      <c r="CG12">
        <v>114.44</v>
      </c>
      <c r="CH12">
        <v>114.459</v>
      </c>
      <c r="CI12">
        <v>112.254</v>
      </c>
      <c r="CJ12">
        <v>108.395</v>
      </c>
      <c r="CK12">
        <v>105.738</v>
      </c>
      <c r="CL12">
        <v>102.902</v>
      </c>
      <c r="CM12">
        <v>100</v>
      </c>
      <c r="CN12">
        <v>99.028000000000006</v>
      </c>
      <c r="CO12">
        <v>99.756</v>
      </c>
      <c r="CP12">
        <v>100.696</v>
      </c>
      <c r="CQ12">
        <v>105.878</v>
      </c>
      <c r="CR12">
        <v>115.584</v>
      </c>
      <c r="CS12">
        <v>114.66</v>
      </c>
      <c r="CT12">
        <v>111.14100000000001</v>
      </c>
      <c r="CU12">
        <v>111.988</v>
      </c>
    </row>
    <row r="13" spans="1:99">
      <c r="A13" t="s">
        <v>1023</v>
      </c>
      <c r="B13" t="s">
        <v>1169</v>
      </c>
      <c r="C13">
        <v>397.17599999999999</v>
      </c>
      <c r="D13">
        <v>330.834</v>
      </c>
      <c r="E13">
        <v>262.22899999999998</v>
      </c>
      <c r="F13">
        <v>215.53399999999999</v>
      </c>
      <c r="G13">
        <v>201.00899999999999</v>
      </c>
      <c r="H13">
        <v>208.53299999999999</v>
      </c>
      <c r="I13">
        <v>206.35499999999999</v>
      </c>
      <c r="J13">
        <v>204.041</v>
      </c>
      <c r="K13">
        <v>209.23099999999999</v>
      </c>
      <c r="L13">
        <v>208.39400000000001</v>
      </c>
      <c r="M13">
        <v>203.45</v>
      </c>
      <c r="N13">
        <v>206.602</v>
      </c>
      <c r="O13">
        <v>210.89599999999999</v>
      </c>
      <c r="P13">
        <v>240.18199999999999</v>
      </c>
      <c r="Q13">
        <v>240.52699999999999</v>
      </c>
      <c r="R13">
        <v>261.76400000000001</v>
      </c>
      <c r="S13">
        <v>268.95699999999999</v>
      </c>
      <c r="T13">
        <v>275.72399999999999</v>
      </c>
      <c r="U13">
        <v>318.26600000000002</v>
      </c>
      <c r="V13">
        <v>336.70699999999999</v>
      </c>
      <c r="W13">
        <v>349.40199999999999</v>
      </c>
      <c r="X13">
        <v>346.32499999999999</v>
      </c>
      <c r="Y13">
        <v>353.49799999999999</v>
      </c>
      <c r="Z13">
        <v>341.21199999999999</v>
      </c>
      <c r="AA13">
        <v>336.87799999999999</v>
      </c>
      <c r="AB13">
        <v>326.05700000000002</v>
      </c>
      <c r="AC13">
        <v>315.88200000000001</v>
      </c>
      <c r="AD13">
        <v>319.44799999999998</v>
      </c>
      <c r="AE13">
        <v>330.71300000000002</v>
      </c>
      <c r="AF13">
        <v>339.76799999999997</v>
      </c>
      <c r="AG13">
        <v>330.024</v>
      </c>
      <c r="AH13">
        <v>332.23500000000001</v>
      </c>
      <c r="AI13">
        <v>330.45600000000002</v>
      </c>
      <c r="AJ13">
        <v>326.83300000000003</v>
      </c>
      <c r="AK13">
        <v>326.18099999999998</v>
      </c>
      <c r="AL13">
        <v>322.22899999999998</v>
      </c>
      <c r="AM13">
        <v>317.78800000000001</v>
      </c>
      <c r="AN13">
        <v>314.262</v>
      </c>
      <c r="AO13">
        <v>316.16399999999999</v>
      </c>
      <c r="AP13">
        <v>322.36700000000002</v>
      </c>
      <c r="AQ13">
        <v>329.79199999999997</v>
      </c>
      <c r="AR13">
        <v>330.23700000000002</v>
      </c>
      <c r="AS13">
        <v>341.983</v>
      </c>
      <c r="AT13">
        <v>346.94</v>
      </c>
      <c r="AU13">
        <v>352.25299999999999</v>
      </c>
      <c r="AV13">
        <v>367.86099999999999</v>
      </c>
      <c r="AW13">
        <v>392.20800000000003</v>
      </c>
      <c r="AX13">
        <v>405.71199999999999</v>
      </c>
      <c r="AY13">
        <v>417.34</v>
      </c>
      <c r="AZ13">
        <v>432.31400000000002</v>
      </c>
      <c r="BA13">
        <v>451.55700000000002</v>
      </c>
      <c r="BB13">
        <v>476.65</v>
      </c>
      <c r="BC13">
        <v>498.024</v>
      </c>
      <c r="BD13">
        <v>509.52199999999999</v>
      </c>
      <c r="BE13">
        <v>503.42399999999998</v>
      </c>
      <c r="BF13">
        <v>496.298</v>
      </c>
      <c r="BG13">
        <v>487.57600000000002</v>
      </c>
      <c r="BH13">
        <v>472.10300000000001</v>
      </c>
      <c r="BI13">
        <v>466.13600000000002</v>
      </c>
      <c r="BJ13">
        <v>463.149</v>
      </c>
      <c r="BK13">
        <v>461.916</v>
      </c>
      <c r="BL13">
        <v>458.16899999999998</v>
      </c>
      <c r="BM13">
        <v>452.35300000000001</v>
      </c>
      <c r="BN13">
        <v>438.45600000000002</v>
      </c>
      <c r="BO13">
        <v>422.726</v>
      </c>
      <c r="BP13">
        <v>413.91899999999998</v>
      </c>
      <c r="BQ13">
        <v>396.52199999999999</v>
      </c>
      <c r="BR13">
        <v>368.41699999999997</v>
      </c>
      <c r="BS13">
        <v>337.58100000000002</v>
      </c>
      <c r="BT13">
        <v>309.08600000000001</v>
      </c>
      <c r="BU13">
        <v>282.16000000000003</v>
      </c>
      <c r="BV13">
        <v>264.51100000000002</v>
      </c>
      <c r="BW13">
        <v>246.48699999999999</v>
      </c>
      <c r="BX13">
        <v>230.51599999999999</v>
      </c>
      <c r="BY13">
        <v>215.95</v>
      </c>
      <c r="BZ13">
        <v>205.31899999999999</v>
      </c>
      <c r="CA13">
        <v>194.18600000000001</v>
      </c>
      <c r="CB13">
        <v>182.41800000000001</v>
      </c>
      <c r="CC13">
        <v>169.93899999999999</v>
      </c>
      <c r="CD13">
        <v>161.529</v>
      </c>
      <c r="CE13">
        <v>152.00200000000001</v>
      </c>
      <c r="CF13">
        <v>141.494</v>
      </c>
      <c r="CG13">
        <v>132.31700000000001</v>
      </c>
      <c r="CH13">
        <v>124.812</v>
      </c>
      <c r="CI13">
        <v>118.267</v>
      </c>
      <c r="CJ13">
        <v>113.09099999999999</v>
      </c>
      <c r="CK13">
        <v>108.871</v>
      </c>
      <c r="CL13">
        <v>103.842</v>
      </c>
      <c r="CM13">
        <v>100</v>
      </c>
      <c r="CN13">
        <v>96.69</v>
      </c>
      <c r="CO13">
        <v>92.847999999999999</v>
      </c>
      <c r="CP13">
        <v>88.823999999999998</v>
      </c>
      <c r="CQ13">
        <v>90.191000000000003</v>
      </c>
      <c r="CR13">
        <v>90.650999999999996</v>
      </c>
      <c r="CS13">
        <v>87.856999999999999</v>
      </c>
      <c r="CT13">
        <v>86.049000000000007</v>
      </c>
      <c r="CU13">
        <v>85.134</v>
      </c>
    </row>
    <row r="14" spans="1:99">
      <c r="A14" t="s">
        <v>1025</v>
      </c>
      <c r="B14" t="s">
        <v>1170</v>
      </c>
      <c r="C14">
        <v>22.201000000000001</v>
      </c>
      <c r="D14">
        <v>21.798999999999999</v>
      </c>
      <c r="E14">
        <v>20.814</v>
      </c>
      <c r="F14">
        <v>18.712</v>
      </c>
      <c r="G14">
        <v>18.760999999999999</v>
      </c>
      <c r="H14">
        <v>19.472999999999999</v>
      </c>
      <c r="I14">
        <v>19.099</v>
      </c>
      <c r="J14">
        <v>19.504999999999999</v>
      </c>
      <c r="K14">
        <v>19.684999999999999</v>
      </c>
      <c r="L14">
        <v>19.039000000000001</v>
      </c>
      <c r="M14">
        <v>19.196999999999999</v>
      </c>
      <c r="N14">
        <v>19.763999999999999</v>
      </c>
      <c r="O14">
        <v>21.504999999999999</v>
      </c>
      <c r="P14">
        <v>24.805</v>
      </c>
      <c r="Q14">
        <v>26.05</v>
      </c>
      <c r="R14">
        <v>29.084</v>
      </c>
      <c r="S14">
        <v>30.236000000000001</v>
      </c>
      <c r="T14">
        <v>30.222999999999999</v>
      </c>
      <c r="U14">
        <v>31.937000000000001</v>
      </c>
      <c r="V14">
        <v>32.292999999999999</v>
      </c>
      <c r="W14">
        <v>32.134</v>
      </c>
      <c r="X14">
        <v>31.672999999999998</v>
      </c>
      <c r="Y14">
        <v>33.616999999999997</v>
      </c>
      <c r="Z14">
        <v>33.539000000000001</v>
      </c>
      <c r="AA14">
        <v>33.692999999999998</v>
      </c>
      <c r="AB14">
        <v>32.999000000000002</v>
      </c>
      <c r="AC14">
        <v>32.584000000000003</v>
      </c>
      <c r="AD14">
        <v>32.924999999999997</v>
      </c>
      <c r="AE14">
        <v>33.140999999999998</v>
      </c>
      <c r="AF14">
        <v>33.182000000000002</v>
      </c>
      <c r="AG14">
        <v>33.335000000000001</v>
      </c>
      <c r="AH14">
        <v>33.43</v>
      </c>
      <c r="AI14">
        <v>33.360999999999997</v>
      </c>
      <c r="AJ14">
        <v>33.219000000000001</v>
      </c>
      <c r="AK14">
        <v>33.393999999999998</v>
      </c>
      <c r="AL14">
        <v>34.25</v>
      </c>
      <c r="AM14">
        <v>34.075000000000003</v>
      </c>
      <c r="AN14">
        <v>34.064999999999998</v>
      </c>
      <c r="AO14">
        <v>34.875999999999998</v>
      </c>
      <c r="AP14">
        <v>35.642000000000003</v>
      </c>
      <c r="AQ14">
        <v>37.408000000000001</v>
      </c>
      <c r="AR14">
        <v>38.378999999999998</v>
      </c>
      <c r="AS14">
        <v>39.433</v>
      </c>
      <c r="AT14">
        <v>40.707999999999998</v>
      </c>
      <c r="AU14">
        <v>42.036999999999999</v>
      </c>
      <c r="AV14">
        <v>45.271000000000001</v>
      </c>
      <c r="AW14">
        <v>48.713000000000001</v>
      </c>
      <c r="AX14">
        <v>51.085999999999999</v>
      </c>
      <c r="AY14">
        <v>53.326000000000001</v>
      </c>
      <c r="AZ14">
        <v>56.286000000000001</v>
      </c>
      <c r="BA14">
        <v>60.93</v>
      </c>
      <c r="BB14">
        <v>73.391999999999996</v>
      </c>
      <c r="BC14">
        <v>77.430000000000007</v>
      </c>
      <c r="BD14">
        <v>78.177000000000007</v>
      </c>
      <c r="BE14">
        <v>80.697999999999993</v>
      </c>
      <c r="BF14">
        <v>82.421000000000006</v>
      </c>
      <c r="BG14">
        <v>83.32</v>
      </c>
      <c r="BH14">
        <v>85.287999999999997</v>
      </c>
      <c r="BI14">
        <v>91.094999999999999</v>
      </c>
      <c r="BJ14">
        <v>97.043999999999997</v>
      </c>
      <c r="BK14">
        <v>101.55500000000001</v>
      </c>
      <c r="BL14">
        <v>107.956</v>
      </c>
      <c r="BM14">
        <v>111.952</v>
      </c>
      <c r="BN14">
        <v>114.90900000000001</v>
      </c>
      <c r="BO14">
        <v>115.79300000000001</v>
      </c>
      <c r="BP14">
        <v>117.642</v>
      </c>
      <c r="BQ14">
        <v>119.6</v>
      </c>
      <c r="BR14">
        <v>118.887</v>
      </c>
      <c r="BS14">
        <v>117.218</v>
      </c>
      <c r="BT14">
        <v>115.075</v>
      </c>
      <c r="BU14">
        <v>112.178</v>
      </c>
      <c r="BV14">
        <v>110.694</v>
      </c>
      <c r="BW14">
        <v>111.04600000000001</v>
      </c>
      <c r="BX14">
        <v>109.19199999999999</v>
      </c>
      <c r="BY14">
        <v>106.7</v>
      </c>
      <c r="BZ14">
        <v>106.152</v>
      </c>
      <c r="CA14">
        <v>105.145</v>
      </c>
      <c r="CB14">
        <v>106.107</v>
      </c>
      <c r="CC14">
        <v>108.06699999999999</v>
      </c>
      <c r="CD14">
        <v>110.789</v>
      </c>
      <c r="CE14">
        <v>111.13200000000001</v>
      </c>
      <c r="CF14">
        <v>110.67100000000001</v>
      </c>
      <c r="CG14">
        <v>113.59699999999999</v>
      </c>
      <c r="CH14">
        <v>112.724</v>
      </c>
      <c r="CI14">
        <v>110.703</v>
      </c>
      <c r="CJ14">
        <v>106.098</v>
      </c>
      <c r="CK14">
        <v>102.259</v>
      </c>
      <c r="CL14">
        <v>101.367</v>
      </c>
      <c r="CM14">
        <v>100</v>
      </c>
      <c r="CN14">
        <v>98.106999999999999</v>
      </c>
      <c r="CO14">
        <v>95.882999999999996</v>
      </c>
      <c r="CP14">
        <v>93.153000000000006</v>
      </c>
      <c r="CQ14">
        <v>93.656000000000006</v>
      </c>
      <c r="CR14">
        <v>95.481999999999999</v>
      </c>
      <c r="CS14">
        <v>97.718999999999994</v>
      </c>
      <c r="CT14">
        <v>97.113</v>
      </c>
      <c r="CU14">
        <v>97.992000000000004</v>
      </c>
    </row>
    <row r="15" spans="1:99">
      <c r="A15" t="s">
        <v>1027</v>
      </c>
      <c r="B15" t="s">
        <v>1171</v>
      </c>
      <c r="C15">
        <v>10.340999999999999</v>
      </c>
      <c r="D15">
        <v>9.8049999999999997</v>
      </c>
      <c r="E15">
        <v>8.3819999999999997</v>
      </c>
      <c r="F15">
        <v>7.1870000000000003</v>
      </c>
      <c r="G15">
        <v>7.15</v>
      </c>
      <c r="H15">
        <v>7.9080000000000004</v>
      </c>
      <c r="I15">
        <v>8.173</v>
      </c>
      <c r="J15">
        <v>8.202</v>
      </c>
      <c r="K15">
        <v>8.4870000000000001</v>
      </c>
      <c r="L15">
        <v>8.0690000000000008</v>
      </c>
      <c r="M15">
        <v>7.9420000000000002</v>
      </c>
      <c r="N15">
        <v>8.01</v>
      </c>
      <c r="O15">
        <v>8.6869999999999994</v>
      </c>
      <c r="P15">
        <v>10.112</v>
      </c>
      <c r="Q15">
        <v>11.315</v>
      </c>
      <c r="R15">
        <v>11.973000000000001</v>
      </c>
      <c r="S15">
        <v>12.499000000000001</v>
      </c>
      <c r="T15">
        <v>13.542</v>
      </c>
      <c r="U15">
        <v>15.29</v>
      </c>
      <c r="V15">
        <v>16.227</v>
      </c>
      <c r="W15">
        <v>15.698</v>
      </c>
      <c r="X15">
        <v>15.737</v>
      </c>
      <c r="Y15">
        <v>17.085999999999999</v>
      </c>
      <c r="Z15">
        <v>17.268999999999998</v>
      </c>
      <c r="AA15">
        <v>17.209</v>
      </c>
      <c r="AB15">
        <v>17.25</v>
      </c>
      <c r="AC15">
        <v>17.138000000000002</v>
      </c>
      <c r="AD15">
        <v>17.382999999999999</v>
      </c>
      <c r="AE15">
        <v>17.893000000000001</v>
      </c>
      <c r="AF15">
        <v>18.329000000000001</v>
      </c>
      <c r="AG15">
        <v>18.356000000000002</v>
      </c>
      <c r="AH15">
        <v>18.574999999999999</v>
      </c>
      <c r="AI15">
        <v>18.652000000000001</v>
      </c>
      <c r="AJ15">
        <v>18.754000000000001</v>
      </c>
      <c r="AK15">
        <v>18.940999999999999</v>
      </c>
      <c r="AL15">
        <v>19.193999999999999</v>
      </c>
      <c r="AM15">
        <v>19.54</v>
      </c>
      <c r="AN15">
        <v>20.164999999999999</v>
      </c>
      <c r="AO15">
        <v>20.533000000000001</v>
      </c>
      <c r="AP15">
        <v>21.273</v>
      </c>
      <c r="AQ15">
        <v>22.193999999999999</v>
      </c>
      <c r="AR15">
        <v>23.192</v>
      </c>
      <c r="AS15">
        <v>23.846</v>
      </c>
      <c r="AT15">
        <v>24.611000000000001</v>
      </c>
      <c r="AU15">
        <v>26.594999999999999</v>
      </c>
      <c r="AV15">
        <v>30.617000000000001</v>
      </c>
      <c r="AW15">
        <v>32.984000000000002</v>
      </c>
      <c r="AX15">
        <v>34.058</v>
      </c>
      <c r="AY15">
        <v>36.009</v>
      </c>
      <c r="AZ15">
        <v>38.311</v>
      </c>
      <c r="BA15">
        <v>42.44</v>
      </c>
      <c r="BB15">
        <v>47.646999999999998</v>
      </c>
      <c r="BC15">
        <v>51.326000000000001</v>
      </c>
      <c r="BD15">
        <v>52.491</v>
      </c>
      <c r="BE15">
        <v>53.392000000000003</v>
      </c>
      <c r="BF15">
        <v>54.502000000000002</v>
      </c>
      <c r="BG15">
        <v>55.521999999999998</v>
      </c>
      <c r="BH15">
        <v>54.813000000000002</v>
      </c>
      <c r="BI15">
        <v>56.677</v>
      </c>
      <c r="BJ15">
        <v>58.478999999999999</v>
      </c>
      <c r="BK15">
        <v>61.38</v>
      </c>
      <c r="BL15">
        <v>64.897999999999996</v>
      </c>
      <c r="BM15">
        <v>66.793000000000006</v>
      </c>
      <c r="BN15">
        <v>67.763999999999996</v>
      </c>
      <c r="BO15">
        <v>68.313999999999993</v>
      </c>
      <c r="BP15">
        <v>68.679000000000002</v>
      </c>
      <c r="BQ15">
        <v>69.396000000000001</v>
      </c>
      <c r="BR15">
        <v>70.968000000000004</v>
      </c>
      <c r="BS15">
        <v>71.709000000000003</v>
      </c>
      <c r="BT15">
        <v>71.182000000000002</v>
      </c>
      <c r="BU15">
        <v>72.950999999999993</v>
      </c>
      <c r="BV15">
        <v>76.084000000000003</v>
      </c>
      <c r="BW15">
        <v>76.893000000000001</v>
      </c>
      <c r="BX15">
        <v>76.897999999999996</v>
      </c>
      <c r="BY15">
        <v>78.488</v>
      </c>
      <c r="BZ15">
        <v>81.206000000000003</v>
      </c>
      <c r="CA15">
        <v>84.319000000000003</v>
      </c>
      <c r="CB15">
        <v>86.945999999999998</v>
      </c>
      <c r="CC15">
        <v>89.504999999999995</v>
      </c>
      <c r="CD15">
        <v>94.506</v>
      </c>
      <c r="CE15">
        <v>92</v>
      </c>
      <c r="CF15">
        <v>94.790999999999997</v>
      </c>
      <c r="CG15">
        <v>100.417</v>
      </c>
      <c r="CH15">
        <v>102.831</v>
      </c>
      <c r="CI15">
        <v>102.895</v>
      </c>
      <c r="CJ15">
        <v>103.40900000000001</v>
      </c>
      <c r="CK15">
        <v>99.734999999999999</v>
      </c>
      <c r="CL15">
        <v>98.405000000000001</v>
      </c>
      <c r="CM15">
        <v>100</v>
      </c>
      <c r="CN15">
        <v>101.935</v>
      </c>
      <c r="CO15">
        <v>101.848</v>
      </c>
      <c r="CP15">
        <v>101.15</v>
      </c>
      <c r="CQ15">
        <v>105.83</v>
      </c>
      <c r="CR15">
        <v>116.26900000000001</v>
      </c>
      <c r="CS15">
        <v>118.956</v>
      </c>
      <c r="CT15">
        <v>119.49299999999999</v>
      </c>
      <c r="CU15">
        <v>120.501</v>
      </c>
    </row>
    <row r="16" spans="1:99">
      <c r="A16" t="s">
        <v>1029</v>
      </c>
      <c r="B16" t="s">
        <v>1172</v>
      </c>
      <c r="C16">
        <v>9.2189999999999994</v>
      </c>
      <c r="D16">
        <v>8.6240000000000006</v>
      </c>
      <c r="E16">
        <v>6.9619999999999997</v>
      </c>
      <c r="F16">
        <v>5.6920000000000002</v>
      </c>
      <c r="G16">
        <v>5.72</v>
      </c>
      <c r="H16">
        <v>6.43</v>
      </c>
      <c r="I16">
        <v>6.94</v>
      </c>
      <c r="J16">
        <v>6.9530000000000003</v>
      </c>
      <c r="K16">
        <v>7.1660000000000004</v>
      </c>
      <c r="L16">
        <v>6.6210000000000004</v>
      </c>
      <c r="M16">
        <v>6.5540000000000003</v>
      </c>
      <c r="N16">
        <v>6.593</v>
      </c>
      <c r="O16">
        <v>7.2939999999999996</v>
      </c>
      <c r="P16">
        <v>8.7249999999999996</v>
      </c>
      <c r="Q16">
        <v>10.051</v>
      </c>
      <c r="R16">
        <v>10.32</v>
      </c>
      <c r="S16">
        <v>10.635999999999999</v>
      </c>
      <c r="T16">
        <v>11.738</v>
      </c>
      <c r="U16">
        <v>13.516</v>
      </c>
      <c r="V16">
        <v>14.183</v>
      </c>
      <c r="W16">
        <v>13.608000000000001</v>
      </c>
      <c r="X16">
        <v>13.673</v>
      </c>
      <c r="Y16">
        <v>15.114000000000001</v>
      </c>
      <c r="Z16">
        <v>15.478999999999999</v>
      </c>
      <c r="AA16">
        <v>15.178000000000001</v>
      </c>
      <c r="AB16">
        <v>15.166</v>
      </c>
      <c r="AC16">
        <v>14.888999999999999</v>
      </c>
      <c r="AD16">
        <v>14.997</v>
      </c>
      <c r="AE16">
        <v>15.451000000000001</v>
      </c>
      <c r="AF16">
        <v>16.096</v>
      </c>
      <c r="AG16">
        <v>15.929</v>
      </c>
      <c r="AH16">
        <v>16.062999999999999</v>
      </c>
      <c r="AI16">
        <v>16.143000000000001</v>
      </c>
      <c r="AJ16">
        <v>16.265999999999998</v>
      </c>
      <c r="AK16">
        <v>16.437000000000001</v>
      </c>
      <c r="AL16">
        <v>16.768999999999998</v>
      </c>
      <c r="AM16">
        <v>17.106999999999999</v>
      </c>
      <c r="AN16">
        <v>17.829000000000001</v>
      </c>
      <c r="AO16">
        <v>17.852</v>
      </c>
      <c r="AP16">
        <v>18.391999999999999</v>
      </c>
      <c r="AQ16">
        <v>19.216999999999999</v>
      </c>
      <c r="AR16">
        <v>20.289000000000001</v>
      </c>
      <c r="AS16">
        <v>20.751000000000001</v>
      </c>
      <c r="AT16">
        <v>21.741</v>
      </c>
      <c r="AU16">
        <v>24.492000000000001</v>
      </c>
      <c r="AV16">
        <v>28.216999999999999</v>
      </c>
      <c r="AW16">
        <v>30.338000000000001</v>
      </c>
      <c r="AX16">
        <v>30.902000000000001</v>
      </c>
      <c r="AY16">
        <v>32.722000000000001</v>
      </c>
      <c r="AZ16">
        <v>35.853000000000002</v>
      </c>
      <c r="BA16">
        <v>39.374000000000002</v>
      </c>
      <c r="BB16">
        <v>42.685000000000002</v>
      </c>
      <c r="BC16">
        <v>45.725999999999999</v>
      </c>
      <c r="BD16">
        <v>46.929000000000002</v>
      </c>
      <c r="BE16">
        <v>47.468000000000004</v>
      </c>
      <c r="BF16">
        <v>48.893999999999998</v>
      </c>
      <c r="BG16">
        <v>49.426000000000002</v>
      </c>
      <c r="BH16">
        <v>50.588999999999999</v>
      </c>
      <c r="BI16">
        <v>52.186</v>
      </c>
      <c r="BJ16">
        <v>53.741999999999997</v>
      </c>
      <c r="BK16">
        <v>56.576000000000001</v>
      </c>
      <c r="BL16">
        <v>59.34</v>
      </c>
      <c r="BM16">
        <v>61.203000000000003</v>
      </c>
      <c r="BN16">
        <v>61.673000000000002</v>
      </c>
      <c r="BO16">
        <v>62.534999999999997</v>
      </c>
      <c r="BP16">
        <v>63.582000000000001</v>
      </c>
      <c r="BQ16">
        <v>64.959999999999994</v>
      </c>
      <c r="BR16">
        <v>66.941999999999993</v>
      </c>
      <c r="BS16">
        <v>68.218000000000004</v>
      </c>
      <c r="BT16">
        <v>69.075000000000003</v>
      </c>
      <c r="BU16">
        <v>70.206000000000003</v>
      </c>
      <c r="BV16">
        <v>71.849999999999994</v>
      </c>
      <c r="BW16">
        <v>73.945999999999998</v>
      </c>
      <c r="BX16">
        <v>75.063000000000002</v>
      </c>
      <c r="BY16">
        <v>76.483999999999995</v>
      </c>
      <c r="BZ16">
        <v>78.87</v>
      </c>
      <c r="CA16">
        <v>80.248000000000005</v>
      </c>
      <c r="CB16">
        <v>81.596999999999994</v>
      </c>
      <c r="CC16">
        <v>84.781000000000006</v>
      </c>
      <c r="CD16">
        <v>89.944000000000003</v>
      </c>
      <c r="CE16">
        <v>91.013000000000005</v>
      </c>
      <c r="CF16">
        <v>91.284999999999997</v>
      </c>
      <c r="CG16">
        <v>94.93</v>
      </c>
      <c r="CH16">
        <v>97.183000000000007</v>
      </c>
      <c r="CI16">
        <v>98.14</v>
      </c>
      <c r="CJ16">
        <v>100.01600000000001</v>
      </c>
      <c r="CK16">
        <v>101.14100000000001</v>
      </c>
      <c r="CL16">
        <v>100.13</v>
      </c>
      <c r="CM16">
        <v>100</v>
      </c>
      <c r="CN16">
        <v>100.517</v>
      </c>
      <c r="CO16">
        <v>101.52800000000001</v>
      </c>
      <c r="CP16">
        <v>104.88800000000001</v>
      </c>
      <c r="CQ16">
        <v>108.15900000000001</v>
      </c>
      <c r="CR16">
        <v>119.318</v>
      </c>
      <c r="CS16">
        <v>125.328</v>
      </c>
      <c r="CT16">
        <v>126.956</v>
      </c>
      <c r="CU16">
        <v>129.4</v>
      </c>
    </row>
    <row r="17" spans="1:99">
      <c r="A17" t="s">
        <v>1031</v>
      </c>
      <c r="B17" t="s">
        <v>1173</v>
      </c>
      <c r="C17">
        <v>26.84</v>
      </c>
      <c r="D17">
        <v>25.619</v>
      </c>
      <c r="E17">
        <v>22.381</v>
      </c>
      <c r="F17">
        <v>18.382999999999999</v>
      </c>
      <c r="G17">
        <v>18.734999999999999</v>
      </c>
      <c r="H17">
        <v>21.72</v>
      </c>
      <c r="I17">
        <v>21.338000000000001</v>
      </c>
      <c r="J17">
        <v>21.364000000000001</v>
      </c>
      <c r="K17">
        <v>22.486999999999998</v>
      </c>
      <c r="L17">
        <v>21.939</v>
      </c>
      <c r="M17">
        <v>21.428999999999998</v>
      </c>
      <c r="N17">
        <v>21.670999999999999</v>
      </c>
      <c r="O17">
        <v>23.797000000000001</v>
      </c>
      <c r="P17">
        <v>28.51</v>
      </c>
      <c r="Q17">
        <v>31.861999999999998</v>
      </c>
      <c r="R17">
        <v>35.982999999999997</v>
      </c>
      <c r="S17">
        <v>39.119</v>
      </c>
      <c r="T17">
        <v>42.360999999999997</v>
      </c>
      <c r="U17">
        <v>45.738</v>
      </c>
      <c r="V17">
        <v>48.548000000000002</v>
      </c>
      <c r="W17">
        <v>46.457000000000001</v>
      </c>
      <c r="X17">
        <v>46.087000000000003</v>
      </c>
      <c r="Y17">
        <v>50.113</v>
      </c>
      <c r="Z17">
        <v>49.265000000000001</v>
      </c>
      <c r="AA17">
        <v>49.149000000000001</v>
      </c>
      <c r="AB17">
        <v>49.271000000000001</v>
      </c>
      <c r="AC17">
        <v>49.137</v>
      </c>
      <c r="AD17">
        <v>50.070999999999998</v>
      </c>
      <c r="AE17">
        <v>50.816000000000003</v>
      </c>
      <c r="AF17">
        <v>51.033000000000001</v>
      </c>
      <c r="AG17">
        <v>51.469000000000001</v>
      </c>
      <c r="AH17">
        <v>52.158999999999999</v>
      </c>
      <c r="AI17">
        <v>52.46</v>
      </c>
      <c r="AJ17">
        <v>52.618000000000002</v>
      </c>
      <c r="AK17">
        <v>53.079000000000001</v>
      </c>
      <c r="AL17">
        <v>53.579000000000001</v>
      </c>
      <c r="AM17">
        <v>54.045999999999999</v>
      </c>
      <c r="AN17">
        <v>55.54</v>
      </c>
      <c r="AO17">
        <v>57.829000000000001</v>
      </c>
      <c r="AP17">
        <v>61.097000000000001</v>
      </c>
      <c r="AQ17">
        <v>64.402000000000001</v>
      </c>
      <c r="AR17">
        <v>66.796999999999997</v>
      </c>
      <c r="AS17">
        <v>69.171999999999997</v>
      </c>
      <c r="AT17">
        <v>70.427999999999997</v>
      </c>
      <c r="AU17">
        <v>72.765000000000001</v>
      </c>
      <c r="AV17">
        <v>78.164000000000001</v>
      </c>
      <c r="AW17">
        <v>81.668999999999997</v>
      </c>
      <c r="AX17">
        <v>84.289000000000001</v>
      </c>
      <c r="AY17">
        <v>87.885999999999996</v>
      </c>
      <c r="AZ17">
        <v>89.546999999999997</v>
      </c>
      <c r="BA17">
        <v>91.299000000000007</v>
      </c>
      <c r="BB17">
        <v>94.647999999999996</v>
      </c>
      <c r="BC17">
        <v>97.772999999999996</v>
      </c>
      <c r="BD17">
        <v>99.204999999999998</v>
      </c>
      <c r="BE17">
        <v>100.563</v>
      </c>
      <c r="BF17">
        <v>101.08499999999999</v>
      </c>
      <c r="BG17">
        <v>103.254</v>
      </c>
      <c r="BH17">
        <v>102.828</v>
      </c>
      <c r="BI17">
        <v>105.791</v>
      </c>
      <c r="BJ17">
        <v>109.19499999999999</v>
      </c>
      <c r="BK17">
        <v>110.79300000000001</v>
      </c>
      <c r="BL17">
        <v>114.404</v>
      </c>
      <c r="BM17">
        <v>116.581</v>
      </c>
      <c r="BN17">
        <v>117.449</v>
      </c>
      <c r="BO17">
        <v>116.822</v>
      </c>
      <c r="BP17">
        <v>114.85599999999999</v>
      </c>
      <c r="BQ17">
        <v>112.173</v>
      </c>
      <c r="BR17">
        <v>110.822</v>
      </c>
      <c r="BS17">
        <v>110.857</v>
      </c>
      <c r="BT17">
        <v>108.839</v>
      </c>
      <c r="BU17">
        <v>107.398</v>
      </c>
      <c r="BV17">
        <v>106.12</v>
      </c>
      <c r="BW17">
        <v>104.017</v>
      </c>
      <c r="BX17">
        <v>101.285</v>
      </c>
      <c r="BY17">
        <v>98.775999999999996</v>
      </c>
      <c r="BZ17">
        <v>98.433999999999997</v>
      </c>
      <c r="CA17">
        <v>97.563999999999993</v>
      </c>
      <c r="CB17">
        <v>97.183000000000007</v>
      </c>
      <c r="CC17">
        <v>96.283000000000001</v>
      </c>
      <c r="CD17">
        <v>95.509</v>
      </c>
      <c r="CE17">
        <v>96.346000000000004</v>
      </c>
      <c r="CF17">
        <v>95.727000000000004</v>
      </c>
      <c r="CG17">
        <v>97.302000000000007</v>
      </c>
      <c r="CH17">
        <v>100.82</v>
      </c>
      <c r="CI17">
        <v>101.813</v>
      </c>
      <c r="CJ17">
        <v>102.13</v>
      </c>
      <c r="CK17">
        <v>100.917</v>
      </c>
      <c r="CL17">
        <v>100.607</v>
      </c>
      <c r="CM17">
        <v>100</v>
      </c>
      <c r="CN17">
        <v>100.134</v>
      </c>
      <c r="CO17">
        <v>98.822000000000003</v>
      </c>
      <c r="CP17">
        <v>93.825999999999993</v>
      </c>
      <c r="CQ17">
        <v>95.789000000000001</v>
      </c>
      <c r="CR17">
        <v>100.75</v>
      </c>
      <c r="CS17">
        <v>103.312</v>
      </c>
      <c r="CT17">
        <v>104.02200000000001</v>
      </c>
      <c r="CU17">
        <v>103.877</v>
      </c>
    </row>
    <row r="18" spans="1:99">
      <c r="A18" t="s">
        <v>1033</v>
      </c>
      <c r="B18" t="s">
        <v>1174</v>
      </c>
      <c r="C18">
        <v>6.0990000000000002</v>
      </c>
      <c r="D18">
        <v>5.9</v>
      </c>
      <c r="E18">
        <v>5.2439999999999998</v>
      </c>
      <c r="F18">
        <v>5.1189999999999998</v>
      </c>
      <c r="G18">
        <v>5.0090000000000003</v>
      </c>
      <c r="H18">
        <v>5.2830000000000004</v>
      </c>
      <c r="I18">
        <v>5.2380000000000004</v>
      </c>
      <c r="J18">
        <v>5.3780000000000001</v>
      </c>
      <c r="K18">
        <v>5.4859999999999998</v>
      </c>
      <c r="L18">
        <v>5.3879999999999999</v>
      </c>
      <c r="M18">
        <v>5.202</v>
      </c>
      <c r="N18">
        <v>5.2080000000000002</v>
      </c>
      <c r="O18">
        <v>5.4489999999999998</v>
      </c>
      <c r="P18">
        <v>5.7709999999999999</v>
      </c>
      <c r="Q18">
        <v>5.9729999999999999</v>
      </c>
      <c r="R18">
        <v>6.1</v>
      </c>
      <c r="S18">
        <v>6.0910000000000002</v>
      </c>
      <c r="T18">
        <v>6.3310000000000004</v>
      </c>
      <c r="U18">
        <v>7.1150000000000002</v>
      </c>
      <c r="V18">
        <v>8.1</v>
      </c>
      <c r="W18">
        <v>8.2189999999999994</v>
      </c>
      <c r="X18">
        <v>8.3109999999999999</v>
      </c>
      <c r="Y18">
        <v>8.5419999999999998</v>
      </c>
      <c r="Z18">
        <v>8.6969999999999992</v>
      </c>
      <c r="AA18">
        <v>9.0289999999999999</v>
      </c>
      <c r="AB18">
        <v>9.1760000000000002</v>
      </c>
      <c r="AC18">
        <v>9.2729999999999997</v>
      </c>
      <c r="AD18">
        <v>9.5630000000000006</v>
      </c>
      <c r="AE18">
        <v>10.003</v>
      </c>
      <c r="AF18">
        <v>9.8919999999999995</v>
      </c>
      <c r="AG18">
        <v>10.031000000000001</v>
      </c>
      <c r="AH18">
        <v>10.209</v>
      </c>
      <c r="AI18">
        <v>10.221</v>
      </c>
      <c r="AJ18">
        <v>10.273</v>
      </c>
      <c r="AK18">
        <v>10.298999999999999</v>
      </c>
      <c r="AL18">
        <v>10.202999999999999</v>
      </c>
      <c r="AM18">
        <v>10.551</v>
      </c>
      <c r="AN18">
        <v>10.802</v>
      </c>
      <c r="AO18">
        <v>11.154</v>
      </c>
      <c r="AP18">
        <v>11.358000000000001</v>
      </c>
      <c r="AQ18">
        <v>11.706</v>
      </c>
      <c r="AR18">
        <v>11.871</v>
      </c>
      <c r="AS18">
        <v>12.064</v>
      </c>
      <c r="AT18">
        <v>12.208</v>
      </c>
      <c r="AU18">
        <v>13.481</v>
      </c>
      <c r="AV18">
        <v>18.748000000000001</v>
      </c>
      <c r="AW18">
        <v>20.065000000000001</v>
      </c>
      <c r="AX18">
        <v>21.024999999999999</v>
      </c>
      <c r="AY18">
        <v>22.526</v>
      </c>
      <c r="AZ18">
        <v>23.562999999999999</v>
      </c>
      <c r="BA18">
        <v>31.739000000000001</v>
      </c>
      <c r="BB18">
        <v>44.134</v>
      </c>
      <c r="BC18">
        <v>49.78</v>
      </c>
      <c r="BD18">
        <v>47.466999999999999</v>
      </c>
      <c r="BE18">
        <v>45.633000000000003</v>
      </c>
      <c r="BF18">
        <v>45.16</v>
      </c>
      <c r="BG18">
        <v>45.258000000000003</v>
      </c>
      <c r="BH18">
        <v>35.530999999999999</v>
      </c>
      <c r="BI18">
        <v>36.844000000000001</v>
      </c>
      <c r="BJ18">
        <v>37.119</v>
      </c>
      <c r="BK18">
        <v>40.408999999999999</v>
      </c>
      <c r="BL18">
        <v>46.274000000000001</v>
      </c>
      <c r="BM18">
        <v>45.499000000000002</v>
      </c>
      <c r="BN18">
        <v>45.152999999999999</v>
      </c>
      <c r="BO18">
        <v>44.71</v>
      </c>
      <c r="BP18">
        <v>44.82</v>
      </c>
      <c r="BQ18">
        <v>45.42</v>
      </c>
      <c r="BR18">
        <v>48.514000000000003</v>
      </c>
      <c r="BS18">
        <v>48.512999999999998</v>
      </c>
      <c r="BT18">
        <v>42.298999999999999</v>
      </c>
      <c r="BU18">
        <v>45.781999999999996</v>
      </c>
      <c r="BV18">
        <v>59.188000000000002</v>
      </c>
      <c r="BW18">
        <v>57.148000000000003</v>
      </c>
      <c r="BX18">
        <v>53.481999999999999</v>
      </c>
      <c r="BY18">
        <v>62.505000000000003</v>
      </c>
      <c r="BZ18">
        <v>73.441000000000003</v>
      </c>
      <c r="CA18">
        <v>89.95</v>
      </c>
      <c r="CB18">
        <v>101.57599999999999</v>
      </c>
      <c r="CC18">
        <v>110.004</v>
      </c>
      <c r="CD18">
        <v>129.61500000000001</v>
      </c>
      <c r="CE18">
        <v>94.564999999999998</v>
      </c>
      <c r="CF18">
        <v>111.495</v>
      </c>
      <c r="CG18">
        <v>140.25200000000001</v>
      </c>
      <c r="CH18">
        <v>144.98400000000001</v>
      </c>
      <c r="CI18">
        <v>141.11000000000001</v>
      </c>
      <c r="CJ18">
        <v>136.07900000000001</v>
      </c>
      <c r="CK18">
        <v>99.997</v>
      </c>
      <c r="CL18">
        <v>88.641000000000005</v>
      </c>
      <c r="CM18">
        <v>100</v>
      </c>
      <c r="CN18">
        <v>113.506</v>
      </c>
      <c r="CO18">
        <v>109.55200000000001</v>
      </c>
      <c r="CP18">
        <v>93.144000000000005</v>
      </c>
      <c r="CQ18">
        <v>123.934</v>
      </c>
      <c r="CR18">
        <v>163.96899999999999</v>
      </c>
      <c r="CS18">
        <v>147.26</v>
      </c>
      <c r="CT18">
        <v>139.357</v>
      </c>
      <c r="CU18">
        <v>132.48400000000001</v>
      </c>
    </row>
    <row r="19" spans="1:99">
      <c r="A19" t="s">
        <v>1035</v>
      </c>
      <c r="B19" t="s">
        <v>1175</v>
      </c>
      <c r="C19">
        <v>9.2810000000000006</v>
      </c>
      <c r="D19">
        <v>8.9529999999999994</v>
      </c>
      <c r="E19">
        <v>8.5289999999999999</v>
      </c>
      <c r="F19">
        <v>8.0570000000000004</v>
      </c>
      <c r="G19">
        <v>7.6539999999999999</v>
      </c>
      <c r="H19">
        <v>7.8470000000000004</v>
      </c>
      <c r="I19">
        <v>7.8380000000000001</v>
      </c>
      <c r="J19">
        <v>7.8</v>
      </c>
      <c r="K19">
        <v>8.0760000000000005</v>
      </c>
      <c r="L19">
        <v>7.9450000000000003</v>
      </c>
      <c r="M19">
        <v>7.8689999999999998</v>
      </c>
      <c r="N19">
        <v>8.0129999999999999</v>
      </c>
      <c r="O19">
        <v>8.2609999999999992</v>
      </c>
      <c r="P19">
        <v>9.0289999999999999</v>
      </c>
      <c r="Q19">
        <v>9.6389999999999993</v>
      </c>
      <c r="R19">
        <v>10.198</v>
      </c>
      <c r="S19">
        <v>10.545999999999999</v>
      </c>
      <c r="T19">
        <v>11.032999999999999</v>
      </c>
      <c r="U19">
        <v>12.553000000000001</v>
      </c>
      <c r="V19">
        <v>13.250999999999999</v>
      </c>
      <c r="W19">
        <v>12.962</v>
      </c>
      <c r="X19">
        <v>13.019</v>
      </c>
      <c r="Y19">
        <v>13.867000000000001</v>
      </c>
      <c r="Z19">
        <v>13.92</v>
      </c>
      <c r="AA19">
        <v>14.127000000000001</v>
      </c>
      <c r="AB19">
        <v>14.164999999999999</v>
      </c>
      <c r="AC19">
        <v>14.311999999999999</v>
      </c>
      <c r="AD19">
        <v>14.555999999999999</v>
      </c>
      <c r="AE19">
        <v>15.023</v>
      </c>
      <c r="AF19">
        <v>15.385999999999999</v>
      </c>
      <c r="AG19">
        <v>15.635999999999999</v>
      </c>
      <c r="AH19">
        <v>15.879</v>
      </c>
      <c r="AI19">
        <v>15.917999999999999</v>
      </c>
      <c r="AJ19">
        <v>15.97</v>
      </c>
      <c r="AK19">
        <v>16.190999999999999</v>
      </c>
      <c r="AL19">
        <v>16.431999999999999</v>
      </c>
      <c r="AM19">
        <v>16.66</v>
      </c>
      <c r="AN19">
        <v>16.992000000000001</v>
      </c>
      <c r="AO19">
        <v>17.408999999999999</v>
      </c>
      <c r="AP19">
        <v>18.074999999999999</v>
      </c>
      <c r="AQ19">
        <v>18.744</v>
      </c>
      <c r="AR19">
        <v>19.619</v>
      </c>
      <c r="AS19">
        <v>20.37</v>
      </c>
      <c r="AT19">
        <v>20.876999999999999</v>
      </c>
      <c r="AU19">
        <v>21.446000000000002</v>
      </c>
      <c r="AV19">
        <v>23.556999999999999</v>
      </c>
      <c r="AW19">
        <v>26.262</v>
      </c>
      <c r="AX19">
        <v>27.620999999999999</v>
      </c>
      <c r="AY19">
        <v>29.221</v>
      </c>
      <c r="AZ19">
        <v>30.811</v>
      </c>
      <c r="BA19">
        <v>32.825000000000003</v>
      </c>
      <c r="BB19">
        <v>35.823</v>
      </c>
      <c r="BC19">
        <v>38.86</v>
      </c>
      <c r="BD19">
        <v>41.866999999999997</v>
      </c>
      <c r="BE19">
        <v>44.750999999999998</v>
      </c>
      <c r="BF19">
        <v>46.408999999999999</v>
      </c>
      <c r="BG19">
        <v>48.204999999999998</v>
      </c>
      <c r="BH19">
        <v>50.125</v>
      </c>
      <c r="BI19">
        <v>52.143000000000001</v>
      </c>
      <c r="BJ19">
        <v>54.476999999999997</v>
      </c>
      <c r="BK19">
        <v>57.487000000000002</v>
      </c>
      <c r="BL19">
        <v>60.396000000000001</v>
      </c>
      <c r="BM19">
        <v>63.613</v>
      </c>
      <c r="BN19">
        <v>66.007999999999996</v>
      </c>
      <c r="BO19">
        <v>67.120999999999995</v>
      </c>
      <c r="BP19">
        <v>67.590999999999994</v>
      </c>
      <c r="BQ19">
        <v>68.787999999999997</v>
      </c>
      <c r="BR19">
        <v>70.09</v>
      </c>
      <c r="BS19">
        <v>70.825000000000003</v>
      </c>
      <c r="BT19">
        <v>72.16</v>
      </c>
      <c r="BU19">
        <v>74.986000000000004</v>
      </c>
      <c r="BV19">
        <v>76.626999999999995</v>
      </c>
      <c r="BW19">
        <v>78.402000000000001</v>
      </c>
      <c r="BX19">
        <v>79.832999999999998</v>
      </c>
      <c r="BY19">
        <v>80.051000000000002</v>
      </c>
      <c r="BZ19">
        <v>81.003</v>
      </c>
      <c r="CA19">
        <v>82.238</v>
      </c>
      <c r="CB19">
        <v>83.99</v>
      </c>
      <c r="CC19">
        <v>85.192999999999998</v>
      </c>
      <c r="CD19">
        <v>87.236000000000004</v>
      </c>
      <c r="CE19">
        <v>91.129000000000005</v>
      </c>
      <c r="CF19">
        <v>92.789000000000001</v>
      </c>
      <c r="CG19">
        <v>94.194000000000003</v>
      </c>
      <c r="CH19">
        <v>95.611000000000004</v>
      </c>
      <c r="CI19">
        <v>95.733999999999995</v>
      </c>
      <c r="CJ19">
        <v>96.778999999999996</v>
      </c>
      <c r="CK19">
        <v>97.837999999999994</v>
      </c>
      <c r="CL19">
        <v>98.963999999999999</v>
      </c>
      <c r="CM19">
        <v>100</v>
      </c>
      <c r="CN19">
        <v>100.49</v>
      </c>
      <c r="CO19">
        <v>100.93300000000001</v>
      </c>
      <c r="CP19">
        <v>101.874</v>
      </c>
      <c r="CQ19">
        <v>102.76900000000001</v>
      </c>
      <c r="CR19">
        <v>107.623</v>
      </c>
      <c r="CS19">
        <v>111.983</v>
      </c>
      <c r="CT19">
        <v>113.447</v>
      </c>
      <c r="CU19">
        <v>115.428</v>
      </c>
    </row>
    <row r="20" spans="1:99">
      <c r="A20" t="s">
        <v>1037</v>
      </c>
      <c r="B20" s="12" t="s">
        <v>1176</v>
      </c>
      <c r="C20" s="12">
        <v>6.0679999999999996</v>
      </c>
      <c r="D20" s="12">
        <v>5.8940000000000001</v>
      </c>
      <c r="E20" s="12">
        <v>5.4790000000000001</v>
      </c>
      <c r="F20" s="12">
        <v>4.95</v>
      </c>
      <c r="G20" s="12">
        <v>4.6390000000000002</v>
      </c>
      <c r="H20" s="12">
        <v>4.58</v>
      </c>
      <c r="I20" s="12">
        <v>4.68</v>
      </c>
      <c r="J20" s="12">
        <v>4.7560000000000002</v>
      </c>
      <c r="K20" s="12">
        <v>4.9329999999999998</v>
      </c>
      <c r="L20" s="12">
        <v>4.9379999999999997</v>
      </c>
      <c r="M20" s="12">
        <v>4.9240000000000004</v>
      </c>
      <c r="N20" s="12">
        <v>4.9630000000000001</v>
      </c>
      <c r="O20" s="12">
        <v>5.1390000000000002</v>
      </c>
      <c r="P20" s="12">
        <v>5.5010000000000003</v>
      </c>
      <c r="Q20" s="12">
        <v>5.8449999999999998</v>
      </c>
      <c r="R20" s="12">
        <v>6.1130000000000004</v>
      </c>
      <c r="S20" s="12">
        <v>6.3129999999999997</v>
      </c>
      <c r="T20" s="12">
        <v>6.6959999999999997</v>
      </c>
      <c r="U20" s="12">
        <v>7.1840000000000002</v>
      </c>
      <c r="V20" s="12">
        <v>7.5629999999999997</v>
      </c>
      <c r="W20" s="12">
        <v>7.6909999999999998</v>
      </c>
      <c r="X20" s="12">
        <v>7.8879999999999999</v>
      </c>
      <c r="Y20" s="12">
        <v>8.2759999999999998</v>
      </c>
      <c r="Z20" s="12">
        <v>8.5790000000000006</v>
      </c>
      <c r="AA20" s="12">
        <v>8.9090000000000007</v>
      </c>
      <c r="AB20" s="12">
        <v>9.1329999999999991</v>
      </c>
      <c r="AC20" s="12">
        <v>9.2880000000000003</v>
      </c>
      <c r="AD20" s="12">
        <v>9.5079999999999991</v>
      </c>
      <c r="AE20" s="12">
        <v>9.7859999999999996</v>
      </c>
      <c r="AF20" s="12">
        <v>10.028</v>
      </c>
      <c r="AG20" s="12">
        <v>10.297000000000001</v>
      </c>
      <c r="AH20" s="12">
        <v>10.571</v>
      </c>
      <c r="AI20" s="12">
        <v>10.759</v>
      </c>
      <c r="AJ20" s="12">
        <v>10.962999999999999</v>
      </c>
      <c r="AK20" s="12">
        <v>11.138</v>
      </c>
      <c r="AL20" s="12">
        <v>11.342000000000001</v>
      </c>
      <c r="AM20" s="12">
        <v>11.553000000000001</v>
      </c>
      <c r="AN20" s="12">
        <v>11.885999999999999</v>
      </c>
      <c r="AO20" s="12">
        <v>12.28</v>
      </c>
      <c r="AP20" s="12">
        <v>12.815</v>
      </c>
      <c r="AQ20" s="12">
        <v>13.476000000000001</v>
      </c>
      <c r="AR20" s="12">
        <v>14.223000000000001</v>
      </c>
      <c r="AS20" s="12">
        <v>14.999000000000001</v>
      </c>
      <c r="AT20" s="12">
        <v>15.634</v>
      </c>
      <c r="AU20" s="12">
        <v>16.388999999999999</v>
      </c>
      <c r="AV20" s="12">
        <v>17.777999999999999</v>
      </c>
      <c r="AW20" s="12">
        <v>19.302</v>
      </c>
      <c r="AX20" s="12">
        <v>20.640999999999998</v>
      </c>
      <c r="AY20" s="12">
        <v>22.202999999999999</v>
      </c>
      <c r="AZ20" s="12">
        <v>23.91</v>
      </c>
      <c r="BA20" s="12">
        <v>25.914999999999999</v>
      </c>
      <c r="BB20" s="12">
        <v>28.61</v>
      </c>
      <c r="BC20" s="12">
        <v>31.541</v>
      </c>
      <c r="BD20" s="12">
        <v>34.017000000000003</v>
      </c>
      <c r="BE20" s="12">
        <v>36.106000000000002</v>
      </c>
      <c r="BF20" s="12">
        <v>37.984999999999999</v>
      </c>
      <c r="BG20" s="12">
        <v>39.843000000000004</v>
      </c>
      <c r="BH20" s="12">
        <v>41.48</v>
      </c>
      <c r="BI20" s="12">
        <v>42.725999999999999</v>
      </c>
      <c r="BJ20" s="12">
        <v>44.768999999999998</v>
      </c>
      <c r="BK20" s="12">
        <v>46.88</v>
      </c>
      <c r="BL20" s="12">
        <v>49.029000000000003</v>
      </c>
      <c r="BM20" s="12">
        <v>50.945999999999998</v>
      </c>
      <c r="BN20" s="12">
        <v>52.758000000000003</v>
      </c>
      <c r="BO20" s="12">
        <v>54.582000000000001</v>
      </c>
      <c r="BP20" s="12">
        <v>56.066000000000003</v>
      </c>
      <c r="BQ20" s="12">
        <v>57.631999999999998</v>
      </c>
      <c r="BR20" s="12">
        <v>59.213999999999999</v>
      </c>
      <c r="BS20" s="12">
        <v>60.883000000000003</v>
      </c>
      <c r="BT20" s="12">
        <v>62.171999999999997</v>
      </c>
      <c r="BU20" s="12">
        <v>63.408999999999999</v>
      </c>
      <c r="BV20" s="12">
        <v>65.209999999999994</v>
      </c>
      <c r="BW20" s="12">
        <v>67.292000000000002</v>
      </c>
      <c r="BX20" s="12">
        <v>69.033000000000001</v>
      </c>
      <c r="BY20" s="12">
        <v>71.335999999999999</v>
      </c>
      <c r="BZ20" s="12">
        <v>73.528000000000006</v>
      </c>
      <c r="CA20" s="12">
        <v>75.998000000000005</v>
      </c>
      <c r="CB20" s="12">
        <v>78.75</v>
      </c>
      <c r="CC20" s="12">
        <v>81.388000000000005</v>
      </c>
      <c r="CD20" s="12">
        <v>83.783000000000001</v>
      </c>
      <c r="CE20" s="12">
        <v>84.432000000000002</v>
      </c>
      <c r="CF20" s="12">
        <v>86.076999999999998</v>
      </c>
      <c r="CG20" s="12">
        <v>87.742000000000004</v>
      </c>
      <c r="CH20" s="12">
        <v>89.647999999999996</v>
      </c>
      <c r="CI20" s="12">
        <v>91.659000000000006</v>
      </c>
      <c r="CJ20" s="12">
        <v>93.795000000000002</v>
      </c>
      <c r="CK20" s="12">
        <v>95.462000000000003</v>
      </c>
      <c r="CL20" s="12">
        <v>97.629000000000005</v>
      </c>
      <c r="CM20" s="12">
        <v>100</v>
      </c>
      <c r="CN20" s="12">
        <v>102.626</v>
      </c>
      <c r="CO20" s="12">
        <v>104.965</v>
      </c>
      <c r="CP20" s="12">
        <v>107.08799999999999</v>
      </c>
      <c r="CQ20" s="12">
        <v>111.044</v>
      </c>
      <c r="CR20" s="12">
        <v>117.13</v>
      </c>
      <c r="CS20" s="12">
        <v>123.09099999999999</v>
      </c>
      <c r="CT20" s="12">
        <v>128.119</v>
      </c>
      <c r="CU20" s="12">
        <v>132.64400000000001</v>
      </c>
    </row>
    <row r="21" spans="1:99">
      <c r="A21" t="s">
        <v>1039</v>
      </c>
      <c r="B21" t="s">
        <v>1177</v>
      </c>
      <c r="C21">
        <v>5.806</v>
      </c>
      <c r="D21">
        <v>5.6429999999999998</v>
      </c>
      <c r="E21">
        <v>5.2489999999999997</v>
      </c>
      <c r="F21">
        <v>4.7359999999999998</v>
      </c>
      <c r="G21">
        <v>4.4340000000000002</v>
      </c>
      <c r="H21">
        <v>4.3639999999999999</v>
      </c>
      <c r="I21">
        <v>4.4630000000000001</v>
      </c>
      <c r="J21">
        <v>4.5339999999999998</v>
      </c>
      <c r="K21">
        <v>4.6989999999999998</v>
      </c>
      <c r="L21">
        <v>4.7089999999999996</v>
      </c>
      <c r="M21">
        <v>4.6950000000000003</v>
      </c>
      <c r="N21">
        <v>4.734</v>
      </c>
      <c r="O21">
        <v>4.899</v>
      </c>
      <c r="P21">
        <v>5.242</v>
      </c>
      <c r="Q21">
        <v>5.5679999999999996</v>
      </c>
      <c r="R21">
        <v>5.8239999999999998</v>
      </c>
      <c r="S21">
        <v>6.0140000000000002</v>
      </c>
      <c r="T21">
        <v>6.37</v>
      </c>
      <c r="U21">
        <v>6.8150000000000004</v>
      </c>
      <c r="V21">
        <v>7.1680000000000001</v>
      </c>
      <c r="W21">
        <v>7.2919999999999998</v>
      </c>
      <c r="X21">
        <v>7.4749999999999996</v>
      </c>
      <c r="Y21">
        <v>7.835</v>
      </c>
      <c r="Z21">
        <v>8.1300000000000008</v>
      </c>
      <c r="AA21">
        <v>8.4480000000000004</v>
      </c>
      <c r="AB21">
        <v>8.6609999999999996</v>
      </c>
      <c r="AC21">
        <v>8.8049999999999997</v>
      </c>
      <c r="AD21">
        <v>9.0069999999999997</v>
      </c>
      <c r="AE21">
        <v>9.2669999999999995</v>
      </c>
      <c r="AF21">
        <v>9.4949999999999992</v>
      </c>
      <c r="AG21">
        <v>9.7530000000000001</v>
      </c>
      <c r="AH21">
        <v>10.044</v>
      </c>
      <c r="AI21">
        <v>10.226000000000001</v>
      </c>
      <c r="AJ21">
        <v>10.420999999999999</v>
      </c>
      <c r="AK21">
        <v>10.587</v>
      </c>
      <c r="AL21">
        <v>10.787000000000001</v>
      </c>
      <c r="AM21">
        <v>10.984</v>
      </c>
      <c r="AN21">
        <v>11.298</v>
      </c>
      <c r="AO21">
        <v>11.673</v>
      </c>
      <c r="AP21">
        <v>12.183999999999999</v>
      </c>
      <c r="AQ21">
        <v>12.808</v>
      </c>
      <c r="AR21">
        <v>13.522</v>
      </c>
      <c r="AS21">
        <v>14.259</v>
      </c>
      <c r="AT21">
        <v>14.863</v>
      </c>
      <c r="AU21">
        <v>15.573</v>
      </c>
      <c r="AV21">
        <v>16.861999999999998</v>
      </c>
      <c r="AW21">
        <v>18.305</v>
      </c>
      <c r="AX21">
        <v>19.585000000000001</v>
      </c>
      <c r="AY21">
        <v>21.071999999999999</v>
      </c>
      <c r="AZ21">
        <v>22.699000000000002</v>
      </c>
      <c r="BA21">
        <v>24.593</v>
      </c>
      <c r="BB21">
        <v>27.16</v>
      </c>
      <c r="BC21">
        <v>29.99</v>
      </c>
      <c r="BD21">
        <v>32.481999999999999</v>
      </c>
      <c r="BE21">
        <v>34.631999999999998</v>
      </c>
      <c r="BF21">
        <v>36.545999999999999</v>
      </c>
      <c r="BG21">
        <v>38.420999999999999</v>
      </c>
      <c r="BH21">
        <v>40.091999999999999</v>
      </c>
      <c r="BI21">
        <v>41.360999999999997</v>
      </c>
      <c r="BJ21">
        <v>43.42</v>
      </c>
      <c r="BK21">
        <v>45.634999999999998</v>
      </c>
      <c r="BL21">
        <v>47.935000000000002</v>
      </c>
      <c r="BM21">
        <v>50.006</v>
      </c>
      <c r="BN21">
        <v>52.012999999999998</v>
      </c>
      <c r="BO21">
        <v>53.973999999999997</v>
      </c>
      <c r="BP21">
        <v>55.494999999999997</v>
      </c>
      <c r="BQ21">
        <v>57.1</v>
      </c>
      <c r="BR21">
        <v>58.686</v>
      </c>
      <c r="BS21">
        <v>60.314</v>
      </c>
      <c r="BT21">
        <v>61.500999999999998</v>
      </c>
      <c r="BU21">
        <v>62.691000000000003</v>
      </c>
      <c r="BV21">
        <v>64.411000000000001</v>
      </c>
      <c r="BW21">
        <v>66.430999999999997</v>
      </c>
      <c r="BX21">
        <v>68.209000000000003</v>
      </c>
      <c r="BY21">
        <v>70.694000000000003</v>
      </c>
      <c r="BZ21">
        <v>72.992000000000004</v>
      </c>
      <c r="CA21">
        <v>75.478999999999999</v>
      </c>
      <c r="CB21">
        <v>78.281999999999996</v>
      </c>
      <c r="CC21">
        <v>80.975999999999999</v>
      </c>
      <c r="CD21">
        <v>83.436999999999998</v>
      </c>
      <c r="CE21">
        <v>84.224999999999994</v>
      </c>
      <c r="CF21">
        <v>85.992999999999995</v>
      </c>
      <c r="CG21">
        <v>87.688000000000002</v>
      </c>
      <c r="CH21">
        <v>89.667000000000002</v>
      </c>
      <c r="CI21">
        <v>91.736000000000004</v>
      </c>
      <c r="CJ21">
        <v>93.894000000000005</v>
      </c>
      <c r="CK21">
        <v>95.492000000000004</v>
      </c>
      <c r="CL21">
        <v>97.632000000000005</v>
      </c>
      <c r="CM21">
        <v>100</v>
      </c>
      <c r="CN21">
        <v>102.685</v>
      </c>
      <c r="CO21">
        <v>105.008</v>
      </c>
      <c r="CP21">
        <v>107.197</v>
      </c>
      <c r="CQ21">
        <v>110.944</v>
      </c>
      <c r="CR21">
        <v>116.74299999999999</v>
      </c>
      <c r="CS21">
        <v>122.48699999999999</v>
      </c>
      <c r="CT21">
        <v>127.395</v>
      </c>
      <c r="CU21">
        <v>131.93899999999999</v>
      </c>
    </row>
    <row r="22" spans="1:99">
      <c r="A22" t="s">
        <v>1041</v>
      </c>
      <c r="B22" t="s">
        <v>1178</v>
      </c>
      <c r="C22">
        <v>9.6940000000000008</v>
      </c>
      <c r="D22">
        <v>9.4359999999999999</v>
      </c>
      <c r="E22">
        <v>8.9459999999999997</v>
      </c>
      <c r="F22">
        <v>8.11</v>
      </c>
      <c r="G22">
        <v>7.37</v>
      </c>
      <c r="H22">
        <v>6.8079999999999998</v>
      </c>
      <c r="I22">
        <v>6.83</v>
      </c>
      <c r="J22">
        <v>6.9420000000000002</v>
      </c>
      <c r="K22">
        <v>7.2</v>
      </c>
      <c r="L22">
        <v>7.3819999999999997</v>
      </c>
      <c r="M22">
        <v>7.3659999999999997</v>
      </c>
      <c r="N22">
        <v>7.3860000000000001</v>
      </c>
      <c r="O22">
        <v>7.4850000000000003</v>
      </c>
      <c r="P22">
        <v>7.6440000000000001</v>
      </c>
      <c r="Q22">
        <v>7.6840000000000002</v>
      </c>
      <c r="R22">
        <v>7.7430000000000003</v>
      </c>
      <c r="S22">
        <v>7.8239999999999998</v>
      </c>
      <c r="T22">
        <v>7.9550000000000001</v>
      </c>
      <c r="U22">
        <v>8.2100000000000009</v>
      </c>
      <c r="V22">
        <v>8.6489999999999991</v>
      </c>
      <c r="W22">
        <v>8.8989999999999991</v>
      </c>
      <c r="X22">
        <v>9.1690000000000005</v>
      </c>
      <c r="Y22">
        <v>9.5220000000000002</v>
      </c>
      <c r="Z22">
        <v>9.89</v>
      </c>
      <c r="AA22">
        <v>10.339</v>
      </c>
      <c r="AB22">
        <v>10.621</v>
      </c>
      <c r="AC22">
        <v>10.784000000000001</v>
      </c>
      <c r="AD22">
        <v>10.946999999999999</v>
      </c>
      <c r="AE22">
        <v>11.141999999999999</v>
      </c>
      <c r="AF22">
        <v>11.356</v>
      </c>
      <c r="AG22">
        <v>11.539</v>
      </c>
      <c r="AH22">
        <v>11.757</v>
      </c>
      <c r="AI22">
        <v>11.914</v>
      </c>
      <c r="AJ22">
        <v>12.042</v>
      </c>
      <c r="AK22">
        <v>12.17</v>
      </c>
      <c r="AL22">
        <v>12.278</v>
      </c>
      <c r="AM22">
        <v>12.382999999999999</v>
      </c>
      <c r="AN22">
        <v>12.554</v>
      </c>
      <c r="AO22">
        <v>12.77</v>
      </c>
      <c r="AP22">
        <v>13.061999999999999</v>
      </c>
      <c r="AQ22">
        <v>13.481</v>
      </c>
      <c r="AR22">
        <v>14.067</v>
      </c>
      <c r="AS22">
        <v>14.788</v>
      </c>
      <c r="AT22">
        <v>15.348000000000001</v>
      </c>
      <c r="AU22">
        <v>16.036999999999999</v>
      </c>
      <c r="AV22">
        <v>16.923999999999999</v>
      </c>
      <c r="AW22">
        <v>18.254999999999999</v>
      </c>
      <c r="AX22">
        <v>19.576000000000001</v>
      </c>
      <c r="AY22">
        <v>21.311</v>
      </c>
      <c r="AZ22">
        <v>22.815000000000001</v>
      </c>
      <c r="BA22">
        <v>24.66</v>
      </c>
      <c r="BB22">
        <v>27.242000000000001</v>
      </c>
      <c r="BC22">
        <v>30.247</v>
      </c>
      <c r="BD22">
        <v>33.036000000000001</v>
      </c>
      <c r="BE22">
        <v>35.173000000000002</v>
      </c>
      <c r="BF22">
        <v>36.963000000000001</v>
      </c>
      <c r="BG22">
        <v>38.909999999999997</v>
      </c>
      <c r="BH22">
        <v>40.761000000000003</v>
      </c>
      <c r="BI22">
        <v>42.226999999999997</v>
      </c>
      <c r="BJ22">
        <v>43.899000000000001</v>
      </c>
      <c r="BK22">
        <v>45.667000000000002</v>
      </c>
      <c r="BL22">
        <v>47.651000000000003</v>
      </c>
      <c r="BM22">
        <v>49.231999999999999</v>
      </c>
      <c r="BN22">
        <v>50.606999999999999</v>
      </c>
      <c r="BO22">
        <v>52.069000000000003</v>
      </c>
      <c r="BP22">
        <v>53.412999999999997</v>
      </c>
      <c r="BQ22">
        <v>54.857999999999997</v>
      </c>
      <c r="BR22">
        <v>56.48</v>
      </c>
      <c r="BS22">
        <v>58.018999999999998</v>
      </c>
      <c r="BT22">
        <v>59.386000000000003</v>
      </c>
      <c r="BU22">
        <v>60.805999999999997</v>
      </c>
      <c r="BV22">
        <v>62.945</v>
      </c>
      <c r="BW22">
        <v>65.852999999999994</v>
      </c>
      <c r="BX22">
        <v>67.731999999999999</v>
      </c>
      <c r="BY22">
        <v>69.864999999999995</v>
      </c>
      <c r="BZ22">
        <v>71.828999999999994</v>
      </c>
      <c r="CA22">
        <v>74.364999999999995</v>
      </c>
      <c r="CB22">
        <v>77.498999999999995</v>
      </c>
      <c r="CC22">
        <v>80.201999999999998</v>
      </c>
      <c r="CD22">
        <v>83.021000000000001</v>
      </c>
      <c r="CE22">
        <v>83.957999999999998</v>
      </c>
      <c r="CF22">
        <v>84.15</v>
      </c>
      <c r="CG22">
        <v>85.344999999999999</v>
      </c>
      <c r="CH22">
        <v>86.888000000000005</v>
      </c>
      <c r="CI22">
        <v>89.01</v>
      </c>
      <c r="CJ22">
        <v>91.652000000000001</v>
      </c>
      <c r="CK22">
        <v>93.983999999999995</v>
      </c>
      <c r="CL22">
        <v>96.679000000000002</v>
      </c>
      <c r="CM22">
        <v>100</v>
      </c>
      <c r="CN22">
        <v>103.114</v>
      </c>
      <c r="CO22">
        <v>106.256</v>
      </c>
      <c r="CP22">
        <v>109.081</v>
      </c>
      <c r="CQ22">
        <v>112.291</v>
      </c>
      <c r="CR22">
        <v>119.85299999999999</v>
      </c>
      <c r="CS22">
        <v>128.25800000000001</v>
      </c>
      <c r="CT22">
        <v>134.87700000000001</v>
      </c>
      <c r="CU22">
        <v>140.47399999999999</v>
      </c>
    </row>
    <row r="23" spans="1:99">
      <c r="A23" t="s">
        <v>1043</v>
      </c>
      <c r="B23" t="s">
        <v>1179</v>
      </c>
      <c r="C23">
        <v>2.3180000000000001</v>
      </c>
      <c r="D23">
        <v>2.3239999999999998</v>
      </c>
      <c r="E23">
        <v>2.161</v>
      </c>
      <c r="F23">
        <v>1.9039999999999999</v>
      </c>
      <c r="G23">
        <v>1.8759999999999999</v>
      </c>
      <c r="H23">
        <v>1.9450000000000001</v>
      </c>
      <c r="I23">
        <v>2.0569999999999999</v>
      </c>
      <c r="J23">
        <v>2.1</v>
      </c>
      <c r="K23">
        <v>2.1560000000000001</v>
      </c>
      <c r="L23">
        <v>2.2000000000000002</v>
      </c>
      <c r="M23">
        <v>2.1840000000000002</v>
      </c>
      <c r="N23">
        <v>2.2530000000000001</v>
      </c>
      <c r="O23">
        <v>2.3090000000000002</v>
      </c>
      <c r="P23">
        <v>2.4569999999999999</v>
      </c>
      <c r="Q23">
        <v>2.6520000000000001</v>
      </c>
      <c r="R23">
        <v>2.8479999999999999</v>
      </c>
      <c r="S23">
        <v>2.9750000000000001</v>
      </c>
      <c r="T23">
        <v>3.2280000000000002</v>
      </c>
      <c r="U23">
        <v>3.5760000000000001</v>
      </c>
      <c r="V23">
        <v>3.778</v>
      </c>
      <c r="W23">
        <v>3.83</v>
      </c>
      <c r="X23">
        <v>3.9119999999999999</v>
      </c>
      <c r="Y23">
        <v>4.0910000000000002</v>
      </c>
      <c r="Z23">
        <v>4.2919999999999998</v>
      </c>
      <c r="AA23">
        <v>4.4960000000000004</v>
      </c>
      <c r="AB23">
        <v>4.6520000000000001</v>
      </c>
      <c r="AC23">
        <v>4.8150000000000004</v>
      </c>
      <c r="AD23">
        <v>4.9870000000000001</v>
      </c>
      <c r="AE23">
        <v>5.194</v>
      </c>
      <c r="AF23">
        <v>5.3949999999999996</v>
      </c>
      <c r="AG23">
        <v>5.55</v>
      </c>
      <c r="AH23">
        <v>5.923</v>
      </c>
      <c r="AI23">
        <v>6.056</v>
      </c>
      <c r="AJ23">
        <v>6.21</v>
      </c>
      <c r="AK23">
        <v>6.3860000000000001</v>
      </c>
      <c r="AL23">
        <v>6.6029999999999998</v>
      </c>
      <c r="AM23">
        <v>6.8090000000000002</v>
      </c>
      <c r="AN23">
        <v>7.1120000000000001</v>
      </c>
      <c r="AO23">
        <v>7.5650000000000004</v>
      </c>
      <c r="AP23">
        <v>8.0419999999999998</v>
      </c>
      <c r="AQ23">
        <v>8.609</v>
      </c>
      <c r="AR23">
        <v>9.26</v>
      </c>
      <c r="AS23">
        <v>9.7370000000000001</v>
      </c>
      <c r="AT23">
        <v>10.15</v>
      </c>
      <c r="AU23">
        <v>10.63</v>
      </c>
      <c r="AV23">
        <v>11.638999999999999</v>
      </c>
      <c r="AW23">
        <v>12.948</v>
      </c>
      <c r="AX23">
        <v>14.196</v>
      </c>
      <c r="AY23">
        <v>15.38</v>
      </c>
      <c r="AZ23">
        <v>16.678000000000001</v>
      </c>
      <c r="BA23">
        <v>18.303000000000001</v>
      </c>
      <c r="BB23">
        <v>20.518999999999998</v>
      </c>
      <c r="BC23">
        <v>23.024999999999999</v>
      </c>
      <c r="BD23">
        <v>25.617000000000001</v>
      </c>
      <c r="BE23">
        <v>27.96</v>
      </c>
      <c r="BF23">
        <v>30.053000000000001</v>
      </c>
      <c r="BG23">
        <v>31.876000000000001</v>
      </c>
      <c r="BH23">
        <v>33.771000000000001</v>
      </c>
      <c r="BI23">
        <v>35.942999999999998</v>
      </c>
      <c r="BJ23">
        <v>38.744999999999997</v>
      </c>
      <c r="BK23">
        <v>42.152000000000001</v>
      </c>
      <c r="BL23">
        <v>45.749000000000002</v>
      </c>
      <c r="BM23">
        <v>49.283999999999999</v>
      </c>
      <c r="BN23">
        <v>52.749000000000002</v>
      </c>
      <c r="BO23">
        <v>55.567999999999998</v>
      </c>
      <c r="BP23">
        <v>57.826000000000001</v>
      </c>
      <c r="BQ23">
        <v>59.935000000000002</v>
      </c>
      <c r="BR23">
        <v>61.345999999999997</v>
      </c>
      <c r="BS23">
        <v>62.575000000000003</v>
      </c>
      <c r="BT23">
        <v>63.755000000000003</v>
      </c>
      <c r="BU23">
        <v>65.153999999999996</v>
      </c>
      <c r="BV23">
        <v>66.989000000000004</v>
      </c>
      <c r="BW23">
        <v>69.236000000000004</v>
      </c>
      <c r="BX23">
        <v>71.015000000000001</v>
      </c>
      <c r="BY23">
        <v>73.712000000000003</v>
      </c>
      <c r="BZ23">
        <v>76.444000000000003</v>
      </c>
      <c r="CA23">
        <v>78.873999999999995</v>
      </c>
      <c r="CB23">
        <v>81.27</v>
      </c>
      <c r="CC23">
        <v>84.278000000000006</v>
      </c>
      <c r="CD23">
        <v>86.552999999999997</v>
      </c>
      <c r="CE23">
        <v>88.909000000000006</v>
      </c>
      <c r="CF23">
        <v>91.152000000000001</v>
      </c>
      <c r="CG23">
        <v>92.817999999999998</v>
      </c>
      <c r="CH23">
        <v>94.484999999999999</v>
      </c>
      <c r="CI23">
        <v>95.793000000000006</v>
      </c>
      <c r="CJ23">
        <v>96.878</v>
      </c>
      <c r="CK23">
        <v>97.427000000000007</v>
      </c>
      <c r="CL23">
        <v>98.555999999999997</v>
      </c>
      <c r="CM23">
        <v>100</v>
      </c>
      <c r="CN23">
        <v>101.86499999999999</v>
      </c>
      <c r="CO23">
        <v>103.688</v>
      </c>
      <c r="CP23">
        <v>106.313</v>
      </c>
      <c r="CQ23">
        <v>109.395</v>
      </c>
      <c r="CR23">
        <v>112.026</v>
      </c>
      <c r="CS23">
        <v>114.65</v>
      </c>
      <c r="CT23">
        <v>117.79900000000001</v>
      </c>
      <c r="CU23">
        <v>120.964</v>
      </c>
    </row>
    <row r="24" spans="1:99">
      <c r="A24" t="s">
        <v>1045</v>
      </c>
      <c r="B24" t="s">
        <v>1180</v>
      </c>
      <c r="C24">
        <v>7.0270000000000001</v>
      </c>
      <c r="D24">
        <v>6.9710000000000001</v>
      </c>
      <c r="E24">
        <v>6.6189999999999998</v>
      </c>
      <c r="F24">
        <v>6.1079999999999997</v>
      </c>
      <c r="G24">
        <v>5.7590000000000003</v>
      </c>
      <c r="H24">
        <v>5.8719999999999999</v>
      </c>
      <c r="I24">
        <v>6.0019999999999998</v>
      </c>
      <c r="J24">
        <v>5.968</v>
      </c>
      <c r="K24">
        <v>5.9340000000000002</v>
      </c>
      <c r="L24">
        <v>5.9770000000000003</v>
      </c>
      <c r="M24">
        <v>6</v>
      </c>
      <c r="N24">
        <v>5.8929999999999998</v>
      </c>
      <c r="O24">
        <v>6.0010000000000003</v>
      </c>
      <c r="P24">
        <v>6.3659999999999997</v>
      </c>
      <c r="Q24">
        <v>6.5090000000000003</v>
      </c>
      <c r="R24">
        <v>6.4729999999999999</v>
      </c>
      <c r="S24">
        <v>6.5570000000000004</v>
      </c>
      <c r="T24">
        <v>6.7779999999999996</v>
      </c>
      <c r="U24">
        <v>7.2830000000000004</v>
      </c>
      <c r="V24">
        <v>7.8120000000000003</v>
      </c>
      <c r="W24">
        <v>8.3490000000000002</v>
      </c>
      <c r="X24">
        <v>8.7240000000000002</v>
      </c>
      <c r="Y24">
        <v>9.3469999999999995</v>
      </c>
      <c r="Z24">
        <v>9.6959999999999997</v>
      </c>
      <c r="AA24">
        <v>10.148999999999999</v>
      </c>
      <c r="AB24">
        <v>10.491</v>
      </c>
      <c r="AC24">
        <v>10.741</v>
      </c>
      <c r="AD24">
        <v>11.106</v>
      </c>
      <c r="AE24">
        <v>11.518000000000001</v>
      </c>
      <c r="AF24">
        <v>11.847</v>
      </c>
      <c r="AG24">
        <v>12.195</v>
      </c>
      <c r="AH24">
        <v>12.468</v>
      </c>
      <c r="AI24">
        <v>12.831</v>
      </c>
      <c r="AJ24">
        <v>13.108000000000001</v>
      </c>
      <c r="AK24">
        <v>13.164</v>
      </c>
      <c r="AL24">
        <v>13.337999999999999</v>
      </c>
      <c r="AM24">
        <v>13.568</v>
      </c>
      <c r="AN24">
        <v>13.815</v>
      </c>
      <c r="AO24">
        <v>14.331</v>
      </c>
      <c r="AP24">
        <v>14.977</v>
      </c>
      <c r="AQ24">
        <v>15.898999999999999</v>
      </c>
      <c r="AR24">
        <v>17.128</v>
      </c>
      <c r="AS24">
        <v>18.331</v>
      </c>
      <c r="AT24">
        <v>19.029</v>
      </c>
      <c r="AU24">
        <v>19.87</v>
      </c>
      <c r="AV24">
        <v>21.573</v>
      </c>
      <c r="AW24">
        <v>23.957999999999998</v>
      </c>
      <c r="AX24">
        <v>25.745000000000001</v>
      </c>
      <c r="AY24">
        <v>27.532</v>
      </c>
      <c r="AZ24">
        <v>29.353999999999999</v>
      </c>
      <c r="BA24">
        <v>31.963999999999999</v>
      </c>
      <c r="BB24">
        <v>37.101999999999997</v>
      </c>
      <c r="BC24">
        <v>41.615000000000002</v>
      </c>
      <c r="BD24">
        <v>43.92</v>
      </c>
      <c r="BE24">
        <v>45.585999999999999</v>
      </c>
      <c r="BF24">
        <v>47.386000000000003</v>
      </c>
      <c r="BG24">
        <v>48.320999999999998</v>
      </c>
      <c r="BH24">
        <v>48.805</v>
      </c>
      <c r="BI24">
        <v>50.872999999999998</v>
      </c>
      <c r="BJ24">
        <v>53.250999999999998</v>
      </c>
      <c r="BK24">
        <v>55.591999999999999</v>
      </c>
      <c r="BL24">
        <v>57.716999999999999</v>
      </c>
      <c r="BM24">
        <v>59.301000000000002</v>
      </c>
      <c r="BN24">
        <v>60.985999999999997</v>
      </c>
      <c r="BO24">
        <v>63.115000000000002</v>
      </c>
      <c r="BP24">
        <v>63.805</v>
      </c>
      <c r="BQ24">
        <v>65.209999999999994</v>
      </c>
      <c r="BR24">
        <v>65.864000000000004</v>
      </c>
      <c r="BS24">
        <v>67.412999999999997</v>
      </c>
      <c r="BT24">
        <v>68.563999999999993</v>
      </c>
      <c r="BU24">
        <v>69.489999999999995</v>
      </c>
      <c r="BV24">
        <v>71.625</v>
      </c>
      <c r="BW24">
        <v>72.03</v>
      </c>
      <c r="BX24">
        <v>71.917000000000002</v>
      </c>
      <c r="BY24">
        <v>73.441999999999993</v>
      </c>
      <c r="BZ24">
        <v>74.378</v>
      </c>
      <c r="CA24">
        <v>77.135000000000005</v>
      </c>
      <c r="CB24">
        <v>80.396000000000001</v>
      </c>
      <c r="CC24">
        <v>82.150999999999996</v>
      </c>
      <c r="CD24">
        <v>86.772999999999996</v>
      </c>
      <c r="CE24">
        <v>88.849000000000004</v>
      </c>
      <c r="CF24">
        <v>90.885000000000005</v>
      </c>
      <c r="CG24">
        <v>93.727000000000004</v>
      </c>
      <c r="CH24">
        <v>95.557000000000002</v>
      </c>
      <c r="CI24">
        <v>96.510999999999996</v>
      </c>
      <c r="CJ24">
        <v>97.768000000000001</v>
      </c>
      <c r="CK24">
        <v>97.977999999999994</v>
      </c>
      <c r="CL24">
        <v>98.801000000000002</v>
      </c>
      <c r="CM24">
        <v>100</v>
      </c>
      <c r="CN24">
        <v>102.087</v>
      </c>
      <c r="CO24">
        <v>104.14400000000001</v>
      </c>
      <c r="CP24">
        <v>103.226</v>
      </c>
      <c r="CQ24">
        <v>108.063</v>
      </c>
      <c r="CR24">
        <v>120.04</v>
      </c>
      <c r="CS24">
        <v>128.679</v>
      </c>
      <c r="CT24">
        <v>131.875</v>
      </c>
      <c r="CU24">
        <v>136.13999999999999</v>
      </c>
    </row>
    <row r="25" spans="1:99">
      <c r="A25" t="s">
        <v>1047</v>
      </c>
      <c r="B25" t="s">
        <v>1181</v>
      </c>
      <c r="C25">
        <v>5.9539999999999997</v>
      </c>
      <c r="D25">
        <v>5.843</v>
      </c>
      <c r="E25">
        <v>5.5819999999999999</v>
      </c>
      <c r="F25">
        <v>5.3140000000000001</v>
      </c>
      <c r="G25">
        <v>5.0110000000000001</v>
      </c>
      <c r="H25">
        <v>5.048</v>
      </c>
      <c r="I25">
        <v>5.1210000000000004</v>
      </c>
      <c r="J25">
        <v>5.22</v>
      </c>
      <c r="K25">
        <v>5.4109999999999996</v>
      </c>
      <c r="L25">
        <v>5.5110000000000001</v>
      </c>
      <c r="M25">
        <v>5.4619999999999997</v>
      </c>
      <c r="N25">
        <v>5.51</v>
      </c>
      <c r="O25">
        <v>5.7089999999999996</v>
      </c>
      <c r="P25">
        <v>6.0119999999999996</v>
      </c>
      <c r="Q25">
        <v>6.4560000000000004</v>
      </c>
      <c r="R25">
        <v>7.2510000000000003</v>
      </c>
      <c r="S25">
        <v>7.6109999999999998</v>
      </c>
      <c r="T25">
        <v>8.1039999999999992</v>
      </c>
      <c r="U25">
        <v>8.73</v>
      </c>
      <c r="V25">
        <v>9.048</v>
      </c>
      <c r="W25">
        <v>9.2100000000000009</v>
      </c>
      <c r="X25">
        <v>9.2840000000000007</v>
      </c>
      <c r="Y25">
        <v>9.593</v>
      </c>
      <c r="Z25">
        <v>9.9420000000000002</v>
      </c>
      <c r="AA25">
        <v>10.397</v>
      </c>
      <c r="AB25">
        <v>10.849</v>
      </c>
      <c r="AC25">
        <v>11.211</v>
      </c>
      <c r="AD25">
        <v>11.545</v>
      </c>
      <c r="AE25">
        <v>11.972</v>
      </c>
      <c r="AF25">
        <v>12.423999999999999</v>
      </c>
      <c r="AG25">
        <v>12.722</v>
      </c>
      <c r="AH25">
        <v>13.194000000000001</v>
      </c>
      <c r="AI25">
        <v>13.558999999999999</v>
      </c>
      <c r="AJ25">
        <v>13.882</v>
      </c>
      <c r="AK25">
        <v>14.183</v>
      </c>
      <c r="AL25">
        <v>14.579000000000001</v>
      </c>
      <c r="AM25">
        <v>14.875999999999999</v>
      </c>
      <c r="AN25">
        <v>15.268000000000001</v>
      </c>
      <c r="AO25">
        <v>15.802</v>
      </c>
      <c r="AP25">
        <v>16.648</v>
      </c>
      <c r="AQ25">
        <v>17.356000000000002</v>
      </c>
      <c r="AR25">
        <v>18.155999999999999</v>
      </c>
      <c r="AS25">
        <v>18.954999999999998</v>
      </c>
      <c r="AT25">
        <v>19.440999999999999</v>
      </c>
      <c r="AU25">
        <v>20.131</v>
      </c>
      <c r="AV25">
        <v>21.527000000000001</v>
      </c>
      <c r="AW25">
        <v>23.114000000000001</v>
      </c>
      <c r="AX25">
        <v>24.259</v>
      </c>
      <c r="AY25">
        <v>25.419</v>
      </c>
      <c r="AZ25">
        <v>26.939</v>
      </c>
      <c r="BA25">
        <v>28.718</v>
      </c>
      <c r="BB25">
        <v>30.888999999999999</v>
      </c>
      <c r="BC25">
        <v>32.857999999999997</v>
      </c>
      <c r="BD25">
        <v>34.643000000000001</v>
      </c>
      <c r="BE25">
        <v>36.146999999999998</v>
      </c>
      <c r="BF25">
        <v>37.709000000000003</v>
      </c>
      <c r="BG25">
        <v>39.337000000000003</v>
      </c>
      <c r="BH25">
        <v>40.856999999999999</v>
      </c>
      <c r="BI25">
        <v>42.441000000000003</v>
      </c>
      <c r="BJ25">
        <v>44.069000000000003</v>
      </c>
      <c r="BK25">
        <v>46.26</v>
      </c>
      <c r="BL25">
        <v>48.786000000000001</v>
      </c>
      <c r="BM25">
        <v>51.322000000000003</v>
      </c>
      <c r="BN25">
        <v>52.914999999999999</v>
      </c>
      <c r="BO25">
        <v>54.61</v>
      </c>
      <c r="BP25">
        <v>55.776000000000003</v>
      </c>
      <c r="BQ25">
        <v>57.005000000000003</v>
      </c>
      <c r="BR25">
        <v>58.904000000000003</v>
      </c>
      <c r="BS25">
        <v>60.808999999999997</v>
      </c>
      <c r="BT25">
        <v>62.314</v>
      </c>
      <c r="BU25">
        <v>64.316000000000003</v>
      </c>
      <c r="BV25">
        <v>66.804000000000002</v>
      </c>
      <c r="BW25">
        <v>68.991</v>
      </c>
      <c r="BX25">
        <v>70.978999999999999</v>
      </c>
      <c r="BY25">
        <v>73.156999999999996</v>
      </c>
      <c r="BZ25">
        <v>75.084000000000003</v>
      </c>
      <c r="CA25">
        <v>77.197000000000003</v>
      </c>
      <c r="CB25">
        <v>79.804000000000002</v>
      </c>
      <c r="CC25">
        <v>82.03</v>
      </c>
      <c r="CD25">
        <v>84.567999999999998</v>
      </c>
      <c r="CE25">
        <v>85.527000000000001</v>
      </c>
      <c r="CF25">
        <v>86.417000000000002</v>
      </c>
      <c r="CG25">
        <v>87.891999999999996</v>
      </c>
      <c r="CH25">
        <v>90.317999999999998</v>
      </c>
      <c r="CI25">
        <v>91.855999999999995</v>
      </c>
      <c r="CJ25">
        <v>93.531000000000006</v>
      </c>
      <c r="CK25">
        <v>95.025999999999996</v>
      </c>
      <c r="CL25">
        <v>97.304000000000002</v>
      </c>
      <c r="CM25">
        <v>100</v>
      </c>
      <c r="CN25">
        <v>102.14400000000001</v>
      </c>
      <c r="CO25">
        <v>104.20399999999999</v>
      </c>
      <c r="CP25">
        <v>106.521</v>
      </c>
      <c r="CQ25">
        <v>109.768</v>
      </c>
      <c r="CR25">
        <v>115.658</v>
      </c>
      <c r="CS25">
        <v>121.569</v>
      </c>
      <c r="CT25">
        <v>126.005</v>
      </c>
      <c r="CU25">
        <v>130.71899999999999</v>
      </c>
    </row>
    <row r="26" spans="1:99">
      <c r="A26" t="s">
        <v>1048</v>
      </c>
      <c r="B26" t="s">
        <v>1182</v>
      </c>
      <c r="C26">
        <v>5.2370000000000001</v>
      </c>
      <c r="D26">
        <v>4.915</v>
      </c>
      <c r="E26">
        <v>4.24</v>
      </c>
      <c r="F26">
        <v>3.58</v>
      </c>
      <c r="G26">
        <v>3.4620000000000002</v>
      </c>
      <c r="H26">
        <v>3.726</v>
      </c>
      <c r="I26">
        <v>4.0060000000000002</v>
      </c>
      <c r="J26">
        <v>4.0129999999999999</v>
      </c>
      <c r="K26">
        <v>4.1550000000000002</v>
      </c>
      <c r="L26">
        <v>3.9609999999999999</v>
      </c>
      <c r="M26">
        <v>3.88</v>
      </c>
      <c r="N26">
        <v>3.9260000000000002</v>
      </c>
      <c r="O26">
        <v>4.28</v>
      </c>
      <c r="P26">
        <v>5.0019999999999998</v>
      </c>
      <c r="Q26">
        <v>5.6130000000000004</v>
      </c>
      <c r="R26">
        <v>5.8529999999999998</v>
      </c>
      <c r="S26">
        <v>6.0490000000000004</v>
      </c>
      <c r="T26">
        <v>6.7279999999999998</v>
      </c>
      <c r="U26">
        <v>7.51</v>
      </c>
      <c r="V26">
        <v>7.8520000000000003</v>
      </c>
      <c r="W26">
        <v>7.641</v>
      </c>
      <c r="X26">
        <v>7.7759999999999998</v>
      </c>
      <c r="Y26">
        <v>8.36</v>
      </c>
      <c r="Z26">
        <v>8.5470000000000006</v>
      </c>
      <c r="AA26">
        <v>8.4730000000000008</v>
      </c>
      <c r="AB26">
        <v>8.5679999999999996</v>
      </c>
      <c r="AC26">
        <v>8.5489999999999995</v>
      </c>
      <c r="AD26">
        <v>8.6460000000000008</v>
      </c>
      <c r="AE26">
        <v>8.9309999999999992</v>
      </c>
      <c r="AF26">
        <v>9.1579999999999995</v>
      </c>
      <c r="AG26">
        <v>9.4849999999999994</v>
      </c>
      <c r="AH26">
        <v>9.7409999999999997</v>
      </c>
      <c r="AI26">
        <v>9.9369999999999994</v>
      </c>
      <c r="AJ26">
        <v>10.183999999999999</v>
      </c>
      <c r="AK26">
        <v>10.404</v>
      </c>
      <c r="AL26">
        <v>10.566000000000001</v>
      </c>
      <c r="AM26">
        <v>10.773999999999999</v>
      </c>
      <c r="AN26">
        <v>11.19</v>
      </c>
      <c r="AO26">
        <v>11.811</v>
      </c>
      <c r="AP26">
        <v>12.427</v>
      </c>
      <c r="AQ26">
        <v>13.170999999999999</v>
      </c>
      <c r="AR26">
        <v>14.144</v>
      </c>
      <c r="AS26">
        <v>14.898999999999999</v>
      </c>
      <c r="AT26">
        <v>15.45</v>
      </c>
      <c r="AU26">
        <v>16.506</v>
      </c>
      <c r="AV26">
        <v>18.414999999999999</v>
      </c>
      <c r="AW26">
        <v>20.074000000000002</v>
      </c>
      <c r="AX26">
        <v>21.402999999999999</v>
      </c>
      <c r="AY26">
        <v>22.952000000000002</v>
      </c>
      <c r="AZ26">
        <v>24.959</v>
      </c>
      <c r="BA26">
        <v>27.652999999999999</v>
      </c>
      <c r="BB26">
        <v>30.332000000000001</v>
      </c>
      <c r="BC26">
        <v>33.040999999999997</v>
      </c>
      <c r="BD26">
        <v>34.930999999999997</v>
      </c>
      <c r="BE26">
        <v>36.439</v>
      </c>
      <c r="BF26">
        <v>38.082000000000001</v>
      </c>
      <c r="BG26">
        <v>39.72</v>
      </c>
      <c r="BH26">
        <v>41.347999999999999</v>
      </c>
      <c r="BI26">
        <v>43.018000000000001</v>
      </c>
      <c r="BJ26">
        <v>44.868000000000002</v>
      </c>
      <c r="BK26">
        <v>46.9</v>
      </c>
      <c r="BL26">
        <v>49.046999999999997</v>
      </c>
      <c r="BM26">
        <v>51.005000000000003</v>
      </c>
      <c r="BN26">
        <v>52.088000000000001</v>
      </c>
      <c r="BO26">
        <v>53.11</v>
      </c>
      <c r="BP26">
        <v>54.042000000000002</v>
      </c>
      <c r="BQ26">
        <v>55.317</v>
      </c>
      <c r="BR26">
        <v>56.808</v>
      </c>
      <c r="BS26">
        <v>58.493000000000002</v>
      </c>
      <c r="BT26">
        <v>60.061</v>
      </c>
      <c r="BU26">
        <v>61.613999999999997</v>
      </c>
      <c r="BV26">
        <v>63.338000000000001</v>
      </c>
      <c r="BW26">
        <v>65.146000000000001</v>
      </c>
      <c r="BX26">
        <v>66.721000000000004</v>
      </c>
      <c r="BY26">
        <v>68.135999999999996</v>
      </c>
      <c r="BZ26">
        <v>70.402000000000001</v>
      </c>
      <c r="CA26">
        <v>72.665000000000006</v>
      </c>
      <c r="CB26">
        <v>75.120999999999995</v>
      </c>
      <c r="CC26">
        <v>78.037999999999997</v>
      </c>
      <c r="CD26">
        <v>81.076999999999998</v>
      </c>
      <c r="CE26">
        <v>82.888999999999996</v>
      </c>
      <c r="CF26">
        <v>84.034000000000006</v>
      </c>
      <c r="CG26">
        <v>86.177000000000007</v>
      </c>
      <c r="CH26">
        <v>88.631</v>
      </c>
      <c r="CI26">
        <v>90.495000000000005</v>
      </c>
      <c r="CJ26">
        <v>92.891000000000005</v>
      </c>
      <c r="CK26">
        <v>95.466999999999999</v>
      </c>
      <c r="CL26">
        <v>97.948999999999998</v>
      </c>
      <c r="CM26">
        <v>100</v>
      </c>
      <c r="CN26">
        <v>102.315</v>
      </c>
      <c r="CO26">
        <v>105.18</v>
      </c>
      <c r="CP26">
        <v>107.265</v>
      </c>
      <c r="CQ26">
        <v>113.139</v>
      </c>
      <c r="CR26">
        <v>121.91500000000001</v>
      </c>
      <c r="CS26">
        <v>129.53200000000001</v>
      </c>
      <c r="CT26">
        <v>133.91399999999999</v>
      </c>
      <c r="CU26">
        <v>137.999</v>
      </c>
    </row>
    <row r="27" spans="1:99">
      <c r="A27" t="s">
        <v>1049</v>
      </c>
      <c r="B27" t="s">
        <v>1183</v>
      </c>
      <c r="C27">
        <v>5.0049999999999999</v>
      </c>
      <c r="D27">
        <v>4.8899999999999997</v>
      </c>
      <c r="E27">
        <v>4.4459999999999997</v>
      </c>
      <c r="F27">
        <v>3.9569999999999999</v>
      </c>
      <c r="G27">
        <v>3.7749999999999999</v>
      </c>
      <c r="H27">
        <v>3.9089999999999998</v>
      </c>
      <c r="I27">
        <v>4.077</v>
      </c>
      <c r="J27">
        <v>4.2610000000000001</v>
      </c>
      <c r="K27">
        <v>4.4480000000000004</v>
      </c>
      <c r="L27">
        <v>4.3419999999999996</v>
      </c>
      <c r="M27">
        <v>4.3099999999999996</v>
      </c>
      <c r="N27">
        <v>4.4320000000000004</v>
      </c>
      <c r="O27">
        <v>4.5490000000000004</v>
      </c>
      <c r="P27">
        <v>4.859</v>
      </c>
      <c r="Q27">
        <v>5.08</v>
      </c>
      <c r="R27">
        <v>5.2910000000000004</v>
      </c>
      <c r="S27">
        <v>5.4909999999999997</v>
      </c>
      <c r="T27">
        <v>6.0659999999999998</v>
      </c>
      <c r="U27">
        <v>6.3170000000000002</v>
      </c>
      <c r="V27">
        <v>6.649</v>
      </c>
      <c r="W27">
        <v>6.7629999999999999</v>
      </c>
      <c r="X27">
        <v>6.883</v>
      </c>
      <c r="Y27">
        <v>6.9610000000000003</v>
      </c>
      <c r="Z27">
        <v>7.3879999999999999</v>
      </c>
      <c r="AA27">
        <v>8.2040000000000006</v>
      </c>
      <c r="AB27">
        <v>8.4969999999999999</v>
      </c>
      <c r="AC27">
        <v>8.7230000000000008</v>
      </c>
      <c r="AD27">
        <v>8.9730000000000008</v>
      </c>
      <c r="AE27">
        <v>9.2810000000000006</v>
      </c>
      <c r="AF27">
        <v>9.4480000000000004</v>
      </c>
      <c r="AG27">
        <v>9.9779999999999998</v>
      </c>
      <c r="AH27">
        <v>10.417999999999999</v>
      </c>
      <c r="AI27">
        <v>10.743</v>
      </c>
      <c r="AJ27">
        <v>11.18</v>
      </c>
      <c r="AK27">
        <v>11.269</v>
      </c>
      <c r="AL27">
        <v>11.701000000000001</v>
      </c>
      <c r="AM27">
        <v>11.987</v>
      </c>
      <c r="AN27">
        <v>12.692</v>
      </c>
      <c r="AO27">
        <v>12.965999999999999</v>
      </c>
      <c r="AP27">
        <v>13.991</v>
      </c>
      <c r="AQ27">
        <v>15.177</v>
      </c>
      <c r="AR27">
        <v>15.933999999999999</v>
      </c>
      <c r="AS27">
        <v>16.885999999999999</v>
      </c>
      <c r="AT27">
        <v>17.905000000000001</v>
      </c>
      <c r="AU27">
        <v>18.282</v>
      </c>
      <c r="AV27">
        <v>19.728000000000002</v>
      </c>
      <c r="AW27">
        <v>21.117000000000001</v>
      </c>
      <c r="AX27">
        <v>21.952999999999999</v>
      </c>
      <c r="AY27">
        <v>23.706</v>
      </c>
      <c r="AZ27">
        <v>26.683</v>
      </c>
      <c r="BA27">
        <v>28.178000000000001</v>
      </c>
      <c r="BB27">
        <v>30.481000000000002</v>
      </c>
      <c r="BC27">
        <v>32.896999999999998</v>
      </c>
      <c r="BD27">
        <v>35.012999999999998</v>
      </c>
      <c r="BE27">
        <v>38.124000000000002</v>
      </c>
      <c r="BF27">
        <v>40.531999999999996</v>
      </c>
      <c r="BG27">
        <v>43.686999999999998</v>
      </c>
      <c r="BH27">
        <v>44.405000000000001</v>
      </c>
      <c r="BI27">
        <v>42.369</v>
      </c>
      <c r="BJ27">
        <v>44.512999999999998</v>
      </c>
      <c r="BK27">
        <v>46.203000000000003</v>
      </c>
      <c r="BL27">
        <v>47.203000000000003</v>
      </c>
      <c r="BM27">
        <v>47.271000000000001</v>
      </c>
      <c r="BN27">
        <v>49.033999999999999</v>
      </c>
      <c r="BO27">
        <v>51.670999999999999</v>
      </c>
      <c r="BP27">
        <v>52.716000000000001</v>
      </c>
      <c r="BQ27">
        <v>54.076000000000001</v>
      </c>
      <c r="BR27">
        <v>56.104999999999997</v>
      </c>
      <c r="BS27">
        <v>58.49</v>
      </c>
      <c r="BT27">
        <v>58.689</v>
      </c>
      <c r="BU27">
        <v>58.146000000000001</v>
      </c>
      <c r="BV27">
        <v>58.841999999999999</v>
      </c>
      <c r="BW27">
        <v>59.204999999999998</v>
      </c>
      <c r="BX27">
        <v>60.621000000000002</v>
      </c>
      <c r="BY27">
        <v>64.481999999999999</v>
      </c>
      <c r="BZ27">
        <v>67.215999999999994</v>
      </c>
      <c r="CA27">
        <v>69.745999999999995</v>
      </c>
      <c r="CB27">
        <v>72.712999999999994</v>
      </c>
      <c r="CC27">
        <v>75.248999999999995</v>
      </c>
      <c r="CD27">
        <v>74.882999999999996</v>
      </c>
      <c r="CE27">
        <v>70.087000000000003</v>
      </c>
      <c r="CF27">
        <v>74.816999999999993</v>
      </c>
      <c r="CG27">
        <v>77.009</v>
      </c>
      <c r="CH27">
        <v>79.884</v>
      </c>
      <c r="CI27">
        <v>83.96</v>
      </c>
      <c r="CJ27">
        <v>88.326999999999998</v>
      </c>
      <c r="CK27">
        <v>90.984999999999999</v>
      </c>
      <c r="CL27">
        <v>95.188000000000002</v>
      </c>
      <c r="CM27">
        <v>100</v>
      </c>
      <c r="CN27">
        <v>105.358</v>
      </c>
      <c r="CO27">
        <v>107.974</v>
      </c>
      <c r="CP27">
        <v>109.31</v>
      </c>
      <c r="CQ27">
        <v>115.749</v>
      </c>
      <c r="CR27">
        <v>121.749</v>
      </c>
      <c r="CS27">
        <v>126.96899999999999</v>
      </c>
      <c r="CT27">
        <v>135.625</v>
      </c>
      <c r="CU27">
        <v>143.51400000000001</v>
      </c>
    </row>
    <row r="28" spans="1:99">
      <c r="A28" t="s">
        <v>1050</v>
      </c>
      <c r="B28" t="s">
        <v>1184</v>
      </c>
      <c r="C28">
        <v>5.1120000000000001</v>
      </c>
      <c r="D28">
        <v>4.931</v>
      </c>
      <c r="E28">
        <v>4.5720000000000001</v>
      </c>
      <c r="F28">
        <v>4.2050000000000001</v>
      </c>
      <c r="G28">
        <v>4.0149999999999997</v>
      </c>
      <c r="H28">
        <v>4.0750000000000002</v>
      </c>
      <c r="I28">
        <v>4.1210000000000004</v>
      </c>
      <c r="J28">
        <v>4.1859999999999999</v>
      </c>
      <c r="K28">
        <v>4.3959999999999999</v>
      </c>
      <c r="L28">
        <v>4.3659999999999997</v>
      </c>
      <c r="M28">
        <v>4.4160000000000004</v>
      </c>
      <c r="N28">
        <v>4.452</v>
      </c>
      <c r="O28">
        <v>4.657</v>
      </c>
      <c r="P28">
        <v>5.0720000000000001</v>
      </c>
      <c r="Q28">
        <v>5.6619999999999999</v>
      </c>
      <c r="R28">
        <v>6.2539999999999996</v>
      </c>
      <c r="S28">
        <v>6.6479999999999997</v>
      </c>
      <c r="T28">
        <v>6.9560000000000004</v>
      </c>
      <c r="U28">
        <v>7.4329999999999998</v>
      </c>
      <c r="V28">
        <v>7.8049999999999997</v>
      </c>
      <c r="W28">
        <v>7.9779999999999998</v>
      </c>
      <c r="X28">
        <v>8.1709999999999994</v>
      </c>
      <c r="Y28">
        <v>8.59</v>
      </c>
      <c r="Z28">
        <v>8.9049999999999994</v>
      </c>
      <c r="AA28">
        <v>9.2349999999999994</v>
      </c>
      <c r="AB28">
        <v>9.3889999999999993</v>
      </c>
      <c r="AC28">
        <v>9.5359999999999996</v>
      </c>
      <c r="AD28">
        <v>9.8659999999999997</v>
      </c>
      <c r="AE28">
        <v>10.198</v>
      </c>
      <c r="AF28">
        <v>10.468999999999999</v>
      </c>
      <c r="AG28">
        <v>10.77</v>
      </c>
      <c r="AH28">
        <v>11.07</v>
      </c>
      <c r="AI28">
        <v>11.196999999999999</v>
      </c>
      <c r="AJ28">
        <v>11.379</v>
      </c>
      <c r="AK28">
        <v>11.625999999999999</v>
      </c>
      <c r="AL28">
        <v>11.885</v>
      </c>
      <c r="AM28">
        <v>12.19</v>
      </c>
      <c r="AN28">
        <v>12.542</v>
      </c>
      <c r="AO28">
        <v>12.943</v>
      </c>
      <c r="AP28">
        <v>13.516</v>
      </c>
      <c r="AQ28">
        <v>14.17</v>
      </c>
      <c r="AR28">
        <v>14.853</v>
      </c>
      <c r="AS28">
        <v>15.728999999999999</v>
      </c>
      <c r="AT28">
        <v>16.535</v>
      </c>
      <c r="AU28">
        <v>17.507000000000001</v>
      </c>
      <c r="AV28">
        <v>19.399999999999999</v>
      </c>
      <c r="AW28">
        <v>20.791</v>
      </c>
      <c r="AX28">
        <v>22.09</v>
      </c>
      <c r="AY28">
        <v>23.225000000000001</v>
      </c>
      <c r="AZ28">
        <v>24.443999999999999</v>
      </c>
      <c r="BA28">
        <v>26.218</v>
      </c>
      <c r="BB28">
        <v>28.599</v>
      </c>
      <c r="BC28">
        <v>31.535</v>
      </c>
      <c r="BD28">
        <v>33.988999999999997</v>
      </c>
      <c r="BE28">
        <v>35.908000000000001</v>
      </c>
      <c r="BF28">
        <v>37.734999999999999</v>
      </c>
      <c r="BG28">
        <v>39.109000000000002</v>
      </c>
      <c r="BH28">
        <v>41.161000000000001</v>
      </c>
      <c r="BI28">
        <v>42.161000000000001</v>
      </c>
      <c r="BJ28">
        <v>43.929000000000002</v>
      </c>
      <c r="BK28">
        <v>45.582000000000001</v>
      </c>
      <c r="BL28">
        <v>47.423999999999999</v>
      </c>
      <c r="BM28">
        <v>49.704000000000001</v>
      </c>
      <c r="BN28">
        <v>51.819000000000003</v>
      </c>
      <c r="BO28">
        <v>53.616999999999997</v>
      </c>
      <c r="BP28">
        <v>55.625</v>
      </c>
      <c r="BQ28">
        <v>57.454000000000001</v>
      </c>
      <c r="BR28">
        <v>59.122</v>
      </c>
      <c r="BS28">
        <v>60.765000000000001</v>
      </c>
      <c r="BT28">
        <v>62.051000000000002</v>
      </c>
      <c r="BU28">
        <v>63.55</v>
      </c>
      <c r="BV28">
        <v>64.685000000000002</v>
      </c>
      <c r="BW28">
        <v>66.808000000000007</v>
      </c>
      <c r="BX28">
        <v>69.483999999999995</v>
      </c>
      <c r="BY28">
        <v>72.274000000000001</v>
      </c>
      <c r="BZ28">
        <v>74.804000000000002</v>
      </c>
      <c r="CA28">
        <v>77.435000000000002</v>
      </c>
      <c r="CB28">
        <v>80.192999999999998</v>
      </c>
      <c r="CC28">
        <v>82.834000000000003</v>
      </c>
      <c r="CD28">
        <v>86.405000000000001</v>
      </c>
      <c r="CE28">
        <v>88.486999999999995</v>
      </c>
      <c r="CF28">
        <v>90.704999999999998</v>
      </c>
      <c r="CG28">
        <v>92.441999999999993</v>
      </c>
      <c r="CH28">
        <v>94.534000000000006</v>
      </c>
      <c r="CI28">
        <v>96.677999999999997</v>
      </c>
      <c r="CJ28">
        <v>97.875</v>
      </c>
      <c r="CK28">
        <v>98.576999999999998</v>
      </c>
      <c r="CL28">
        <v>99.619</v>
      </c>
      <c r="CM28">
        <v>100</v>
      </c>
      <c r="CN28">
        <v>101.705</v>
      </c>
      <c r="CO28">
        <v>102.877</v>
      </c>
      <c r="CP28">
        <v>104.79300000000001</v>
      </c>
      <c r="CQ28">
        <v>106.866</v>
      </c>
      <c r="CR28">
        <v>110.583</v>
      </c>
      <c r="CS28">
        <v>115.04300000000001</v>
      </c>
      <c r="CT28">
        <v>118.26900000000001</v>
      </c>
      <c r="CU28">
        <v>121.18899999999999</v>
      </c>
    </row>
    <row r="29" spans="1:99">
      <c r="A29" t="s">
        <v>1051</v>
      </c>
      <c r="B29" t="s">
        <v>1185</v>
      </c>
      <c r="C29">
        <v>22.026</v>
      </c>
      <c r="D29">
        <v>21.184999999999999</v>
      </c>
      <c r="E29">
        <v>19.369</v>
      </c>
      <c r="F29">
        <v>17.998999999999999</v>
      </c>
      <c r="G29">
        <v>17.321999999999999</v>
      </c>
      <c r="H29">
        <v>18.277000000000001</v>
      </c>
      <c r="I29">
        <v>18.413</v>
      </c>
      <c r="J29">
        <v>18.911999999999999</v>
      </c>
      <c r="K29">
        <v>19.901</v>
      </c>
      <c r="L29">
        <v>19.375</v>
      </c>
      <c r="M29">
        <v>19.407</v>
      </c>
      <c r="N29">
        <v>19.382000000000001</v>
      </c>
      <c r="O29">
        <v>20.318999999999999</v>
      </c>
      <c r="P29">
        <v>22.047999999999998</v>
      </c>
      <c r="Q29">
        <v>23.652000000000001</v>
      </c>
      <c r="R29">
        <v>24.731000000000002</v>
      </c>
      <c r="S29">
        <v>25.585999999999999</v>
      </c>
      <c r="T29">
        <v>28.224</v>
      </c>
      <c r="U29">
        <v>32.831000000000003</v>
      </c>
      <c r="V29">
        <v>35.366999999999997</v>
      </c>
      <c r="W29">
        <v>35.67</v>
      </c>
      <c r="X29">
        <v>37.091000000000001</v>
      </c>
      <c r="Y29">
        <v>40.198</v>
      </c>
      <c r="Z29">
        <v>40.283999999999999</v>
      </c>
      <c r="AA29">
        <v>41.009</v>
      </c>
      <c r="AB29">
        <v>42.045000000000002</v>
      </c>
      <c r="AC29">
        <v>43.128999999999998</v>
      </c>
      <c r="AD29">
        <v>45.128</v>
      </c>
      <c r="AE29">
        <v>47.165999999999997</v>
      </c>
      <c r="AF29">
        <v>48.393000000000001</v>
      </c>
      <c r="AG29">
        <v>49.274999999999999</v>
      </c>
      <c r="AH29">
        <v>45.963999999999999</v>
      </c>
      <c r="AI29">
        <v>46.441000000000003</v>
      </c>
      <c r="AJ29">
        <v>47.098999999999997</v>
      </c>
      <c r="AK29">
        <v>47.853000000000002</v>
      </c>
      <c r="AL29">
        <v>48.039000000000001</v>
      </c>
      <c r="AM29">
        <v>49.383000000000003</v>
      </c>
      <c r="AN29">
        <v>51.198</v>
      </c>
      <c r="AO29">
        <v>52.85</v>
      </c>
      <c r="AP29">
        <v>54.856999999999999</v>
      </c>
      <c r="AQ29">
        <v>58.335999999999999</v>
      </c>
      <c r="AR29">
        <v>60.88</v>
      </c>
      <c r="AS29">
        <v>64.283000000000001</v>
      </c>
      <c r="AT29">
        <v>66.938999999999993</v>
      </c>
      <c r="AU29">
        <v>71.254000000000005</v>
      </c>
      <c r="AV29">
        <v>81.567999999999998</v>
      </c>
      <c r="AW29">
        <v>89.06</v>
      </c>
      <c r="AX29">
        <v>93.679000000000002</v>
      </c>
      <c r="AY29">
        <v>100.09399999999999</v>
      </c>
      <c r="AZ29">
        <v>106.66200000000001</v>
      </c>
      <c r="BA29">
        <v>117.09699999999999</v>
      </c>
      <c r="BB29">
        <v>127.988</v>
      </c>
      <c r="BC29">
        <v>134.33600000000001</v>
      </c>
      <c r="BD29">
        <v>127.33199999999999</v>
      </c>
      <c r="BE29">
        <v>117.771</v>
      </c>
      <c r="BF29">
        <v>112.65300000000001</v>
      </c>
      <c r="BG29">
        <v>110.17100000000001</v>
      </c>
      <c r="BH29">
        <v>106.55200000000001</v>
      </c>
      <c r="BI29">
        <v>104.501</v>
      </c>
      <c r="BJ29">
        <v>103.29300000000001</v>
      </c>
      <c r="BK29">
        <v>96.543000000000006</v>
      </c>
      <c r="BL29">
        <v>88.435000000000002</v>
      </c>
      <c r="BM29">
        <v>81.778999999999996</v>
      </c>
      <c r="BN29">
        <v>74.313000000000002</v>
      </c>
      <c r="BO29">
        <v>70.343999999999994</v>
      </c>
      <c r="BP29">
        <v>70.204999999999998</v>
      </c>
      <c r="BQ29">
        <v>70.135999999999996</v>
      </c>
      <c r="BR29">
        <v>71.352000000000004</v>
      </c>
      <c r="BS29">
        <v>74.376999999999995</v>
      </c>
      <c r="BT29">
        <v>79.424000000000007</v>
      </c>
      <c r="BU29">
        <v>82.277000000000001</v>
      </c>
      <c r="BV29">
        <v>86.813000000000002</v>
      </c>
      <c r="BW29">
        <v>90.87</v>
      </c>
      <c r="BX29">
        <v>91.263999999999996</v>
      </c>
      <c r="BY29">
        <v>88.046999999999997</v>
      </c>
      <c r="BZ29">
        <v>87.058000000000007</v>
      </c>
      <c r="CA29">
        <v>88.948999999999998</v>
      </c>
      <c r="CB29">
        <v>90.108999999999995</v>
      </c>
      <c r="CC29">
        <v>91.129000000000005</v>
      </c>
      <c r="CD29">
        <v>91.760999999999996</v>
      </c>
      <c r="CE29">
        <v>89.09</v>
      </c>
      <c r="CF29">
        <v>87.861000000000004</v>
      </c>
      <c r="CG29">
        <v>88.838999999999999</v>
      </c>
      <c r="CH29">
        <v>89.174000000000007</v>
      </c>
      <c r="CI29">
        <v>89.977999999999994</v>
      </c>
      <c r="CJ29">
        <v>91.682000000000002</v>
      </c>
      <c r="CK29">
        <v>94.805000000000007</v>
      </c>
      <c r="CL29">
        <v>97.581999999999994</v>
      </c>
      <c r="CM29">
        <v>100</v>
      </c>
      <c r="CN29">
        <v>101.337</v>
      </c>
      <c r="CO29">
        <v>104.03700000000001</v>
      </c>
      <c r="CP29">
        <v>104.815</v>
      </c>
      <c r="CQ29">
        <v>113.155</v>
      </c>
      <c r="CR29">
        <v>125.851</v>
      </c>
      <c r="CS29">
        <v>136.90899999999999</v>
      </c>
      <c r="CT29">
        <v>144.80600000000001</v>
      </c>
      <c r="CU29">
        <v>148.74600000000001</v>
      </c>
    </row>
    <row r="30" spans="1:99">
      <c r="A30" t="s">
        <v>1052</v>
      </c>
      <c r="B30" t="s">
        <v>1186</v>
      </c>
      <c r="C30" t="s">
        <v>1014</v>
      </c>
      <c r="D30" t="s">
        <v>1014</v>
      </c>
      <c r="E30" t="s">
        <v>1014</v>
      </c>
      <c r="F30" t="s">
        <v>1014</v>
      </c>
      <c r="G30" t="s">
        <v>1014</v>
      </c>
      <c r="H30" t="s">
        <v>1014</v>
      </c>
      <c r="I30" t="s">
        <v>1014</v>
      </c>
      <c r="J30" t="s">
        <v>1014</v>
      </c>
      <c r="K30" t="s">
        <v>1014</v>
      </c>
      <c r="L30" t="s">
        <v>1014</v>
      </c>
      <c r="M30" t="s">
        <v>1014</v>
      </c>
      <c r="N30" t="s">
        <v>1014</v>
      </c>
      <c r="O30" t="s">
        <v>1014</v>
      </c>
      <c r="P30" t="s">
        <v>1014</v>
      </c>
      <c r="Q30" t="s">
        <v>1014</v>
      </c>
      <c r="R30" t="s">
        <v>1014</v>
      </c>
      <c r="S30" t="s">
        <v>1014</v>
      </c>
      <c r="T30" t="s">
        <v>1014</v>
      </c>
      <c r="U30" t="s">
        <v>1014</v>
      </c>
      <c r="V30" t="s">
        <v>1014</v>
      </c>
      <c r="W30" t="s">
        <v>1014</v>
      </c>
      <c r="X30" t="s">
        <v>1014</v>
      </c>
      <c r="Y30" t="s">
        <v>1014</v>
      </c>
      <c r="Z30" t="s">
        <v>1014</v>
      </c>
      <c r="AA30" t="s">
        <v>1014</v>
      </c>
      <c r="AB30" t="s">
        <v>1014</v>
      </c>
      <c r="AC30" t="s">
        <v>1014</v>
      </c>
      <c r="AD30" t="s">
        <v>1014</v>
      </c>
      <c r="AE30" t="s">
        <v>1014</v>
      </c>
      <c r="AF30" t="s">
        <v>1014</v>
      </c>
      <c r="AG30">
        <v>8.4849999999999994</v>
      </c>
      <c r="AH30">
        <v>8.6989999999999998</v>
      </c>
      <c r="AI30">
        <v>8.8629999999999995</v>
      </c>
      <c r="AJ30">
        <v>9.0310000000000006</v>
      </c>
      <c r="AK30">
        <v>9.2490000000000006</v>
      </c>
      <c r="AL30">
        <v>9.4730000000000008</v>
      </c>
      <c r="AM30">
        <v>9.7490000000000006</v>
      </c>
      <c r="AN30">
        <v>10.087999999999999</v>
      </c>
      <c r="AO30">
        <v>10.551</v>
      </c>
      <c r="AP30">
        <v>11.108000000000001</v>
      </c>
      <c r="AQ30">
        <v>11.836</v>
      </c>
      <c r="AR30">
        <v>12.614000000000001</v>
      </c>
      <c r="AS30">
        <v>13.221</v>
      </c>
      <c r="AT30">
        <v>13.848000000000001</v>
      </c>
      <c r="AU30">
        <v>14.734999999999999</v>
      </c>
      <c r="AV30">
        <v>16.501999999999999</v>
      </c>
      <c r="AW30">
        <v>18.161000000000001</v>
      </c>
      <c r="AX30">
        <v>19.573</v>
      </c>
      <c r="AY30">
        <v>21.036000000000001</v>
      </c>
      <c r="AZ30">
        <v>22.635999999999999</v>
      </c>
      <c r="BA30">
        <v>24.905999999999999</v>
      </c>
      <c r="BB30">
        <v>27.88</v>
      </c>
      <c r="BC30">
        <v>30.923999999999999</v>
      </c>
      <c r="BD30">
        <v>33.340000000000003</v>
      </c>
      <c r="BE30">
        <v>35.143000000000001</v>
      </c>
      <c r="BF30">
        <v>36.844000000000001</v>
      </c>
      <c r="BG30">
        <v>38.326999999999998</v>
      </c>
      <c r="BH30">
        <v>39.667999999999999</v>
      </c>
      <c r="BI30">
        <v>41.408000000000001</v>
      </c>
      <c r="BJ30">
        <v>43.848999999999997</v>
      </c>
      <c r="BK30">
        <v>46.265000000000001</v>
      </c>
      <c r="BL30">
        <v>48.459000000000003</v>
      </c>
      <c r="BM30">
        <v>50.71</v>
      </c>
      <c r="BN30">
        <v>52.552</v>
      </c>
      <c r="BO30">
        <v>54.173000000000002</v>
      </c>
      <c r="BP30">
        <v>55.734999999999999</v>
      </c>
      <c r="BQ30">
        <v>57.308999999999997</v>
      </c>
      <c r="BR30">
        <v>58.88</v>
      </c>
      <c r="BS30">
        <v>60.384999999999998</v>
      </c>
      <c r="BT30">
        <v>62.192</v>
      </c>
      <c r="BU30">
        <v>63.892000000000003</v>
      </c>
      <c r="BV30">
        <v>66.396000000000001</v>
      </c>
      <c r="BW30">
        <v>68.953000000000003</v>
      </c>
      <c r="BX30">
        <v>70.924000000000007</v>
      </c>
      <c r="BY30">
        <v>72.837000000000003</v>
      </c>
      <c r="BZ30">
        <v>75.126000000000005</v>
      </c>
      <c r="CA30">
        <v>77.742000000000004</v>
      </c>
      <c r="CB30">
        <v>80.424999999999997</v>
      </c>
      <c r="CC30">
        <v>82.858000000000004</v>
      </c>
      <c r="CD30">
        <v>84.986999999999995</v>
      </c>
      <c r="CE30">
        <v>86.147000000000006</v>
      </c>
      <c r="CF30">
        <v>87.606999999999999</v>
      </c>
      <c r="CG30">
        <v>89.363</v>
      </c>
      <c r="CH30">
        <v>91.049000000000007</v>
      </c>
      <c r="CI30">
        <v>92.69</v>
      </c>
      <c r="CJ30">
        <v>94.266999999999996</v>
      </c>
      <c r="CK30">
        <v>96.040999999999997</v>
      </c>
      <c r="CL30">
        <v>97.933000000000007</v>
      </c>
      <c r="CM30">
        <v>100</v>
      </c>
      <c r="CN30">
        <v>102.15</v>
      </c>
      <c r="CO30">
        <v>104.529</v>
      </c>
      <c r="CP30">
        <v>107.024</v>
      </c>
      <c r="CQ30">
        <v>111.514</v>
      </c>
      <c r="CR30">
        <v>117.35</v>
      </c>
      <c r="CS30">
        <v>122.768</v>
      </c>
      <c r="CT30">
        <v>127.651</v>
      </c>
      <c r="CU30">
        <v>131.59299999999999</v>
      </c>
    </row>
    <row r="31" spans="1:99">
      <c r="A31" t="s">
        <v>1053</v>
      </c>
      <c r="B31" t="s">
        <v>1187</v>
      </c>
      <c r="C31" t="s">
        <v>1014</v>
      </c>
      <c r="D31" t="s">
        <v>1014</v>
      </c>
      <c r="E31" t="s">
        <v>1014</v>
      </c>
      <c r="F31" t="s">
        <v>1014</v>
      </c>
      <c r="G31" t="s">
        <v>1014</v>
      </c>
      <c r="H31" t="s">
        <v>1014</v>
      </c>
      <c r="I31" t="s">
        <v>1014</v>
      </c>
      <c r="J31" t="s">
        <v>1014</v>
      </c>
      <c r="K31" t="s">
        <v>1014</v>
      </c>
      <c r="L31" t="s">
        <v>1014</v>
      </c>
      <c r="M31" t="s">
        <v>1014</v>
      </c>
      <c r="N31" t="s">
        <v>1014</v>
      </c>
      <c r="O31" t="s">
        <v>1014</v>
      </c>
      <c r="P31" t="s">
        <v>1014</v>
      </c>
      <c r="Q31" t="s">
        <v>1014</v>
      </c>
      <c r="R31" t="s">
        <v>1014</v>
      </c>
      <c r="S31" t="s">
        <v>1014</v>
      </c>
      <c r="T31" t="s">
        <v>1014</v>
      </c>
      <c r="U31" t="s">
        <v>1014</v>
      </c>
      <c r="V31" t="s">
        <v>1014</v>
      </c>
      <c r="W31" t="s">
        <v>1014</v>
      </c>
      <c r="X31" t="s">
        <v>1014</v>
      </c>
      <c r="Y31" t="s">
        <v>1014</v>
      </c>
      <c r="Z31" t="s">
        <v>1014</v>
      </c>
      <c r="AA31" t="s">
        <v>1014</v>
      </c>
      <c r="AB31" t="s">
        <v>1014</v>
      </c>
      <c r="AC31" t="s">
        <v>1014</v>
      </c>
      <c r="AD31" t="s">
        <v>1014</v>
      </c>
      <c r="AE31" t="s">
        <v>1014</v>
      </c>
      <c r="AF31" t="s">
        <v>1014</v>
      </c>
      <c r="AG31">
        <v>4.8129999999999997</v>
      </c>
      <c r="AH31">
        <v>5.1840000000000002</v>
      </c>
      <c r="AI31">
        <v>5.3040000000000003</v>
      </c>
      <c r="AJ31">
        <v>5.4169999999999998</v>
      </c>
      <c r="AK31">
        <v>5.5679999999999996</v>
      </c>
      <c r="AL31">
        <v>5.7560000000000002</v>
      </c>
      <c r="AM31">
        <v>5.9269999999999996</v>
      </c>
      <c r="AN31">
        <v>6.1269999999999998</v>
      </c>
      <c r="AO31">
        <v>6.4459999999999997</v>
      </c>
      <c r="AP31">
        <v>6.8259999999999996</v>
      </c>
      <c r="AQ31">
        <v>7.2789999999999999</v>
      </c>
      <c r="AR31">
        <v>7.82</v>
      </c>
      <c r="AS31">
        <v>8.1739999999999995</v>
      </c>
      <c r="AT31">
        <v>8.58</v>
      </c>
      <c r="AU31">
        <v>9.1280000000000001</v>
      </c>
      <c r="AV31">
        <v>10.143000000000001</v>
      </c>
      <c r="AW31">
        <v>11.193</v>
      </c>
      <c r="AX31">
        <v>12.162000000000001</v>
      </c>
      <c r="AY31">
        <v>13.096</v>
      </c>
      <c r="AZ31">
        <v>14.135999999999999</v>
      </c>
      <c r="BA31">
        <v>15.564</v>
      </c>
      <c r="BB31">
        <v>17.553000000000001</v>
      </c>
      <c r="BC31">
        <v>19.805</v>
      </c>
      <c r="BD31">
        <v>22.196999999999999</v>
      </c>
      <c r="BE31">
        <v>24.318999999999999</v>
      </c>
      <c r="BF31">
        <v>26.2</v>
      </c>
      <c r="BG31">
        <v>27.765000000000001</v>
      </c>
      <c r="BH31">
        <v>29.321999999999999</v>
      </c>
      <c r="BI31">
        <v>31.178999999999998</v>
      </c>
      <c r="BJ31">
        <v>33.691000000000003</v>
      </c>
      <c r="BK31">
        <v>36.832999999999998</v>
      </c>
      <c r="BL31">
        <v>40.106000000000002</v>
      </c>
      <c r="BM31">
        <v>43.484000000000002</v>
      </c>
      <c r="BN31">
        <v>46.76</v>
      </c>
      <c r="BO31">
        <v>49.362000000000002</v>
      </c>
      <c r="BP31">
        <v>51.218000000000004</v>
      </c>
      <c r="BQ31">
        <v>53.1</v>
      </c>
      <c r="BR31">
        <v>54.713000000000001</v>
      </c>
      <c r="BS31">
        <v>55.856999999999999</v>
      </c>
      <c r="BT31">
        <v>56.948</v>
      </c>
      <c r="BU31">
        <v>58.356000000000002</v>
      </c>
      <c r="BV31">
        <v>60.341999999999999</v>
      </c>
      <c r="BW31">
        <v>62.491999999999997</v>
      </c>
      <c r="BX31">
        <v>64.837999999999994</v>
      </c>
      <c r="BY31">
        <v>68.119</v>
      </c>
      <c r="BZ31">
        <v>71.302999999999997</v>
      </c>
      <c r="CA31">
        <v>74.094999999999999</v>
      </c>
      <c r="CB31">
        <v>77.186000000000007</v>
      </c>
      <c r="CC31">
        <v>80.028000000000006</v>
      </c>
      <c r="CD31">
        <v>82.626000000000005</v>
      </c>
      <c r="CE31">
        <v>85.099000000000004</v>
      </c>
      <c r="CF31">
        <v>87.495000000000005</v>
      </c>
      <c r="CG31">
        <v>89.528999999999996</v>
      </c>
      <c r="CH31">
        <v>91.725999999999999</v>
      </c>
      <c r="CI31">
        <v>93.692999999999998</v>
      </c>
      <c r="CJ31">
        <v>95.221000000000004</v>
      </c>
      <c r="CK31">
        <v>96.492000000000004</v>
      </c>
      <c r="CL31">
        <v>98.06</v>
      </c>
      <c r="CM31">
        <v>100</v>
      </c>
      <c r="CN31">
        <v>102.446</v>
      </c>
      <c r="CO31">
        <v>104.71</v>
      </c>
      <c r="CP31">
        <v>107.85599999999999</v>
      </c>
      <c r="CQ31">
        <v>110.925</v>
      </c>
      <c r="CR31">
        <v>114.416</v>
      </c>
      <c r="CS31">
        <v>117.931</v>
      </c>
      <c r="CT31">
        <v>121.82899999999999</v>
      </c>
      <c r="CU31">
        <v>125.733</v>
      </c>
    </row>
    <row r="32" spans="1:99">
      <c r="A32" t="s">
        <v>97</v>
      </c>
      <c r="B32" s="12" t="s">
        <v>1061</v>
      </c>
      <c r="C32" s="12" t="s">
        <v>97</v>
      </c>
      <c r="D32" s="12" t="s">
        <v>97</v>
      </c>
      <c r="E32" s="12" t="s">
        <v>97</v>
      </c>
      <c r="F32" s="12" t="s">
        <v>97</v>
      </c>
      <c r="G32" s="12" t="s">
        <v>97</v>
      </c>
      <c r="H32" s="12" t="s">
        <v>97</v>
      </c>
      <c r="I32" s="12" t="s">
        <v>97</v>
      </c>
      <c r="J32" s="12" t="s">
        <v>97</v>
      </c>
      <c r="K32" s="12" t="s">
        <v>97</v>
      </c>
      <c r="L32" s="12" t="s">
        <v>97</v>
      </c>
      <c r="M32" s="12" t="s">
        <v>97</v>
      </c>
      <c r="N32" s="12" t="s">
        <v>97</v>
      </c>
      <c r="O32" s="12" t="s">
        <v>97</v>
      </c>
      <c r="P32" s="12" t="s">
        <v>97</v>
      </c>
      <c r="Q32" s="12" t="s">
        <v>97</v>
      </c>
      <c r="R32" s="12" t="s">
        <v>97</v>
      </c>
      <c r="S32" s="12" t="s">
        <v>97</v>
      </c>
      <c r="T32" s="12" t="s">
        <v>97</v>
      </c>
      <c r="U32" s="12" t="s">
        <v>97</v>
      </c>
      <c r="V32" s="12" t="s">
        <v>97</v>
      </c>
      <c r="W32" s="12" t="s">
        <v>97</v>
      </c>
      <c r="X32" s="12" t="s">
        <v>97</v>
      </c>
      <c r="Y32" s="12" t="s">
        <v>97</v>
      </c>
      <c r="Z32" s="12" t="s">
        <v>97</v>
      </c>
      <c r="AA32" s="12" t="s">
        <v>97</v>
      </c>
      <c r="AB32" s="12" t="s">
        <v>97</v>
      </c>
      <c r="AC32" s="12" t="s">
        <v>97</v>
      </c>
      <c r="AD32" s="12" t="s">
        <v>97</v>
      </c>
      <c r="AE32" s="12" t="s">
        <v>97</v>
      </c>
      <c r="AF32" s="12" t="s">
        <v>97</v>
      </c>
      <c r="AG32" s="12" t="s">
        <v>97</v>
      </c>
      <c r="AH32" s="12" t="s">
        <v>97</v>
      </c>
      <c r="AI32" s="12" t="s">
        <v>97</v>
      </c>
      <c r="AJ32" s="12" t="s">
        <v>97</v>
      </c>
      <c r="AK32" s="12" t="s">
        <v>97</v>
      </c>
      <c r="AL32" s="12" t="s">
        <v>97</v>
      </c>
      <c r="AM32" s="12" t="s">
        <v>97</v>
      </c>
      <c r="AN32" s="12" t="s">
        <v>97</v>
      </c>
      <c r="AO32" s="12" t="s">
        <v>97</v>
      </c>
      <c r="AP32" s="12" t="s">
        <v>97</v>
      </c>
      <c r="AQ32" s="12" t="s">
        <v>97</v>
      </c>
      <c r="AR32" s="12" t="s">
        <v>97</v>
      </c>
      <c r="AS32" s="12" t="s">
        <v>97</v>
      </c>
      <c r="AT32" s="12" t="s">
        <v>97</v>
      </c>
      <c r="AU32" s="12" t="s">
        <v>97</v>
      </c>
      <c r="AV32" s="12" t="s">
        <v>97</v>
      </c>
      <c r="AW32" s="12" t="s">
        <v>97</v>
      </c>
      <c r="AX32" s="12" t="s">
        <v>97</v>
      </c>
      <c r="AY32" s="12" t="s">
        <v>97</v>
      </c>
      <c r="AZ32" s="12" t="s">
        <v>97</v>
      </c>
      <c r="BA32" s="12" t="s">
        <v>97</v>
      </c>
      <c r="BB32" s="12" t="s">
        <v>97</v>
      </c>
      <c r="BC32" s="12" t="s">
        <v>97</v>
      </c>
      <c r="BD32" s="12" t="s">
        <v>97</v>
      </c>
      <c r="BE32" s="12" t="s">
        <v>97</v>
      </c>
      <c r="BF32" s="12" t="s">
        <v>97</v>
      </c>
      <c r="BG32" s="12" t="s">
        <v>97</v>
      </c>
      <c r="BH32" s="12" t="s">
        <v>97</v>
      </c>
      <c r="BI32" s="12" t="s">
        <v>97</v>
      </c>
      <c r="BJ32" s="12" t="s">
        <v>97</v>
      </c>
      <c r="BK32" s="12" t="s">
        <v>97</v>
      </c>
      <c r="BL32" s="12" t="s">
        <v>97</v>
      </c>
      <c r="BM32" s="12" t="s">
        <v>97</v>
      </c>
      <c r="BN32" s="12" t="s">
        <v>97</v>
      </c>
      <c r="BO32" s="12" t="s">
        <v>97</v>
      </c>
      <c r="BP32" s="12" t="s">
        <v>97</v>
      </c>
      <c r="BQ32" s="12" t="s">
        <v>97</v>
      </c>
      <c r="BR32" s="12" t="s">
        <v>97</v>
      </c>
      <c r="BS32" s="12" t="s">
        <v>97</v>
      </c>
      <c r="BT32" s="12" t="s">
        <v>97</v>
      </c>
      <c r="BU32" s="12" t="s">
        <v>97</v>
      </c>
      <c r="BV32" s="12" t="s">
        <v>97</v>
      </c>
      <c r="BW32" s="12" t="s">
        <v>97</v>
      </c>
      <c r="BX32" s="12" t="s">
        <v>97</v>
      </c>
      <c r="BY32" s="12" t="s">
        <v>97</v>
      </c>
      <c r="BZ32" s="12" t="s">
        <v>97</v>
      </c>
      <c r="CA32" s="12" t="s">
        <v>97</v>
      </c>
      <c r="CB32" s="12" t="s">
        <v>97</v>
      </c>
      <c r="CC32" s="12" t="s">
        <v>97</v>
      </c>
      <c r="CD32" s="12" t="s">
        <v>97</v>
      </c>
      <c r="CE32" s="12" t="s">
        <v>97</v>
      </c>
      <c r="CF32" s="12" t="s">
        <v>97</v>
      </c>
      <c r="CG32" s="12" t="s">
        <v>97</v>
      </c>
      <c r="CH32" s="12" t="s">
        <v>97</v>
      </c>
      <c r="CI32" s="12" t="s">
        <v>97</v>
      </c>
      <c r="CJ32" s="12" t="s">
        <v>97</v>
      </c>
      <c r="CK32" s="12" t="s">
        <v>97</v>
      </c>
      <c r="CL32" s="12" t="s">
        <v>97</v>
      </c>
      <c r="CM32" s="12" t="s">
        <v>97</v>
      </c>
      <c r="CN32" s="12" t="s">
        <v>97</v>
      </c>
      <c r="CO32" s="12" t="s">
        <v>97</v>
      </c>
      <c r="CP32" s="12" t="s">
        <v>97</v>
      </c>
      <c r="CQ32" s="12" t="s">
        <v>97</v>
      </c>
      <c r="CR32" s="12" t="s">
        <v>97</v>
      </c>
      <c r="CS32" s="12" t="s">
        <v>97</v>
      </c>
      <c r="CT32" s="12" t="s">
        <v>97</v>
      </c>
      <c r="CU32" s="12" t="s">
        <v>97</v>
      </c>
    </row>
    <row r="33" spans="1:100">
      <c r="A33" t="s">
        <v>1054</v>
      </c>
      <c r="B33" t="s">
        <v>1188</v>
      </c>
      <c r="C33">
        <v>8.8970000000000002</v>
      </c>
      <c r="D33">
        <v>8.5679999999999996</v>
      </c>
      <c r="E33">
        <v>7.8529999999999998</v>
      </c>
      <c r="F33">
        <v>6.99</v>
      </c>
      <c r="G33">
        <v>6.6529999999999996</v>
      </c>
      <c r="H33">
        <v>6.8090000000000002</v>
      </c>
      <c r="I33">
        <v>6.883</v>
      </c>
      <c r="J33">
        <v>6.96</v>
      </c>
      <c r="K33">
        <v>7.2480000000000002</v>
      </c>
      <c r="L33">
        <v>7.2149999999999999</v>
      </c>
      <c r="M33">
        <v>7.16</v>
      </c>
      <c r="N33">
        <v>7.234</v>
      </c>
      <c r="O33">
        <v>7.6070000000000002</v>
      </c>
      <c r="P33">
        <v>8.4420000000000002</v>
      </c>
      <c r="Q33">
        <v>9.0969999999999995</v>
      </c>
      <c r="R33">
        <v>9.7449999999999992</v>
      </c>
      <c r="S33">
        <v>10.194000000000001</v>
      </c>
      <c r="T33">
        <v>10.827</v>
      </c>
      <c r="U33">
        <v>11.752000000000001</v>
      </c>
      <c r="V33">
        <v>12.401</v>
      </c>
      <c r="W33">
        <v>12.417999999999999</v>
      </c>
      <c r="X33">
        <v>12.597</v>
      </c>
      <c r="Y33">
        <v>13.369</v>
      </c>
      <c r="Z33">
        <v>13.635</v>
      </c>
      <c r="AA33">
        <v>13.93</v>
      </c>
      <c r="AB33">
        <v>14.081</v>
      </c>
      <c r="AC33">
        <v>14.218</v>
      </c>
      <c r="AD33">
        <v>14.548</v>
      </c>
      <c r="AE33">
        <v>14.988</v>
      </c>
      <c r="AF33">
        <v>15.311999999999999</v>
      </c>
      <c r="AG33">
        <v>15.651999999999999</v>
      </c>
      <c r="AH33">
        <v>15.932</v>
      </c>
      <c r="AI33">
        <v>16.129000000000001</v>
      </c>
      <c r="AJ33">
        <v>16.347000000000001</v>
      </c>
      <c r="AK33">
        <v>16.565999999999999</v>
      </c>
      <c r="AL33">
        <v>16.815000000000001</v>
      </c>
      <c r="AM33">
        <v>17.027000000000001</v>
      </c>
      <c r="AN33">
        <v>17.408999999999999</v>
      </c>
      <c r="AO33">
        <v>17.940999999999999</v>
      </c>
      <c r="AP33">
        <v>18.713999999999999</v>
      </c>
      <c r="AQ33">
        <v>19.587</v>
      </c>
      <c r="AR33">
        <v>20.504000000000001</v>
      </c>
      <c r="AS33">
        <v>21.469000000000001</v>
      </c>
      <c r="AT33">
        <v>22.16</v>
      </c>
      <c r="AU33">
        <v>23.003</v>
      </c>
      <c r="AV33">
        <v>24.824999999999999</v>
      </c>
      <c r="AW33">
        <v>26.899000000000001</v>
      </c>
      <c r="AX33">
        <v>28.533999999999999</v>
      </c>
      <c r="AY33">
        <v>30.369</v>
      </c>
      <c r="AZ33">
        <v>32.381999999999998</v>
      </c>
      <c r="BA33">
        <v>34.743000000000002</v>
      </c>
      <c r="BB33">
        <v>37.936</v>
      </c>
      <c r="BC33">
        <v>41.26</v>
      </c>
      <c r="BD33">
        <v>43.942</v>
      </c>
      <c r="BE33">
        <v>46.191000000000003</v>
      </c>
      <c r="BF33">
        <v>48.106000000000002</v>
      </c>
      <c r="BG33">
        <v>50.06</v>
      </c>
      <c r="BH33">
        <v>51.787999999999997</v>
      </c>
      <c r="BI33">
        <v>53.46</v>
      </c>
      <c r="BJ33">
        <v>55.731999999999999</v>
      </c>
      <c r="BK33">
        <v>58.045000000000002</v>
      </c>
      <c r="BL33">
        <v>60.396999999999998</v>
      </c>
      <c r="BM33">
        <v>62.554000000000002</v>
      </c>
      <c r="BN33">
        <v>64.456000000000003</v>
      </c>
      <c r="BO33">
        <v>66.206000000000003</v>
      </c>
      <c r="BP33">
        <v>67.688000000000002</v>
      </c>
      <c r="BQ33">
        <v>69.162999999999997</v>
      </c>
      <c r="BR33">
        <v>70.474000000000004</v>
      </c>
      <c r="BS33">
        <v>71.718000000000004</v>
      </c>
      <c r="BT33">
        <v>72.63</v>
      </c>
      <c r="BU33">
        <v>73.582999999999998</v>
      </c>
      <c r="BV33">
        <v>74.897999999999996</v>
      </c>
      <c r="BW33">
        <v>76.316999999999993</v>
      </c>
      <c r="BX33">
        <v>77.593000000000004</v>
      </c>
      <c r="BY33">
        <v>78.844999999999999</v>
      </c>
      <c r="BZ33">
        <v>80.396000000000001</v>
      </c>
      <c r="CA33">
        <v>82.158000000000001</v>
      </c>
      <c r="CB33">
        <v>84.126000000000005</v>
      </c>
      <c r="CC33">
        <v>86.001000000000005</v>
      </c>
      <c r="CD33">
        <v>87.688000000000002</v>
      </c>
      <c r="CE33">
        <v>88.503</v>
      </c>
      <c r="CF33">
        <v>89.784999999999997</v>
      </c>
      <c r="CG33">
        <v>91.209000000000003</v>
      </c>
      <c r="CH33">
        <v>92.897000000000006</v>
      </c>
      <c r="CI33">
        <v>94.284999999999997</v>
      </c>
      <c r="CJ33">
        <v>95.697000000000003</v>
      </c>
      <c r="CK33">
        <v>96.873999999999995</v>
      </c>
      <c r="CL33">
        <v>98.426000000000002</v>
      </c>
      <c r="CM33">
        <v>100</v>
      </c>
      <c r="CN33">
        <v>101.89700000000001</v>
      </c>
      <c r="CO33">
        <v>103.57299999999999</v>
      </c>
      <c r="CP33">
        <v>104.976</v>
      </c>
      <c r="CQ33">
        <v>108.705</v>
      </c>
      <c r="CR33">
        <v>114.511</v>
      </c>
      <c r="CS33">
        <v>119.289</v>
      </c>
      <c r="CT33">
        <v>122.80200000000001</v>
      </c>
      <c r="CU33">
        <v>126.262</v>
      </c>
    </row>
    <row r="34" spans="1:100">
      <c r="A34" t="s">
        <v>1055</v>
      </c>
      <c r="B34" t="s">
        <v>1189</v>
      </c>
      <c r="C34">
        <v>8.6609999999999996</v>
      </c>
      <c r="D34">
        <v>8.3209999999999997</v>
      </c>
      <c r="E34">
        <v>7.5640000000000001</v>
      </c>
      <c r="F34">
        <v>6.7210000000000001</v>
      </c>
      <c r="G34">
        <v>6.5209999999999999</v>
      </c>
      <c r="H34">
        <v>6.9050000000000002</v>
      </c>
      <c r="I34">
        <v>6.992</v>
      </c>
      <c r="J34">
        <v>7.0510000000000002</v>
      </c>
      <c r="K34">
        <v>7.3339999999999996</v>
      </c>
      <c r="L34">
        <v>7.2380000000000004</v>
      </c>
      <c r="M34">
        <v>7.1710000000000003</v>
      </c>
      <c r="N34">
        <v>7.2560000000000002</v>
      </c>
      <c r="O34">
        <v>7.6879999999999997</v>
      </c>
      <c r="P34">
        <v>8.6790000000000003</v>
      </c>
      <c r="Q34">
        <v>9.484</v>
      </c>
      <c r="R34">
        <v>10.275</v>
      </c>
      <c r="S34">
        <v>10.81</v>
      </c>
      <c r="T34">
        <v>11.552</v>
      </c>
      <c r="U34">
        <v>12.627000000000001</v>
      </c>
      <c r="V34">
        <v>13.311</v>
      </c>
      <c r="W34">
        <v>13.259</v>
      </c>
      <c r="X34">
        <v>13.404</v>
      </c>
      <c r="Y34">
        <v>14.268000000000001</v>
      </c>
      <c r="Z34">
        <v>14.489000000000001</v>
      </c>
      <c r="AA34">
        <v>14.718</v>
      </c>
      <c r="AB34">
        <v>14.815</v>
      </c>
      <c r="AC34">
        <v>14.944000000000001</v>
      </c>
      <c r="AD34">
        <v>15.311</v>
      </c>
      <c r="AE34">
        <v>15.814</v>
      </c>
      <c r="AF34">
        <v>16.161999999999999</v>
      </c>
      <c r="AG34">
        <v>16.54</v>
      </c>
      <c r="AH34">
        <v>16.843</v>
      </c>
      <c r="AI34">
        <v>17.045999999999999</v>
      </c>
      <c r="AJ34">
        <v>17.282</v>
      </c>
      <c r="AK34">
        <v>17.518000000000001</v>
      </c>
      <c r="AL34">
        <v>17.802</v>
      </c>
      <c r="AM34">
        <v>18.036999999999999</v>
      </c>
      <c r="AN34">
        <v>18.472000000000001</v>
      </c>
      <c r="AO34">
        <v>19.084</v>
      </c>
      <c r="AP34">
        <v>19.986000000000001</v>
      </c>
      <c r="AQ34">
        <v>20.978000000000002</v>
      </c>
      <c r="AR34">
        <v>21.98</v>
      </c>
      <c r="AS34">
        <v>23.016999999999999</v>
      </c>
      <c r="AT34">
        <v>23.738</v>
      </c>
      <c r="AU34">
        <v>24.617999999999999</v>
      </c>
      <c r="AV34">
        <v>26.797999999999998</v>
      </c>
      <c r="AW34">
        <v>29.148</v>
      </c>
      <c r="AX34">
        <v>30.890999999999998</v>
      </c>
      <c r="AY34">
        <v>32.75</v>
      </c>
      <c r="AZ34">
        <v>34.904000000000003</v>
      </c>
      <c r="BA34">
        <v>37.417000000000002</v>
      </c>
      <c r="BB34">
        <v>40.856000000000002</v>
      </c>
      <c r="BC34">
        <v>44.307000000000002</v>
      </c>
      <c r="BD34">
        <v>47.012999999999998</v>
      </c>
      <c r="BE34">
        <v>49.326000000000001</v>
      </c>
      <c r="BF34">
        <v>51.258000000000003</v>
      </c>
      <c r="BG34">
        <v>53.13</v>
      </c>
      <c r="BH34">
        <v>54.680999999999997</v>
      </c>
      <c r="BI34">
        <v>56.29</v>
      </c>
      <c r="BJ34">
        <v>58.654000000000003</v>
      </c>
      <c r="BK34">
        <v>61.088000000000001</v>
      </c>
      <c r="BL34">
        <v>63.478000000000002</v>
      </c>
      <c r="BM34">
        <v>65.802999999999997</v>
      </c>
      <c r="BN34">
        <v>67.846000000000004</v>
      </c>
      <c r="BO34">
        <v>69.686999999999998</v>
      </c>
      <c r="BP34">
        <v>71.162000000000006</v>
      </c>
      <c r="BQ34">
        <v>72.575000000000003</v>
      </c>
      <c r="BR34">
        <v>73.775999999999996</v>
      </c>
      <c r="BS34">
        <v>74.915000000000006</v>
      </c>
      <c r="BT34">
        <v>75.570999999999998</v>
      </c>
      <c r="BU34">
        <v>76.331999999999994</v>
      </c>
      <c r="BV34">
        <v>77.463999999999999</v>
      </c>
      <c r="BW34">
        <v>78.606999999999999</v>
      </c>
      <c r="BX34">
        <v>79.546000000000006</v>
      </c>
      <c r="BY34">
        <v>80.679000000000002</v>
      </c>
      <c r="BZ34">
        <v>82.171999999999997</v>
      </c>
      <c r="CA34">
        <v>83.909000000000006</v>
      </c>
      <c r="CB34">
        <v>85.722999999999999</v>
      </c>
      <c r="CC34">
        <v>87.394999999999996</v>
      </c>
      <c r="CD34">
        <v>88.962999999999994</v>
      </c>
      <c r="CE34">
        <v>89.625</v>
      </c>
      <c r="CF34">
        <v>91.213999999999999</v>
      </c>
      <c r="CG34">
        <v>92.710999999999999</v>
      </c>
      <c r="CH34">
        <v>94.361000000000004</v>
      </c>
      <c r="CI34">
        <v>95.602000000000004</v>
      </c>
      <c r="CJ34">
        <v>96.774000000000001</v>
      </c>
      <c r="CK34">
        <v>97.588999999999999</v>
      </c>
      <c r="CL34">
        <v>98.799000000000007</v>
      </c>
      <c r="CM34">
        <v>100</v>
      </c>
      <c r="CN34">
        <v>101.589</v>
      </c>
      <c r="CO34">
        <v>102.89100000000001</v>
      </c>
      <c r="CP34">
        <v>103.947</v>
      </c>
      <c r="CQ34">
        <v>107.878</v>
      </c>
      <c r="CR34">
        <v>113.524</v>
      </c>
      <c r="CS34">
        <v>117.456</v>
      </c>
      <c r="CT34">
        <v>120.303</v>
      </c>
      <c r="CU34">
        <v>123.40900000000001</v>
      </c>
    </row>
    <row r="35" spans="1:100">
      <c r="A35" t="s">
        <v>1056</v>
      </c>
      <c r="B35" t="s">
        <v>1190</v>
      </c>
      <c r="C35">
        <v>7.7640000000000002</v>
      </c>
      <c r="D35">
        <v>7.5419999999999998</v>
      </c>
      <c r="E35">
        <v>6.8940000000000001</v>
      </c>
      <c r="F35">
        <v>6.7450000000000001</v>
      </c>
      <c r="G35">
        <v>6.633</v>
      </c>
      <c r="H35">
        <v>6.8520000000000003</v>
      </c>
      <c r="I35">
        <v>6.7770000000000001</v>
      </c>
      <c r="J35">
        <v>6.87</v>
      </c>
      <c r="K35">
        <v>6.9470000000000001</v>
      </c>
      <c r="L35">
        <v>6.8390000000000004</v>
      </c>
      <c r="M35">
        <v>6.6509999999999998</v>
      </c>
      <c r="N35">
        <v>6.6440000000000001</v>
      </c>
      <c r="O35">
        <v>6.8579999999999997</v>
      </c>
      <c r="P35">
        <v>7.1390000000000002</v>
      </c>
      <c r="Q35">
        <v>7.306</v>
      </c>
      <c r="R35">
        <v>7.4039999999999999</v>
      </c>
      <c r="S35">
        <v>7.3890000000000002</v>
      </c>
      <c r="T35">
        <v>7.5369999999999999</v>
      </c>
      <c r="U35">
        <v>8.2010000000000005</v>
      </c>
      <c r="V35">
        <v>9.0510000000000002</v>
      </c>
      <c r="W35">
        <v>9.1639999999999997</v>
      </c>
      <c r="X35">
        <v>9.2409999999999997</v>
      </c>
      <c r="Y35">
        <v>9.4410000000000007</v>
      </c>
      <c r="Z35">
        <v>9.5790000000000006</v>
      </c>
      <c r="AA35">
        <v>9.859</v>
      </c>
      <c r="AB35">
        <v>9.9809999999999999</v>
      </c>
      <c r="AC35">
        <v>10.079000000000001</v>
      </c>
      <c r="AD35">
        <v>10.298999999999999</v>
      </c>
      <c r="AE35">
        <v>10.632</v>
      </c>
      <c r="AF35">
        <v>10.577999999999999</v>
      </c>
      <c r="AG35">
        <v>10.706</v>
      </c>
      <c r="AH35">
        <v>10.952999999999999</v>
      </c>
      <c r="AI35">
        <v>10.994</v>
      </c>
      <c r="AJ35">
        <v>11.03</v>
      </c>
      <c r="AK35">
        <v>11.038</v>
      </c>
      <c r="AL35">
        <v>10.974</v>
      </c>
      <c r="AM35">
        <v>11.2</v>
      </c>
      <c r="AN35">
        <v>11.378</v>
      </c>
      <c r="AO35">
        <v>11.632</v>
      </c>
      <c r="AP35">
        <v>11.805</v>
      </c>
      <c r="AQ35">
        <v>12.12</v>
      </c>
      <c r="AR35">
        <v>12.407999999999999</v>
      </c>
      <c r="AS35">
        <v>12.848000000000001</v>
      </c>
      <c r="AT35">
        <v>13.18</v>
      </c>
      <c r="AU35">
        <v>14.317</v>
      </c>
      <c r="AV35">
        <v>18.667000000000002</v>
      </c>
      <c r="AW35">
        <v>20.507000000000001</v>
      </c>
      <c r="AX35">
        <v>21.882999999999999</v>
      </c>
      <c r="AY35">
        <v>23.731999999999999</v>
      </c>
      <c r="AZ35">
        <v>25.068000000000001</v>
      </c>
      <c r="BA35">
        <v>31.26</v>
      </c>
      <c r="BB35">
        <v>40.840000000000003</v>
      </c>
      <c r="BC35">
        <v>46.332000000000001</v>
      </c>
      <c r="BD35">
        <v>47.140999999999998</v>
      </c>
      <c r="BE35">
        <v>47.582000000000001</v>
      </c>
      <c r="BF35">
        <v>48.182000000000002</v>
      </c>
      <c r="BG35">
        <v>48.69</v>
      </c>
      <c r="BH35">
        <v>42.662999999999997</v>
      </c>
      <c r="BI35">
        <v>43.134999999999998</v>
      </c>
      <c r="BJ35">
        <v>43.465000000000003</v>
      </c>
      <c r="BK35">
        <v>46.033000000000001</v>
      </c>
      <c r="BL35">
        <v>49.924999999999997</v>
      </c>
      <c r="BM35">
        <v>50.146000000000001</v>
      </c>
      <c r="BN35">
        <v>50.38</v>
      </c>
      <c r="BO35">
        <v>50.838000000000001</v>
      </c>
      <c r="BP35">
        <v>51.036000000000001</v>
      </c>
      <c r="BQ35">
        <v>51.438000000000002</v>
      </c>
      <c r="BR35">
        <v>53.845999999999997</v>
      </c>
      <c r="BS35">
        <v>54.411000000000001</v>
      </c>
      <c r="BT35">
        <v>49.817999999999998</v>
      </c>
      <c r="BU35">
        <v>51.835999999999999</v>
      </c>
      <c r="BV35">
        <v>61.307000000000002</v>
      </c>
      <c r="BW35">
        <v>62.838999999999999</v>
      </c>
      <c r="BX35">
        <v>59.176000000000002</v>
      </c>
      <c r="BY35">
        <v>66.653999999999996</v>
      </c>
      <c r="BZ35">
        <v>74.216999999999999</v>
      </c>
      <c r="CA35">
        <v>87.025999999999996</v>
      </c>
      <c r="CB35">
        <v>96.94</v>
      </c>
      <c r="CC35">
        <v>102.776</v>
      </c>
      <c r="CD35">
        <v>117.422</v>
      </c>
      <c r="CE35">
        <v>95.194999999999993</v>
      </c>
      <c r="CF35">
        <v>104.69799999999999</v>
      </c>
      <c r="CG35">
        <v>121.28100000000001</v>
      </c>
      <c r="CH35">
        <v>123.001</v>
      </c>
      <c r="CI35">
        <v>121.9</v>
      </c>
      <c r="CJ35">
        <v>120.89</v>
      </c>
      <c r="CK35">
        <v>99.19</v>
      </c>
      <c r="CL35">
        <v>91.981999999999999</v>
      </c>
      <c r="CM35">
        <v>100</v>
      </c>
      <c r="CN35">
        <v>108.054</v>
      </c>
      <c r="CO35">
        <v>105.72499999999999</v>
      </c>
      <c r="CP35">
        <v>96.835999999999999</v>
      </c>
      <c r="CQ35">
        <v>116.901</v>
      </c>
      <c r="CR35">
        <v>146.94800000000001</v>
      </c>
      <c r="CS35">
        <v>138.93600000000001</v>
      </c>
      <c r="CT35">
        <v>136.077</v>
      </c>
      <c r="CU35">
        <v>135.684</v>
      </c>
    </row>
    <row r="36" spans="1:100">
      <c r="A36" t="s">
        <v>1057</v>
      </c>
      <c r="B36" t="s">
        <v>1191</v>
      </c>
      <c r="C36">
        <v>4.6580000000000004</v>
      </c>
      <c r="D36">
        <v>4.5209999999999999</v>
      </c>
      <c r="E36">
        <v>4.1529999999999996</v>
      </c>
      <c r="F36">
        <v>3.7480000000000002</v>
      </c>
      <c r="G36">
        <v>3.59</v>
      </c>
      <c r="H36">
        <v>3.7090000000000001</v>
      </c>
      <c r="I36">
        <v>3.8359999999999999</v>
      </c>
      <c r="J36">
        <v>3.8969999999999998</v>
      </c>
      <c r="K36">
        <v>4.0389999999999997</v>
      </c>
      <c r="L36">
        <v>3.988</v>
      </c>
      <c r="M36">
        <v>3.9750000000000001</v>
      </c>
      <c r="N36">
        <v>4.0199999999999996</v>
      </c>
      <c r="O36">
        <v>4.2089999999999996</v>
      </c>
      <c r="P36">
        <v>4.6159999999999997</v>
      </c>
      <c r="Q36">
        <v>5.032</v>
      </c>
      <c r="R36">
        <v>5.3460000000000001</v>
      </c>
      <c r="S36">
        <v>5.5679999999999996</v>
      </c>
      <c r="T36">
        <v>6.0010000000000003</v>
      </c>
      <c r="U36">
        <v>6.5359999999999996</v>
      </c>
      <c r="V36">
        <v>6.8780000000000001</v>
      </c>
      <c r="W36">
        <v>6.9569999999999999</v>
      </c>
      <c r="X36">
        <v>7.1219999999999999</v>
      </c>
      <c r="Y36">
        <v>7.51</v>
      </c>
      <c r="Z36">
        <v>7.7809999999999997</v>
      </c>
      <c r="AA36">
        <v>8.0540000000000003</v>
      </c>
      <c r="AB36">
        <v>8.25</v>
      </c>
      <c r="AC36">
        <v>8.4039999999999999</v>
      </c>
      <c r="AD36">
        <v>8.6449999999999996</v>
      </c>
      <c r="AE36">
        <v>8.9589999999999996</v>
      </c>
      <c r="AF36">
        <v>9.2129999999999992</v>
      </c>
      <c r="AG36">
        <v>9.5180000000000007</v>
      </c>
      <c r="AH36">
        <v>9.8140000000000001</v>
      </c>
      <c r="AI36">
        <v>10.015000000000001</v>
      </c>
      <c r="AJ36">
        <v>10.254</v>
      </c>
      <c r="AK36">
        <v>10.451000000000001</v>
      </c>
      <c r="AL36">
        <v>10.7</v>
      </c>
      <c r="AM36">
        <v>10.961</v>
      </c>
      <c r="AN36">
        <v>11.368</v>
      </c>
      <c r="AO36">
        <v>11.840999999999999</v>
      </c>
      <c r="AP36">
        <v>12.487</v>
      </c>
      <c r="AQ36">
        <v>13.259</v>
      </c>
      <c r="AR36">
        <v>14.077</v>
      </c>
      <c r="AS36">
        <v>14.879</v>
      </c>
      <c r="AT36">
        <v>15.54</v>
      </c>
      <c r="AU36">
        <v>16.318999999999999</v>
      </c>
      <c r="AV36">
        <v>17.934000000000001</v>
      </c>
      <c r="AW36">
        <v>19.536999999999999</v>
      </c>
      <c r="AX36">
        <v>20.876000000000001</v>
      </c>
      <c r="AY36">
        <v>22.338999999999999</v>
      </c>
      <c r="AZ36">
        <v>24.135000000000002</v>
      </c>
      <c r="BA36">
        <v>26.181000000000001</v>
      </c>
      <c r="BB36">
        <v>28.882000000000001</v>
      </c>
      <c r="BC36">
        <v>31.738</v>
      </c>
      <c r="BD36">
        <v>34.037999999999997</v>
      </c>
      <c r="BE36">
        <v>36.087000000000003</v>
      </c>
      <c r="BF36">
        <v>37.991999999999997</v>
      </c>
      <c r="BG36">
        <v>39.792999999999999</v>
      </c>
      <c r="BH36">
        <v>41.320999999999998</v>
      </c>
      <c r="BI36">
        <v>42.470999999999997</v>
      </c>
      <c r="BJ36">
        <v>44.665999999999997</v>
      </c>
      <c r="BK36">
        <v>46.917999999999999</v>
      </c>
      <c r="BL36">
        <v>49.134999999999998</v>
      </c>
      <c r="BM36">
        <v>51.210999999999999</v>
      </c>
      <c r="BN36">
        <v>53.225000000000001</v>
      </c>
      <c r="BO36">
        <v>55.206000000000003</v>
      </c>
      <c r="BP36">
        <v>56.756999999999998</v>
      </c>
      <c r="BQ36">
        <v>58.368000000000002</v>
      </c>
      <c r="BR36">
        <v>59.927999999999997</v>
      </c>
      <c r="BS36">
        <v>61.636000000000003</v>
      </c>
      <c r="BT36">
        <v>62.895000000000003</v>
      </c>
      <c r="BU36">
        <v>64.051000000000002</v>
      </c>
      <c r="BV36">
        <v>65.703000000000003</v>
      </c>
      <c r="BW36">
        <v>67.441999999999993</v>
      </c>
      <c r="BX36">
        <v>69.123000000000005</v>
      </c>
      <c r="BY36">
        <v>71.483000000000004</v>
      </c>
      <c r="BZ36">
        <v>73.78</v>
      </c>
      <c r="CA36">
        <v>76.231999999999999</v>
      </c>
      <c r="CB36">
        <v>78.835999999999999</v>
      </c>
      <c r="CC36">
        <v>81.456000000000003</v>
      </c>
      <c r="CD36">
        <v>83.712000000000003</v>
      </c>
      <c r="CE36">
        <v>84.311000000000007</v>
      </c>
      <c r="CF36">
        <v>86.572999999999993</v>
      </c>
      <c r="CG36">
        <v>88.457999999999998</v>
      </c>
      <c r="CH36">
        <v>90.54</v>
      </c>
      <c r="CI36">
        <v>92.534000000000006</v>
      </c>
      <c r="CJ36">
        <v>94.495000000000005</v>
      </c>
      <c r="CK36">
        <v>95.950999999999993</v>
      </c>
      <c r="CL36">
        <v>97.947999999999993</v>
      </c>
      <c r="CM36">
        <v>100</v>
      </c>
      <c r="CN36">
        <v>102.47199999999999</v>
      </c>
      <c r="CO36">
        <v>104.55200000000001</v>
      </c>
      <c r="CP36">
        <v>106.44499999999999</v>
      </c>
      <c r="CQ36">
        <v>110.675</v>
      </c>
      <c r="CR36">
        <v>116.233</v>
      </c>
      <c r="CS36">
        <v>121.36799999999999</v>
      </c>
      <c r="CT36">
        <v>125.88</v>
      </c>
      <c r="CU36">
        <v>130.07599999999999</v>
      </c>
    </row>
    <row r="37" spans="1:100">
      <c r="A37" t="s">
        <v>1058</v>
      </c>
      <c r="B37" t="s">
        <v>1192</v>
      </c>
      <c r="C37">
        <v>9.718</v>
      </c>
      <c r="D37">
        <v>9.4420000000000002</v>
      </c>
      <c r="E37">
        <v>8.9049999999999994</v>
      </c>
      <c r="F37">
        <v>7.9729999999999999</v>
      </c>
      <c r="G37">
        <v>7.1559999999999997</v>
      </c>
      <c r="H37">
        <v>6.5250000000000004</v>
      </c>
      <c r="I37">
        <v>6.5549999999999997</v>
      </c>
      <c r="J37">
        <v>6.7039999999999997</v>
      </c>
      <c r="K37">
        <v>7.0170000000000003</v>
      </c>
      <c r="L37">
        <v>7.2380000000000004</v>
      </c>
      <c r="M37">
        <v>7.234</v>
      </c>
      <c r="N37">
        <v>7.258</v>
      </c>
      <c r="O37">
        <v>7.3810000000000002</v>
      </c>
      <c r="P37">
        <v>7.57</v>
      </c>
      <c r="Q37">
        <v>7.6180000000000003</v>
      </c>
      <c r="R37">
        <v>7.6829999999999998</v>
      </c>
      <c r="S37">
        <v>7.7759999999999998</v>
      </c>
      <c r="T37">
        <v>7.9560000000000004</v>
      </c>
      <c r="U37">
        <v>8.2579999999999991</v>
      </c>
      <c r="V37">
        <v>8.7669999999999995</v>
      </c>
      <c r="W37">
        <v>9.0570000000000004</v>
      </c>
      <c r="X37">
        <v>9.3670000000000009</v>
      </c>
      <c r="Y37">
        <v>9.7769999999999992</v>
      </c>
      <c r="Z37">
        <v>10.194000000000001</v>
      </c>
      <c r="AA37">
        <v>10.715</v>
      </c>
      <c r="AB37">
        <v>11.04</v>
      </c>
      <c r="AC37">
        <v>11.2</v>
      </c>
      <c r="AD37">
        <v>11.391</v>
      </c>
      <c r="AE37">
        <v>11.603999999999999</v>
      </c>
      <c r="AF37">
        <v>11.837</v>
      </c>
      <c r="AG37">
        <v>12.037000000000001</v>
      </c>
      <c r="AH37">
        <v>12.228999999999999</v>
      </c>
      <c r="AI37">
        <v>12.398</v>
      </c>
      <c r="AJ37">
        <v>12.548999999999999</v>
      </c>
      <c r="AK37">
        <v>12.704000000000001</v>
      </c>
      <c r="AL37">
        <v>12.834</v>
      </c>
      <c r="AM37">
        <v>12.961</v>
      </c>
      <c r="AN37">
        <v>13.157</v>
      </c>
      <c r="AO37">
        <v>13.41</v>
      </c>
      <c r="AP37">
        <v>13.739000000000001</v>
      </c>
      <c r="AQ37">
        <v>14.192</v>
      </c>
      <c r="AR37">
        <v>14.798999999999999</v>
      </c>
      <c r="AS37">
        <v>15.486000000000001</v>
      </c>
      <c r="AT37">
        <v>16.044</v>
      </c>
      <c r="AU37">
        <v>16.727</v>
      </c>
      <c r="AV37">
        <v>17.353999999999999</v>
      </c>
      <c r="AW37">
        <v>18.477</v>
      </c>
      <c r="AX37">
        <v>19.686</v>
      </c>
      <c r="AY37">
        <v>21.344999999999999</v>
      </c>
      <c r="AZ37">
        <v>22.809000000000001</v>
      </c>
      <c r="BA37">
        <v>24.57</v>
      </c>
      <c r="BB37">
        <v>26.827000000000002</v>
      </c>
      <c r="BC37">
        <v>29.559000000000001</v>
      </c>
      <c r="BD37">
        <v>31.991</v>
      </c>
      <c r="BE37">
        <v>33.914000000000001</v>
      </c>
      <c r="BF37">
        <v>35.680999999999997</v>
      </c>
      <c r="BG37">
        <v>37.811999999999998</v>
      </c>
      <c r="BH37">
        <v>40.049999999999997</v>
      </c>
      <c r="BI37">
        <v>41.871000000000002</v>
      </c>
      <c r="BJ37">
        <v>43.75</v>
      </c>
      <c r="BK37">
        <v>45.567</v>
      </c>
      <c r="BL37">
        <v>47.709000000000003</v>
      </c>
      <c r="BM37">
        <v>49.216000000000001</v>
      </c>
      <c r="BN37">
        <v>50.564</v>
      </c>
      <c r="BO37">
        <v>51.941000000000003</v>
      </c>
      <c r="BP37">
        <v>53.402000000000001</v>
      </c>
      <c r="BQ37">
        <v>55.052</v>
      </c>
      <c r="BR37">
        <v>56.719000000000001</v>
      </c>
      <c r="BS37">
        <v>58.31</v>
      </c>
      <c r="BT37">
        <v>60.155999999999999</v>
      </c>
      <c r="BU37">
        <v>61.832999999999998</v>
      </c>
      <c r="BV37">
        <v>63.851999999999997</v>
      </c>
      <c r="BW37">
        <v>66.355000000000004</v>
      </c>
      <c r="BX37">
        <v>68.975999999999999</v>
      </c>
      <c r="BY37">
        <v>70.715000000000003</v>
      </c>
      <c r="BZ37">
        <v>72.503</v>
      </c>
      <c r="CA37">
        <v>74.36</v>
      </c>
      <c r="CB37">
        <v>76.968000000000004</v>
      </c>
      <c r="CC37">
        <v>79.712000000000003</v>
      </c>
      <c r="CD37">
        <v>81.888000000000005</v>
      </c>
      <c r="CE37">
        <v>83.32</v>
      </c>
      <c r="CF37">
        <v>83.358000000000004</v>
      </c>
      <c r="CG37">
        <v>84.477999999999994</v>
      </c>
      <c r="CH37">
        <v>86.308999999999997</v>
      </c>
      <c r="CI37">
        <v>88.308000000000007</v>
      </c>
      <c r="CJ37">
        <v>90.742000000000004</v>
      </c>
      <c r="CK37">
        <v>93.536000000000001</v>
      </c>
      <c r="CL37">
        <v>96.665999999999997</v>
      </c>
      <c r="CM37">
        <v>100</v>
      </c>
      <c r="CN37">
        <v>103.39100000000001</v>
      </c>
      <c r="CO37">
        <v>106.91500000000001</v>
      </c>
      <c r="CP37">
        <v>109.97799999999999</v>
      </c>
      <c r="CQ37">
        <v>112.744</v>
      </c>
      <c r="CR37">
        <v>119.34699999999999</v>
      </c>
      <c r="CS37">
        <v>128.392</v>
      </c>
      <c r="CT37">
        <v>135.316</v>
      </c>
      <c r="CU37">
        <v>140.613</v>
      </c>
    </row>
    <row r="38" spans="1:100">
      <c r="A38" t="s">
        <v>1059</v>
      </c>
      <c r="B38" t="s">
        <v>1193</v>
      </c>
      <c r="C38" t="s">
        <v>1014</v>
      </c>
      <c r="D38" t="s">
        <v>1014</v>
      </c>
      <c r="E38" t="s">
        <v>1014</v>
      </c>
      <c r="F38" t="s">
        <v>1014</v>
      </c>
      <c r="G38" t="s">
        <v>1014</v>
      </c>
      <c r="H38" t="s">
        <v>1014</v>
      </c>
      <c r="I38" t="s">
        <v>1014</v>
      </c>
      <c r="J38" t="s">
        <v>1014</v>
      </c>
      <c r="K38" t="s">
        <v>1014</v>
      </c>
      <c r="L38" t="s">
        <v>1014</v>
      </c>
      <c r="M38" t="s">
        <v>1014</v>
      </c>
      <c r="N38" t="s">
        <v>1014</v>
      </c>
      <c r="O38" t="s">
        <v>1014</v>
      </c>
      <c r="P38" t="s">
        <v>1014</v>
      </c>
      <c r="Q38" t="s">
        <v>1014</v>
      </c>
      <c r="R38" t="s">
        <v>1014</v>
      </c>
      <c r="S38" t="s">
        <v>1014</v>
      </c>
      <c r="T38" t="s">
        <v>1014</v>
      </c>
      <c r="U38" t="s">
        <v>1014</v>
      </c>
      <c r="V38" t="s">
        <v>1014</v>
      </c>
      <c r="W38" t="s">
        <v>1014</v>
      </c>
      <c r="X38" t="s">
        <v>1014</v>
      </c>
      <c r="Y38" t="s">
        <v>1014</v>
      </c>
      <c r="Z38" t="s">
        <v>1014</v>
      </c>
      <c r="AA38" t="s">
        <v>1014</v>
      </c>
      <c r="AB38" t="s">
        <v>1014</v>
      </c>
      <c r="AC38" t="s">
        <v>1014</v>
      </c>
      <c r="AD38" t="s">
        <v>1014</v>
      </c>
      <c r="AE38" t="s">
        <v>1014</v>
      </c>
      <c r="AF38" t="s">
        <v>1014</v>
      </c>
      <c r="AG38" t="s">
        <v>1014</v>
      </c>
      <c r="AH38" t="s">
        <v>1014</v>
      </c>
      <c r="AI38" t="s">
        <v>1014</v>
      </c>
      <c r="AJ38" t="s">
        <v>1014</v>
      </c>
      <c r="AK38" t="s">
        <v>1014</v>
      </c>
      <c r="AL38" t="s">
        <v>1014</v>
      </c>
      <c r="AM38" t="s">
        <v>1014</v>
      </c>
      <c r="AN38" t="s">
        <v>1014</v>
      </c>
      <c r="AO38" t="s">
        <v>1014</v>
      </c>
      <c r="AP38" t="s">
        <v>1014</v>
      </c>
      <c r="AQ38" t="s">
        <v>1014</v>
      </c>
      <c r="AR38" t="s">
        <v>1014</v>
      </c>
      <c r="AS38" t="s">
        <v>1014</v>
      </c>
      <c r="AT38" t="s">
        <v>1014</v>
      </c>
      <c r="AU38" t="s">
        <v>1014</v>
      </c>
      <c r="AV38" t="s">
        <v>1014</v>
      </c>
      <c r="AW38" t="s">
        <v>1014</v>
      </c>
      <c r="AX38" t="s">
        <v>1014</v>
      </c>
      <c r="AY38" t="s">
        <v>1014</v>
      </c>
      <c r="AZ38" t="s">
        <v>1014</v>
      </c>
      <c r="BA38" t="s">
        <v>1014</v>
      </c>
      <c r="BB38" t="s">
        <v>1014</v>
      </c>
      <c r="BC38" t="s">
        <v>1014</v>
      </c>
      <c r="BD38" t="s">
        <v>1014</v>
      </c>
      <c r="BE38" t="s">
        <v>1014</v>
      </c>
      <c r="BF38" t="s">
        <v>1014</v>
      </c>
      <c r="BG38" t="s">
        <v>1014</v>
      </c>
      <c r="BH38" t="s">
        <v>1014</v>
      </c>
      <c r="BI38">
        <v>53.631999999999998</v>
      </c>
      <c r="BJ38">
        <v>55.728000000000002</v>
      </c>
      <c r="BK38">
        <v>58.308</v>
      </c>
      <c r="BL38">
        <v>61.152000000000001</v>
      </c>
      <c r="BM38">
        <v>63.505000000000003</v>
      </c>
      <c r="BN38">
        <v>65.314999999999998</v>
      </c>
      <c r="BO38">
        <v>66.873000000000005</v>
      </c>
      <c r="BP38">
        <v>68.168999999999997</v>
      </c>
      <c r="BQ38">
        <v>69.563999999999993</v>
      </c>
      <c r="BR38">
        <v>70.91</v>
      </c>
      <c r="BS38">
        <v>71.974000000000004</v>
      </c>
      <c r="BT38">
        <v>72.412999999999997</v>
      </c>
      <c r="BU38">
        <v>73.435000000000002</v>
      </c>
      <c r="BV38">
        <v>75.191000000000003</v>
      </c>
      <c r="BW38">
        <v>76.608000000000004</v>
      </c>
      <c r="BX38">
        <v>77.445999999999998</v>
      </c>
      <c r="BY38">
        <v>78.945999999999998</v>
      </c>
      <c r="BZ38">
        <v>80.805999999999997</v>
      </c>
      <c r="CA38">
        <v>83.043000000000006</v>
      </c>
      <c r="CB38">
        <v>85.289000000000001</v>
      </c>
      <c r="CC38">
        <v>87.4</v>
      </c>
      <c r="CD38">
        <v>90.337999999999994</v>
      </c>
      <c r="CE38">
        <v>90.64</v>
      </c>
      <c r="CF38">
        <v>91.998000000000005</v>
      </c>
      <c r="CG38">
        <v>94.337000000000003</v>
      </c>
      <c r="CH38">
        <v>96.055000000000007</v>
      </c>
      <c r="CI38">
        <v>97.033000000000001</v>
      </c>
      <c r="CJ38">
        <v>98.063999999999993</v>
      </c>
      <c r="CK38">
        <v>97.92</v>
      </c>
      <c r="CL38">
        <v>98.587000000000003</v>
      </c>
      <c r="CM38">
        <v>100</v>
      </c>
      <c r="CN38">
        <v>101.821</v>
      </c>
      <c r="CO38">
        <v>103.142</v>
      </c>
      <c r="CP38">
        <v>104.21599999999999</v>
      </c>
      <c r="CQ38">
        <v>107.98699999999999</v>
      </c>
      <c r="CR38">
        <v>114.952</v>
      </c>
      <c r="CS38">
        <v>119.10899999999999</v>
      </c>
      <c r="CT38">
        <v>121.767</v>
      </c>
      <c r="CU38">
        <v>124.622</v>
      </c>
    </row>
    <row r="39" spans="1:100">
      <c r="A39" t="s">
        <v>1060</v>
      </c>
      <c r="B39" t="s">
        <v>1194</v>
      </c>
      <c r="C39" t="s">
        <v>1014</v>
      </c>
      <c r="D39" t="s">
        <v>1014</v>
      </c>
      <c r="E39" t="s">
        <v>1014</v>
      </c>
      <c r="F39" t="s">
        <v>1014</v>
      </c>
      <c r="G39" t="s">
        <v>1014</v>
      </c>
      <c r="H39" t="s">
        <v>1014</v>
      </c>
      <c r="I39" t="s">
        <v>1014</v>
      </c>
      <c r="J39" t="s">
        <v>1014</v>
      </c>
      <c r="K39" t="s">
        <v>1014</v>
      </c>
      <c r="L39" t="s">
        <v>1014</v>
      </c>
      <c r="M39" t="s">
        <v>1014</v>
      </c>
      <c r="N39" t="s">
        <v>1014</v>
      </c>
      <c r="O39" t="s">
        <v>1014</v>
      </c>
      <c r="P39" t="s">
        <v>1014</v>
      </c>
      <c r="Q39" t="s">
        <v>1014</v>
      </c>
      <c r="R39" t="s">
        <v>1014</v>
      </c>
      <c r="S39" t="s">
        <v>1014</v>
      </c>
      <c r="T39" t="s">
        <v>1014</v>
      </c>
      <c r="U39" t="s">
        <v>1014</v>
      </c>
      <c r="V39" t="s">
        <v>1014</v>
      </c>
      <c r="W39" t="s">
        <v>1014</v>
      </c>
      <c r="X39" t="s">
        <v>1014</v>
      </c>
      <c r="Y39" t="s">
        <v>1014</v>
      </c>
      <c r="Z39" t="s">
        <v>1014</v>
      </c>
      <c r="AA39" t="s">
        <v>1014</v>
      </c>
      <c r="AB39" t="s">
        <v>1014</v>
      </c>
      <c r="AC39" t="s">
        <v>1014</v>
      </c>
      <c r="AD39" t="s">
        <v>1014</v>
      </c>
      <c r="AE39" t="s">
        <v>1014</v>
      </c>
      <c r="AF39" t="s">
        <v>1014</v>
      </c>
      <c r="AG39" t="s">
        <v>1014</v>
      </c>
      <c r="AH39" t="s">
        <v>1014</v>
      </c>
      <c r="AI39" t="s">
        <v>1014</v>
      </c>
      <c r="AJ39" t="s">
        <v>1014</v>
      </c>
      <c r="AK39" t="s">
        <v>1014</v>
      </c>
      <c r="AL39" t="s">
        <v>1014</v>
      </c>
      <c r="AM39" t="s">
        <v>1014</v>
      </c>
      <c r="AN39" t="s">
        <v>1014</v>
      </c>
      <c r="AO39" t="s">
        <v>1014</v>
      </c>
      <c r="AP39" t="s">
        <v>1014</v>
      </c>
      <c r="AQ39" t="s">
        <v>1014</v>
      </c>
      <c r="AR39" t="s">
        <v>1014</v>
      </c>
      <c r="AS39" t="s">
        <v>1014</v>
      </c>
      <c r="AT39" t="s">
        <v>1014</v>
      </c>
      <c r="AU39" t="s">
        <v>1014</v>
      </c>
      <c r="AV39" t="s">
        <v>1014</v>
      </c>
      <c r="AW39" t="s">
        <v>1014</v>
      </c>
      <c r="AX39" t="s">
        <v>1014</v>
      </c>
      <c r="AY39" t="s">
        <v>1014</v>
      </c>
      <c r="AZ39" t="s">
        <v>1014</v>
      </c>
      <c r="BA39" t="s">
        <v>1014</v>
      </c>
      <c r="BB39" t="s">
        <v>1014</v>
      </c>
      <c r="BC39" t="s">
        <v>1014</v>
      </c>
      <c r="BD39" t="s">
        <v>1014</v>
      </c>
      <c r="BE39" t="s">
        <v>1014</v>
      </c>
      <c r="BF39" t="s">
        <v>1014</v>
      </c>
      <c r="BG39" t="s">
        <v>1014</v>
      </c>
      <c r="BH39" t="s">
        <v>1014</v>
      </c>
      <c r="BI39">
        <v>54.52</v>
      </c>
      <c r="BJ39">
        <v>56.860999999999997</v>
      </c>
      <c r="BK39">
        <v>59.386000000000003</v>
      </c>
      <c r="BL39">
        <v>62.119</v>
      </c>
      <c r="BM39">
        <v>64.736000000000004</v>
      </c>
      <c r="BN39">
        <v>66.878</v>
      </c>
      <c r="BO39">
        <v>68.63</v>
      </c>
      <c r="BP39">
        <v>70.055999999999997</v>
      </c>
      <c r="BQ39">
        <v>71.540999999999997</v>
      </c>
      <c r="BR39">
        <v>72.700999999999993</v>
      </c>
      <c r="BS39">
        <v>73.781000000000006</v>
      </c>
      <c r="BT39">
        <v>74.606999999999999</v>
      </c>
      <c r="BU39">
        <v>75.53</v>
      </c>
      <c r="BV39">
        <v>76.677999999999997</v>
      </c>
      <c r="BW39">
        <v>78.010999999999996</v>
      </c>
      <c r="BX39">
        <v>79.156999999999996</v>
      </c>
      <c r="BY39">
        <v>80.227000000000004</v>
      </c>
      <c r="BZ39">
        <v>81.623999999999995</v>
      </c>
      <c r="CA39">
        <v>83.218999999999994</v>
      </c>
      <c r="CB39">
        <v>85.046999999999997</v>
      </c>
      <c r="CC39">
        <v>86.807000000000002</v>
      </c>
      <c r="CD39">
        <v>88.775999999999996</v>
      </c>
      <c r="CE39">
        <v>90.426000000000002</v>
      </c>
      <c r="CF39">
        <v>91.378</v>
      </c>
      <c r="CG39">
        <v>92.703000000000003</v>
      </c>
      <c r="CH39">
        <v>94.369</v>
      </c>
      <c r="CI39">
        <v>95.471999999999994</v>
      </c>
      <c r="CJ39">
        <v>96.539000000000001</v>
      </c>
      <c r="CK39">
        <v>97.518000000000001</v>
      </c>
      <c r="CL39">
        <v>98.801000000000002</v>
      </c>
      <c r="CM39">
        <v>100</v>
      </c>
      <c r="CN39">
        <v>101.60899999999999</v>
      </c>
      <c r="CO39">
        <v>103.15900000000001</v>
      </c>
      <c r="CP39">
        <v>104.50700000000001</v>
      </c>
      <c r="CQ39">
        <v>107.52</v>
      </c>
      <c r="CR39">
        <v>112.928</v>
      </c>
      <c r="CS39">
        <v>117.474</v>
      </c>
      <c r="CT39">
        <v>120.476</v>
      </c>
      <c r="CU39">
        <v>123.512</v>
      </c>
    </row>
    <row r="40" spans="1:100" ht="17">
      <c r="A40" s="55" t="s">
        <v>1085</v>
      </c>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row>
    <row r="41" spans="1:100">
      <c r="A41" s="51" t="s">
        <v>1195</v>
      </c>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row>
    <row r="42" spans="1:100">
      <c r="A42" s="51" t="s">
        <v>1196</v>
      </c>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row>
    <row r="43" spans="1:100">
      <c r="A43" s="51" t="s">
        <v>1197</v>
      </c>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c r="BU43" s="52"/>
      <c r="BV43" s="52"/>
      <c r="BW43" s="52"/>
      <c r="BX43" s="52"/>
      <c r="BY43" s="52"/>
      <c r="BZ43" s="52"/>
      <c r="CA43" s="52"/>
      <c r="CB43" s="52"/>
      <c r="CC43" s="52"/>
      <c r="CD43" s="52"/>
      <c r="CE43" s="52"/>
      <c r="CF43" s="52"/>
      <c r="CG43" s="52"/>
      <c r="CH43" s="52"/>
      <c r="CI43" s="52"/>
      <c r="CJ43" s="52"/>
      <c r="CK43" s="52"/>
      <c r="CL43" s="52"/>
      <c r="CM43" s="52"/>
      <c r="CN43" s="52"/>
      <c r="CO43" s="52"/>
      <c r="CP43" s="52"/>
      <c r="CQ43" s="52"/>
      <c r="CR43" s="52"/>
      <c r="CS43" s="52"/>
      <c r="CT43" s="52"/>
      <c r="CU43" s="52"/>
      <c r="CV43" s="52"/>
    </row>
    <row r="44" spans="1:100">
      <c r="A44" s="51" t="s">
        <v>1198</v>
      </c>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row>
    <row r="45" spans="1:100">
      <c r="A45" s="51" t="s">
        <v>1199</v>
      </c>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row>
    <row r="46" spans="1:100">
      <c r="A46" s="51" t="s">
        <v>1200</v>
      </c>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row>
  </sheetData>
  <mergeCells count="11">
    <mergeCell ref="A42:CV42"/>
    <mergeCell ref="A43:CV43"/>
    <mergeCell ref="A44:CV44"/>
    <mergeCell ref="A45:CV45"/>
    <mergeCell ref="A46:CV46"/>
    <mergeCell ref="A41:CV41"/>
    <mergeCell ref="A1:CU1"/>
    <mergeCell ref="A2:CU2"/>
    <mergeCell ref="A3:CU3"/>
    <mergeCell ref="A4:CU4"/>
    <mergeCell ref="A40:CV4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0123F-9503-2E4F-A3EA-7D748E7E259D}">
  <dimension ref="A1:CT132"/>
  <sheetViews>
    <sheetView workbookViewId="0">
      <selection sqref="A1:CX150"/>
    </sheetView>
  </sheetViews>
  <sheetFormatPr baseColWidth="10" defaultColWidth="11.5" defaultRowHeight="16"/>
  <sheetData>
    <row r="1" spans="1:98">
      <c r="A1" t="s">
        <v>1201</v>
      </c>
      <c r="C1" s="17" t="s">
        <v>1202</v>
      </c>
    </row>
    <row r="2" spans="1:98">
      <c r="C2" s="17"/>
    </row>
    <row r="3" spans="1:98">
      <c r="A3" t="s">
        <v>1203</v>
      </c>
      <c r="C3" s="17"/>
    </row>
    <row r="4" spans="1:98">
      <c r="B4">
        <v>1928</v>
      </c>
      <c r="C4" s="17">
        <v>1929</v>
      </c>
      <c r="D4">
        <v>1930</v>
      </c>
      <c r="E4" s="17">
        <v>1931</v>
      </c>
      <c r="F4">
        <v>1932</v>
      </c>
      <c r="G4" s="17">
        <v>1933</v>
      </c>
      <c r="H4">
        <v>1934</v>
      </c>
      <c r="I4" s="17">
        <v>1935</v>
      </c>
      <c r="J4">
        <v>1936</v>
      </c>
      <c r="K4" s="17">
        <v>1937</v>
      </c>
      <c r="L4">
        <v>1938</v>
      </c>
      <c r="M4" s="17">
        <v>1939</v>
      </c>
      <c r="N4">
        <v>1940</v>
      </c>
      <c r="O4" s="17">
        <v>1941</v>
      </c>
      <c r="P4">
        <v>1942</v>
      </c>
      <c r="Q4" s="17">
        <v>1943</v>
      </c>
      <c r="R4">
        <v>1944</v>
      </c>
      <c r="S4" s="17">
        <v>1945</v>
      </c>
      <c r="T4">
        <v>1946</v>
      </c>
      <c r="U4" s="17">
        <v>1947</v>
      </c>
      <c r="V4">
        <v>1948</v>
      </c>
      <c r="W4" s="17">
        <v>1949</v>
      </c>
      <c r="X4">
        <v>1950</v>
      </c>
      <c r="Y4" s="17">
        <v>1951</v>
      </c>
      <c r="Z4">
        <v>1952</v>
      </c>
      <c r="AA4" s="17">
        <v>1953</v>
      </c>
      <c r="AB4">
        <v>1954</v>
      </c>
      <c r="AC4" s="17">
        <v>1955</v>
      </c>
      <c r="AD4">
        <v>1956</v>
      </c>
      <c r="AE4" s="17">
        <v>1957</v>
      </c>
      <c r="AF4">
        <v>1958</v>
      </c>
      <c r="AG4" s="17">
        <v>1959</v>
      </c>
      <c r="AH4">
        <v>1960</v>
      </c>
      <c r="AI4" s="17">
        <v>1961</v>
      </c>
      <c r="AJ4">
        <v>1962</v>
      </c>
      <c r="AK4" s="17">
        <v>1963</v>
      </c>
      <c r="AL4">
        <v>1964</v>
      </c>
      <c r="AM4" s="17">
        <v>1965</v>
      </c>
      <c r="AN4">
        <v>1966</v>
      </c>
      <c r="AO4" s="17">
        <v>1967</v>
      </c>
      <c r="AP4">
        <v>1968</v>
      </c>
      <c r="AQ4" s="17">
        <v>1969</v>
      </c>
      <c r="AR4">
        <v>1970</v>
      </c>
      <c r="AS4" s="17">
        <v>1971</v>
      </c>
      <c r="AT4">
        <v>1972</v>
      </c>
      <c r="AU4" s="17">
        <v>1973</v>
      </c>
      <c r="AV4">
        <v>1974</v>
      </c>
      <c r="AW4" s="17">
        <v>1975</v>
      </c>
      <c r="AX4">
        <v>1976</v>
      </c>
      <c r="AY4" s="17">
        <v>1977</v>
      </c>
      <c r="AZ4">
        <v>1978</v>
      </c>
      <c r="BA4" s="17">
        <v>1979</v>
      </c>
      <c r="BB4">
        <v>1980</v>
      </c>
      <c r="BC4" s="17">
        <v>1981</v>
      </c>
      <c r="BD4">
        <v>1982</v>
      </c>
      <c r="BE4" s="17">
        <v>1983</v>
      </c>
      <c r="BF4">
        <v>1984</v>
      </c>
      <c r="BG4" s="17">
        <v>1985</v>
      </c>
      <c r="BH4">
        <v>1986</v>
      </c>
      <c r="BI4" s="17">
        <v>1987</v>
      </c>
      <c r="BJ4">
        <v>1988</v>
      </c>
      <c r="BK4" s="17">
        <v>1989</v>
      </c>
      <c r="BL4">
        <v>1990</v>
      </c>
      <c r="BM4" s="17">
        <v>1991</v>
      </c>
      <c r="BN4">
        <v>1992</v>
      </c>
      <c r="BO4" s="17">
        <v>1993</v>
      </c>
      <c r="BP4">
        <v>1994</v>
      </c>
      <c r="BQ4" s="17">
        <v>1995</v>
      </c>
      <c r="BR4">
        <v>1996</v>
      </c>
      <c r="BS4" s="17">
        <v>1997</v>
      </c>
      <c r="BT4">
        <v>1998</v>
      </c>
      <c r="BU4" s="17">
        <v>1999</v>
      </c>
      <c r="BV4">
        <v>2000</v>
      </c>
      <c r="BW4" s="17">
        <v>2001</v>
      </c>
      <c r="BX4">
        <v>2002</v>
      </c>
      <c r="BY4" s="17">
        <v>2003</v>
      </c>
      <c r="BZ4">
        <v>2004</v>
      </c>
      <c r="CA4" s="17">
        <v>2005</v>
      </c>
      <c r="CB4">
        <v>2006</v>
      </c>
      <c r="CC4" s="17">
        <v>2007</v>
      </c>
      <c r="CD4">
        <v>2008</v>
      </c>
      <c r="CE4" s="17">
        <v>2009</v>
      </c>
      <c r="CF4">
        <v>2010</v>
      </c>
      <c r="CG4" s="17">
        <v>2011</v>
      </c>
      <c r="CH4">
        <v>2012</v>
      </c>
      <c r="CI4" s="17">
        <v>2013</v>
      </c>
      <c r="CJ4">
        <v>2014</v>
      </c>
      <c r="CK4" s="17">
        <v>2015</v>
      </c>
      <c r="CL4">
        <v>2016</v>
      </c>
      <c r="CM4" s="17">
        <v>2017</v>
      </c>
      <c r="CN4">
        <v>2018</v>
      </c>
      <c r="CO4" s="17">
        <v>2019</v>
      </c>
      <c r="CP4">
        <v>2020</v>
      </c>
      <c r="CQ4" s="17">
        <v>2021</v>
      </c>
      <c r="CR4">
        <v>2022</v>
      </c>
      <c r="CS4" s="17">
        <v>2023</v>
      </c>
      <c r="CT4">
        <v>2024</v>
      </c>
    </row>
    <row r="5" spans="1:98">
      <c r="B5">
        <v>0.12</v>
      </c>
      <c r="C5">
        <v>0.11</v>
      </c>
      <c r="D5">
        <v>0.12</v>
      </c>
      <c r="E5">
        <v>0.12</v>
      </c>
      <c r="F5">
        <v>0.13750000000000001</v>
      </c>
      <c r="G5">
        <v>0.13750000000000001</v>
      </c>
      <c r="H5">
        <v>0.13750000000000001</v>
      </c>
      <c r="I5">
        <v>0.13750000000000001</v>
      </c>
      <c r="J5">
        <v>0.15</v>
      </c>
      <c r="K5">
        <v>0.15</v>
      </c>
      <c r="L5">
        <v>0.19</v>
      </c>
      <c r="M5">
        <v>0.19</v>
      </c>
      <c r="N5">
        <v>0.24</v>
      </c>
      <c r="O5">
        <v>0.31</v>
      </c>
      <c r="P5">
        <v>0.4</v>
      </c>
      <c r="Q5">
        <v>0.4</v>
      </c>
      <c r="R5">
        <v>0.4</v>
      </c>
      <c r="S5">
        <v>0.4</v>
      </c>
      <c r="T5">
        <v>0.38</v>
      </c>
      <c r="U5">
        <v>0.38</v>
      </c>
      <c r="V5">
        <v>0.38</v>
      </c>
      <c r="W5">
        <v>0.38</v>
      </c>
      <c r="X5">
        <v>0.42</v>
      </c>
      <c r="Y5">
        <v>0.50749999999999995</v>
      </c>
      <c r="Z5">
        <v>0.52</v>
      </c>
      <c r="AA5">
        <v>0.52</v>
      </c>
      <c r="AB5">
        <v>0.52</v>
      </c>
      <c r="AC5">
        <v>0.52</v>
      </c>
      <c r="AD5">
        <v>0.52</v>
      </c>
      <c r="AE5">
        <v>0.52</v>
      </c>
      <c r="AF5">
        <v>0.52</v>
      </c>
      <c r="AG5">
        <v>0.52</v>
      </c>
      <c r="AH5">
        <v>0.52</v>
      </c>
      <c r="AI5">
        <v>0.52</v>
      </c>
      <c r="AJ5">
        <v>0.52</v>
      </c>
      <c r="AK5">
        <v>0.52</v>
      </c>
      <c r="AL5">
        <v>0.5</v>
      </c>
      <c r="AM5">
        <v>0.48</v>
      </c>
      <c r="AN5">
        <v>0.48</v>
      </c>
      <c r="AO5">
        <v>0.48</v>
      </c>
      <c r="AP5">
        <v>0.52800000000000002</v>
      </c>
      <c r="AQ5">
        <v>0.52800000000000002</v>
      </c>
      <c r="AR5">
        <v>0.49199999999999999</v>
      </c>
      <c r="AS5">
        <v>0.48</v>
      </c>
      <c r="AT5">
        <v>0.48</v>
      </c>
      <c r="AU5">
        <v>0.48</v>
      </c>
      <c r="AV5">
        <v>0.48</v>
      </c>
      <c r="AW5">
        <v>0.48</v>
      </c>
      <c r="AX5">
        <v>0.48</v>
      </c>
      <c r="AY5">
        <v>0.48</v>
      </c>
      <c r="AZ5">
        <v>0.48</v>
      </c>
      <c r="BA5">
        <v>0.46</v>
      </c>
      <c r="BB5">
        <v>0.46</v>
      </c>
      <c r="BC5">
        <v>0.46</v>
      </c>
      <c r="BD5">
        <v>0.46</v>
      </c>
      <c r="BE5">
        <v>0.46</v>
      </c>
      <c r="BF5">
        <v>0.46</v>
      </c>
      <c r="BG5">
        <v>0.46</v>
      </c>
      <c r="BH5">
        <v>0.46</v>
      </c>
      <c r="BI5">
        <v>0.4</v>
      </c>
      <c r="BJ5">
        <v>0.34</v>
      </c>
      <c r="BK5">
        <v>0.34</v>
      </c>
      <c r="BL5">
        <v>0.34</v>
      </c>
      <c r="BM5">
        <v>0.34</v>
      </c>
      <c r="BN5">
        <v>0.34</v>
      </c>
      <c r="BO5">
        <v>0.35</v>
      </c>
      <c r="BP5">
        <v>0.35</v>
      </c>
      <c r="BQ5">
        <v>0.35</v>
      </c>
      <c r="BR5">
        <v>0.35</v>
      </c>
      <c r="BS5">
        <v>0.35</v>
      </c>
      <c r="BT5">
        <v>0.35</v>
      </c>
      <c r="BU5">
        <v>0.35</v>
      </c>
      <c r="BV5">
        <v>0.35</v>
      </c>
      <c r="BW5">
        <v>0.35</v>
      </c>
      <c r="BX5">
        <v>0.35</v>
      </c>
      <c r="BY5">
        <v>0.35</v>
      </c>
      <c r="BZ5">
        <v>0.35</v>
      </c>
      <c r="CA5">
        <v>0.35</v>
      </c>
      <c r="CB5">
        <v>0.35</v>
      </c>
      <c r="CC5">
        <v>0.35</v>
      </c>
      <c r="CD5">
        <v>0.35</v>
      </c>
      <c r="CE5">
        <v>0.35</v>
      </c>
      <c r="CF5">
        <v>0.35</v>
      </c>
      <c r="CG5">
        <v>0.35</v>
      </c>
      <c r="CH5">
        <v>0.35</v>
      </c>
      <c r="CI5">
        <v>0.35</v>
      </c>
      <c r="CJ5">
        <v>0.35</v>
      </c>
      <c r="CK5">
        <v>0.35</v>
      </c>
      <c r="CL5">
        <v>0.35</v>
      </c>
      <c r="CM5">
        <v>0.35</v>
      </c>
      <c r="CN5">
        <v>0.21</v>
      </c>
      <c r="CO5">
        <v>0.21</v>
      </c>
      <c r="CP5">
        <v>0.21</v>
      </c>
      <c r="CQ5">
        <v>0.21</v>
      </c>
      <c r="CR5">
        <v>0.21</v>
      </c>
      <c r="CS5">
        <v>0.21</v>
      </c>
      <c r="CT5">
        <f>0.21</f>
        <v>0.21</v>
      </c>
    </row>
    <row r="6" spans="1:98">
      <c r="C6" s="17"/>
    </row>
    <row r="9" spans="1:98">
      <c r="A9" s="57" t="s">
        <v>1204</v>
      </c>
      <c r="B9" s="52"/>
      <c r="C9" s="52"/>
      <c r="D9" s="52"/>
    </row>
    <row r="10" spans="1:98">
      <c r="A10" s="12" t="s">
        <v>1205</v>
      </c>
      <c r="B10" s="12" t="s">
        <v>1206</v>
      </c>
      <c r="C10" s="12" t="s">
        <v>1207</v>
      </c>
      <c r="D10" s="12" t="s">
        <v>1208</v>
      </c>
    </row>
    <row r="11" spans="1:98">
      <c r="A11" t="s">
        <v>1209</v>
      </c>
      <c r="B11" t="s">
        <v>1210</v>
      </c>
      <c r="C11" s="18">
        <v>0.21</v>
      </c>
      <c r="D11" t="s">
        <v>1211</v>
      </c>
    </row>
    <row r="12" spans="1:98">
      <c r="A12" t="s">
        <v>1212</v>
      </c>
      <c r="B12" t="s">
        <v>1213</v>
      </c>
      <c r="C12" s="18">
        <v>0.15</v>
      </c>
      <c r="D12" t="s">
        <v>1214</v>
      </c>
    </row>
    <row r="13" spans="1:98">
      <c r="A13" t="s">
        <v>1212</v>
      </c>
      <c r="B13" t="s">
        <v>1215</v>
      </c>
      <c r="C13" s="18">
        <v>0.25</v>
      </c>
    </row>
    <row r="14" spans="1:98">
      <c r="A14" t="s">
        <v>1212</v>
      </c>
      <c r="B14" t="s">
        <v>1216</v>
      </c>
      <c r="C14" s="18">
        <v>0.34</v>
      </c>
    </row>
    <row r="15" spans="1:98">
      <c r="A15" t="s">
        <v>1212</v>
      </c>
      <c r="B15" t="s">
        <v>1217</v>
      </c>
      <c r="C15" s="18">
        <v>0.39</v>
      </c>
    </row>
    <row r="16" spans="1:98">
      <c r="A16" t="s">
        <v>1212</v>
      </c>
      <c r="B16" t="s">
        <v>1218</v>
      </c>
      <c r="C16" s="18">
        <v>0.34</v>
      </c>
    </row>
    <row r="17" spans="1:4">
      <c r="A17" t="s">
        <v>1212</v>
      </c>
      <c r="B17" t="s">
        <v>1219</v>
      </c>
      <c r="C17" s="18">
        <v>0.35</v>
      </c>
    </row>
    <row r="18" spans="1:4">
      <c r="A18" t="s">
        <v>1212</v>
      </c>
      <c r="B18" t="s">
        <v>1220</v>
      </c>
      <c r="C18" s="18">
        <v>0.38</v>
      </c>
    </row>
    <row r="19" spans="1:4">
      <c r="A19" t="s">
        <v>1212</v>
      </c>
      <c r="B19" t="s">
        <v>1221</v>
      </c>
      <c r="C19" s="18">
        <v>0.35</v>
      </c>
    </row>
    <row r="20" spans="1:4">
      <c r="A20" t="s">
        <v>1222</v>
      </c>
      <c r="B20" t="s">
        <v>1213</v>
      </c>
      <c r="C20" s="18">
        <v>0.15</v>
      </c>
    </row>
    <row r="21" spans="1:4">
      <c r="A21" t="s">
        <v>1222</v>
      </c>
      <c r="B21" t="s">
        <v>1215</v>
      </c>
      <c r="C21" s="18">
        <v>0.25</v>
      </c>
    </row>
    <row r="22" spans="1:4">
      <c r="A22" t="s">
        <v>1222</v>
      </c>
      <c r="B22" t="s">
        <v>1216</v>
      </c>
      <c r="C22" s="18">
        <v>0.34</v>
      </c>
    </row>
    <row r="23" spans="1:4">
      <c r="A23" t="s">
        <v>1222</v>
      </c>
      <c r="B23" t="s">
        <v>1217</v>
      </c>
      <c r="C23" s="18">
        <v>0.39</v>
      </c>
    </row>
    <row r="24" spans="1:4">
      <c r="A24" t="s">
        <v>1222</v>
      </c>
      <c r="B24" t="s">
        <v>1223</v>
      </c>
      <c r="C24" s="18">
        <v>0.34</v>
      </c>
    </row>
    <row r="25" spans="1:4">
      <c r="A25" s="16">
        <v>1987</v>
      </c>
      <c r="B25" t="s">
        <v>1224</v>
      </c>
      <c r="C25" s="18">
        <v>0.15</v>
      </c>
      <c r="D25" t="s">
        <v>1225</v>
      </c>
    </row>
    <row r="26" spans="1:4">
      <c r="A26" s="16">
        <v>1987</v>
      </c>
      <c r="B26" t="s">
        <v>1226</v>
      </c>
      <c r="C26" s="19">
        <v>0.16500000000000001</v>
      </c>
      <c r="D26" t="s">
        <v>1227</v>
      </c>
    </row>
    <row r="27" spans="1:4">
      <c r="A27" s="16">
        <v>1987</v>
      </c>
      <c r="B27" t="s">
        <v>1215</v>
      </c>
      <c r="C27" s="19">
        <v>0.27500000000000002</v>
      </c>
    </row>
    <row r="28" spans="1:4">
      <c r="A28" s="16">
        <v>1987</v>
      </c>
      <c r="B28" t="s">
        <v>1216</v>
      </c>
      <c r="C28" s="18">
        <v>0.37</v>
      </c>
      <c r="D28" t="s">
        <v>1228</v>
      </c>
    </row>
    <row r="29" spans="1:4">
      <c r="A29" s="16">
        <v>1987</v>
      </c>
      <c r="B29" t="s">
        <v>1217</v>
      </c>
      <c r="C29" s="19">
        <v>0.42499999999999999</v>
      </c>
    </row>
    <row r="30" spans="1:4">
      <c r="A30" s="16">
        <v>1987</v>
      </c>
      <c r="B30" t="s">
        <v>1229</v>
      </c>
      <c r="C30" s="18">
        <v>0.4</v>
      </c>
    </row>
    <row r="31" spans="1:4">
      <c r="A31" s="16">
        <v>1987</v>
      </c>
      <c r="B31" t="s">
        <v>1230</v>
      </c>
      <c r="C31" s="19">
        <v>0.42499999999999999</v>
      </c>
    </row>
    <row r="32" spans="1:4">
      <c r="A32" s="16">
        <v>1987</v>
      </c>
      <c r="B32" t="s">
        <v>1231</v>
      </c>
      <c r="C32" s="18">
        <v>0.4</v>
      </c>
    </row>
    <row r="33" spans="1:4">
      <c r="A33" t="s">
        <v>1232</v>
      </c>
      <c r="B33" t="s">
        <v>1224</v>
      </c>
      <c r="C33" s="18">
        <v>0.15</v>
      </c>
    </row>
    <row r="34" spans="1:4">
      <c r="A34" t="s">
        <v>1232</v>
      </c>
      <c r="B34" t="s">
        <v>1226</v>
      </c>
      <c r="C34" s="18">
        <v>0.18</v>
      </c>
    </row>
    <row r="35" spans="1:4">
      <c r="A35" t="s">
        <v>1232</v>
      </c>
      <c r="B35" t="s">
        <v>1215</v>
      </c>
      <c r="C35" s="18">
        <v>0.3</v>
      </c>
      <c r="D35" t="s">
        <v>1233</v>
      </c>
    </row>
    <row r="36" spans="1:4">
      <c r="A36" t="s">
        <v>1232</v>
      </c>
      <c r="B36" t="s">
        <v>1216</v>
      </c>
      <c r="C36" s="18">
        <v>0.4</v>
      </c>
    </row>
    <row r="37" spans="1:4">
      <c r="A37" t="s">
        <v>1232</v>
      </c>
      <c r="B37" t="s">
        <v>1234</v>
      </c>
      <c r="C37" s="18">
        <v>0.46</v>
      </c>
    </row>
    <row r="38" spans="1:4">
      <c r="A38" t="s">
        <v>1232</v>
      </c>
      <c r="B38" t="s">
        <v>1230</v>
      </c>
      <c r="C38" s="18">
        <v>0.51</v>
      </c>
    </row>
    <row r="39" spans="1:4">
      <c r="A39" t="s">
        <v>1232</v>
      </c>
      <c r="B39" t="s">
        <v>1231</v>
      </c>
      <c r="C39" s="18">
        <v>0.46</v>
      </c>
    </row>
    <row r="40" spans="1:4">
      <c r="A40" s="16">
        <v>1983</v>
      </c>
      <c r="B40" t="s">
        <v>1224</v>
      </c>
      <c r="C40" s="18">
        <v>0.15</v>
      </c>
      <c r="D40" t="s">
        <v>1235</v>
      </c>
    </row>
    <row r="41" spans="1:4">
      <c r="A41" s="16">
        <v>1983</v>
      </c>
      <c r="B41" t="s">
        <v>1226</v>
      </c>
      <c r="C41" s="18">
        <v>0.18</v>
      </c>
    </row>
    <row r="42" spans="1:4">
      <c r="A42" s="16">
        <v>1983</v>
      </c>
      <c r="B42" t="s">
        <v>1215</v>
      </c>
      <c r="C42" s="18">
        <v>0.3</v>
      </c>
      <c r="D42" t="s">
        <v>1233</v>
      </c>
    </row>
    <row r="43" spans="1:4">
      <c r="A43" s="16">
        <v>1983</v>
      </c>
      <c r="B43" t="s">
        <v>1216</v>
      </c>
      <c r="C43" s="18">
        <v>0.4</v>
      </c>
    </row>
    <row r="44" spans="1:4">
      <c r="A44" s="16">
        <v>1983</v>
      </c>
      <c r="B44" t="s">
        <v>1236</v>
      </c>
      <c r="C44" s="18">
        <v>0.46</v>
      </c>
    </row>
    <row r="45" spans="1:4">
      <c r="A45" s="16">
        <v>1982</v>
      </c>
      <c r="B45" t="s">
        <v>1224</v>
      </c>
      <c r="C45" s="18">
        <v>0.16</v>
      </c>
    </row>
    <row r="46" spans="1:4">
      <c r="A46" s="16">
        <v>1982</v>
      </c>
      <c r="B46" t="s">
        <v>1226</v>
      </c>
      <c r="C46" s="18">
        <v>0.19</v>
      </c>
    </row>
    <row r="47" spans="1:4">
      <c r="A47" s="16">
        <v>1982</v>
      </c>
      <c r="B47" t="s">
        <v>1215</v>
      </c>
      <c r="C47" s="18">
        <v>0.3</v>
      </c>
      <c r="D47" t="s">
        <v>1233</v>
      </c>
    </row>
    <row r="48" spans="1:4">
      <c r="A48" s="16">
        <v>1982</v>
      </c>
      <c r="B48" t="s">
        <v>1216</v>
      </c>
      <c r="C48" s="18">
        <v>0.4</v>
      </c>
    </row>
    <row r="49" spans="1:4">
      <c r="A49" s="16">
        <v>1982</v>
      </c>
      <c r="B49" t="s">
        <v>1236</v>
      </c>
      <c r="C49" s="18">
        <v>0.46</v>
      </c>
    </row>
    <row r="50" spans="1:4">
      <c r="A50" t="s">
        <v>1237</v>
      </c>
      <c r="B50" t="s">
        <v>1224</v>
      </c>
      <c r="C50" s="18">
        <v>0.17</v>
      </c>
    </row>
    <row r="51" spans="1:4">
      <c r="A51" t="s">
        <v>1237</v>
      </c>
      <c r="B51" t="s">
        <v>1226</v>
      </c>
      <c r="C51" s="18">
        <v>0.2</v>
      </c>
    </row>
    <row r="52" spans="1:4">
      <c r="A52" t="s">
        <v>1237</v>
      </c>
      <c r="B52" t="s">
        <v>1215</v>
      </c>
      <c r="C52" s="18">
        <v>0.3</v>
      </c>
      <c r="D52" t="s">
        <v>1233</v>
      </c>
    </row>
    <row r="53" spans="1:4">
      <c r="A53" t="s">
        <v>1237</v>
      </c>
      <c r="B53" t="s">
        <v>1216</v>
      </c>
      <c r="C53" s="18">
        <v>0.4</v>
      </c>
    </row>
    <row r="54" spans="1:4">
      <c r="A54" t="s">
        <v>1237</v>
      </c>
      <c r="B54" t="s">
        <v>1236</v>
      </c>
      <c r="C54" s="18">
        <v>0.46</v>
      </c>
    </row>
    <row r="55" spans="1:4">
      <c r="A55" t="s">
        <v>1238</v>
      </c>
      <c r="B55" t="s">
        <v>1224</v>
      </c>
      <c r="C55" s="18">
        <v>0.2</v>
      </c>
    </row>
    <row r="56" spans="1:4">
      <c r="A56" t="s">
        <v>1238</v>
      </c>
      <c r="B56" t="s">
        <v>1226</v>
      </c>
      <c r="C56" s="18">
        <v>0.22</v>
      </c>
    </row>
    <row r="57" spans="1:4">
      <c r="A57" t="s">
        <v>1238</v>
      </c>
      <c r="B57" t="s">
        <v>1239</v>
      </c>
      <c r="C57" s="18">
        <v>0.48</v>
      </c>
      <c r="D57" t="s">
        <v>1240</v>
      </c>
    </row>
    <row r="58" spans="1:4">
      <c r="A58" t="s">
        <v>1241</v>
      </c>
      <c r="B58" t="s">
        <v>1224</v>
      </c>
      <c r="C58" s="18">
        <v>0.22</v>
      </c>
    </row>
    <row r="59" spans="1:4">
      <c r="A59" t="s">
        <v>1241</v>
      </c>
      <c r="B59" t="s">
        <v>1242</v>
      </c>
      <c r="C59" s="18">
        <v>0.48</v>
      </c>
      <c r="D59" t="s">
        <v>1243</v>
      </c>
    </row>
    <row r="60" spans="1:4">
      <c r="A60" s="16">
        <v>1970</v>
      </c>
      <c r="B60" t="s">
        <v>1224</v>
      </c>
      <c r="C60" s="18">
        <v>0.22550000000000001</v>
      </c>
      <c r="D60" t="s">
        <v>1244</v>
      </c>
    </row>
    <row r="61" spans="1:4">
      <c r="A61" s="16">
        <v>1970</v>
      </c>
      <c r="B61" t="s">
        <v>1242</v>
      </c>
      <c r="C61" s="19">
        <v>0.49200000000000005</v>
      </c>
      <c r="D61" t="s">
        <v>1245</v>
      </c>
    </row>
    <row r="62" spans="1:4">
      <c r="A62" t="s">
        <v>1246</v>
      </c>
      <c r="B62" t="s">
        <v>1224</v>
      </c>
      <c r="C62" s="19">
        <v>0.24199999999999999</v>
      </c>
      <c r="D62" t="s">
        <v>1247</v>
      </c>
    </row>
    <row r="63" spans="1:4">
      <c r="A63" t="s">
        <v>1246</v>
      </c>
      <c r="B63" t="s">
        <v>1242</v>
      </c>
      <c r="C63" s="19">
        <v>0.52800000000000002</v>
      </c>
      <c r="D63" t="s">
        <v>1248</v>
      </c>
    </row>
    <row r="64" spans="1:4">
      <c r="A64" t="s">
        <v>1249</v>
      </c>
      <c r="B64" t="s">
        <v>1224</v>
      </c>
      <c r="C64" s="18">
        <v>0.22</v>
      </c>
    </row>
    <row r="65" spans="1:4">
      <c r="A65" t="s">
        <v>1249</v>
      </c>
      <c r="B65" t="s">
        <v>1242</v>
      </c>
      <c r="C65" s="18">
        <v>0.48</v>
      </c>
    </row>
    <row r="66" spans="1:4">
      <c r="A66" s="16">
        <v>1964</v>
      </c>
      <c r="B66" t="s">
        <v>1224</v>
      </c>
      <c r="C66" s="18">
        <v>0.22</v>
      </c>
    </row>
    <row r="67" spans="1:4">
      <c r="A67" s="16">
        <v>1964</v>
      </c>
      <c r="B67" t="s">
        <v>1242</v>
      </c>
      <c r="C67" s="18">
        <v>0.5</v>
      </c>
    </row>
    <row r="68" spans="1:4">
      <c r="A68" t="s">
        <v>1250</v>
      </c>
      <c r="B68" t="s">
        <v>1224</v>
      </c>
      <c r="C68" s="18">
        <v>0.3</v>
      </c>
      <c r="D68" t="s">
        <v>1251</v>
      </c>
    </row>
    <row r="69" spans="1:4">
      <c r="A69" t="s">
        <v>1250</v>
      </c>
      <c r="B69" t="s">
        <v>1242</v>
      </c>
      <c r="C69" s="18">
        <v>0.52</v>
      </c>
    </row>
    <row r="70" spans="1:4">
      <c r="A70" s="16">
        <v>1951</v>
      </c>
      <c r="B70" t="s">
        <v>1224</v>
      </c>
      <c r="C70" s="18">
        <v>0.28749999999999998</v>
      </c>
      <c r="D70" t="s">
        <v>1252</v>
      </c>
    </row>
    <row r="71" spans="1:4">
      <c r="A71" s="16">
        <v>1951</v>
      </c>
      <c r="B71" t="s">
        <v>1242</v>
      </c>
      <c r="C71" s="18">
        <v>0.50749999999999995</v>
      </c>
    </row>
    <row r="72" spans="1:4">
      <c r="A72" s="16">
        <v>1950</v>
      </c>
      <c r="B72" t="s">
        <v>1224</v>
      </c>
      <c r="C72" s="18">
        <v>0.23</v>
      </c>
      <c r="D72" t="s">
        <v>1253</v>
      </c>
    </row>
    <row r="73" spans="1:4">
      <c r="A73" s="16">
        <v>1950</v>
      </c>
      <c r="B73" t="s">
        <v>1242</v>
      </c>
      <c r="C73" s="18">
        <v>0.42</v>
      </c>
      <c r="D73" t="s">
        <v>1254</v>
      </c>
    </row>
    <row r="74" spans="1:4">
      <c r="A74" t="s">
        <v>1255</v>
      </c>
      <c r="B74" t="s">
        <v>1256</v>
      </c>
      <c r="D74" t="s">
        <v>1257</v>
      </c>
    </row>
    <row r="75" spans="1:4">
      <c r="A75" t="s">
        <v>1255</v>
      </c>
      <c r="B75" t="s">
        <v>1258</v>
      </c>
      <c r="C75" s="18">
        <v>0.21</v>
      </c>
    </row>
    <row r="76" spans="1:4">
      <c r="A76" t="s">
        <v>1255</v>
      </c>
      <c r="B76" t="s">
        <v>1259</v>
      </c>
      <c r="C76" s="18">
        <v>0.23</v>
      </c>
    </row>
    <row r="77" spans="1:4">
      <c r="A77" t="s">
        <v>1255</v>
      </c>
      <c r="B77" t="s">
        <v>1260</v>
      </c>
      <c r="C77" s="18">
        <v>0.25</v>
      </c>
    </row>
    <row r="78" spans="1:4">
      <c r="A78" t="s">
        <v>1255</v>
      </c>
      <c r="B78" t="s">
        <v>1261</v>
      </c>
      <c r="C78" s="18">
        <v>0.53</v>
      </c>
      <c r="D78" t="s">
        <v>1254</v>
      </c>
    </row>
    <row r="79" spans="1:4">
      <c r="A79" t="s">
        <v>1255</v>
      </c>
      <c r="B79" t="s">
        <v>1262</v>
      </c>
      <c r="C79" s="18">
        <v>0.38</v>
      </c>
    </row>
    <row r="80" spans="1:4">
      <c r="A80" t="s">
        <v>1263</v>
      </c>
      <c r="B80" t="s">
        <v>1256</v>
      </c>
      <c r="D80" t="s">
        <v>1257</v>
      </c>
    </row>
    <row r="81" spans="1:4">
      <c r="A81" t="s">
        <v>1263</v>
      </c>
      <c r="B81" t="s">
        <v>1258</v>
      </c>
      <c r="C81" s="18">
        <v>0.25</v>
      </c>
    </row>
    <row r="82" spans="1:4">
      <c r="A82" t="s">
        <v>1263</v>
      </c>
      <c r="B82" t="s">
        <v>1259</v>
      </c>
      <c r="C82" s="18">
        <v>0.27</v>
      </c>
      <c r="D82" t="s">
        <v>1254</v>
      </c>
    </row>
    <row r="83" spans="1:4">
      <c r="A83" t="s">
        <v>1263</v>
      </c>
      <c r="B83" t="s">
        <v>1260</v>
      </c>
      <c r="C83" s="18">
        <v>0.28999999999999998</v>
      </c>
    </row>
    <row r="84" spans="1:4">
      <c r="A84" t="s">
        <v>1263</v>
      </c>
      <c r="B84" t="s">
        <v>1261</v>
      </c>
      <c r="C84" s="18">
        <v>0.53</v>
      </c>
    </row>
    <row r="85" spans="1:4">
      <c r="A85" t="s">
        <v>1263</v>
      </c>
      <c r="B85" t="s">
        <v>1262</v>
      </c>
      <c r="C85" s="18">
        <v>0.4</v>
      </c>
    </row>
    <row r="86" spans="1:4">
      <c r="A86" s="16">
        <v>1941</v>
      </c>
      <c r="B86" t="s">
        <v>1264</v>
      </c>
      <c r="D86" t="s">
        <v>1257</v>
      </c>
    </row>
    <row r="87" spans="1:4">
      <c r="A87" s="16">
        <v>1941</v>
      </c>
      <c r="B87" t="s">
        <v>1258</v>
      </c>
      <c r="C87" s="18">
        <v>0.21</v>
      </c>
    </row>
    <row r="88" spans="1:4">
      <c r="A88" s="16">
        <v>1941</v>
      </c>
      <c r="B88" t="s">
        <v>1259</v>
      </c>
      <c r="C88" s="18">
        <v>0.23</v>
      </c>
    </row>
    <row r="89" spans="1:4">
      <c r="A89" s="16">
        <v>1941</v>
      </c>
      <c r="B89" t="s">
        <v>1260</v>
      </c>
      <c r="C89" s="18">
        <v>0.25</v>
      </c>
    </row>
    <row r="90" spans="1:4">
      <c r="A90" s="16">
        <v>1941</v>
      </c>
      <c r="B90" t="s">
        <v>1265</v>
      </c>
      <c r="C90" s="18">
        <v>0.44</v>
      </c>
    </row>
    <row r="91" spans="1:4">
      <c r="A91" s="16">
        <v>1941</v>
      </c>
      <c r="B91" t="s">
        <v>1266</v>
      </c>
      <c r="C91" s="18">
        <v>0.31</v>
      </c>
    </row>
    <row r="92" spans="1:4">
      <c r="A92" s="16">
        <v>1940</v>
      </c>
      <c r="B92" t="s">
        <v>1267</v>
      </c>
      <c r="D92" t="s">
        <v>1268</v>
      </c>
    </row>
    <row r="93" spans="1:4">
      <c r="A93" s="16">
        <v>1940</v>
      </c>
      <c r="B93" t="s">
        <v>1258</v>
      </c>
      <c r="C93" s="18">
        <v>0.14849999999999999</v>
      </c>
      <c r="D93" t="s">
        <v>1269</v>
      </c>
    </row>
    <row r="94" spans="1:4">
      <c r="A94" s="16">
        <v>1940</v>
      </c>
      <c r="B94" t="s">
        <v>1259</v>
      </c>
      <c r="C94" s="19">
        <v>0.16500000000000001</v>
      </c>
    </row>
    <row r="95" spans="1:4">
      <c r="A95" s="16">
        <v>1940</v>
      </c>
      <c r="B95" t="s">
        <v>1260</v>
      </c>
      <c r="C95" s="19">
        <v>0.187</v>
      </c>
    </row>
    <row r="96" spans="1:4">
      <c r="A96" s="16">
        <v>1940</v>
      </c>
      <c r="B96" t="s">
        <v>1270</v>
      </c>
      <c r="C96" s="19">
        <v>0.38299999999999995</v>
      </c>
    </row>
    <row r="97" spans="1:4">
      <c r="A97" s="16">
        <v>1940</v>
      </c>
      <c r="B97" t="s">
        <v>1271</v>
      </c>
    </row>
    <row r="98" spans="1:4">
      <c r="A98" s="16">
        <v>1940</v>
      </c>
      <c r="B98" t="s">
        <v>1258</v>
      </c>
      <c r="C98" s="19">
        <v>0.154</v>
      </c>
    </row>
    <row r="99" spans="1:4">
      <c r="A99" s="16">
        <v>1940</v>
      </c>
      <c r="B99" t="s">
        <v>1259</v>
      </c>
      <c r="C99" s="19">
        <v>0.16899999999999998</v>
      </c>
    </row>
    <row r="100" spans="1:4">
      <c r="A100" s="16">
        <v>1940</v>
      </c>
      <c r="B100" t="s">
        <v>1260</v>
      </c>
      <c r="C100" s="19">
        <v>0.18899999999999997</v>
      </c>
    </row>
    <row r="101" spans="1:4">
      <c r="A101" s="16">
        <v>1940</v>
      </c>
      <c r="B101" t="s">
        <v>1272</v>
      </c>
      <c r="C101" s="19">
        <v>0.36899999999999999</v>
      </c>
    </row>
    <row r="102" spans="1:4">
      <c r="A102" s="16">
        <v>1940</v>
      </c>
      <c r="B102" t="s">
        <v>1273</v>
      </c>
      <c r="C102" s="18">
        <v>0.24</v>
      </c>
    </row>
    <row r="103" spans="1:4">
      <c r="A103" t="s">
        <v>1274</v>
      </c>
      <c r="B103" t="s">
        <v>1275</v>
      </c>
    </row>
    <row r="104" spans="1:4">
      <c r="A104" t="s">
        <v>1274</v>
      </c>
      <c r="B104" t="s">
        <v>1258</v>
      </c>
      <c r="C104" s="19">
        <v>0.125</v>
      </c>
    </row>
    <row r="105" spans="1:4">
      <c r="A105" t="s">
        <v>1274</v>
      </c>
      <c r="B105" t="s">
        <v>1259</v>
      </c>
      <c r="C105" s="18">
        <v>0.14000000000000001</v>
      </c>
    </row>
    <row r="106" spans="1:4">
      <c r="A106" t="s">
        <v>1274</v>
      </c>
      <c r="B106" t="s">
        <v>1260</v>
      </c>
      <c r="C106" s="18">
        <v>0.16</v>
      </c>
    </row>
    <row r="107" spans="1:4">
      <c r="A107" t="s">
        <v>1274</v>
      </c>
      <c r="B107" t="s">
        <v>1276</v>
      </c>
      <c r="C107" s="18">
        <v>0.19</v>
      </c>
    </row>
    <row r="108" spans="1:4">
      <c r="A108" t="s">
        <v>1277</v>
      </c>
      <c r="B108" t="s">
        <v>1278</v>
      </c>
      <c r="C108" s="18">
        <v>0.08</v>
      </c>
      <c r="D108" t="s">
        <v>1279</v>
      </c>
    </row>
    <row r="109" spans="1:4">
      <c r="A109" t="s">
        <v>1277</v>
      </c>
      <c r="B109" t="s">
        <v>1280</v>
      </c>
      <c r="C109" s="18">
        <v>0.11</v>
      </c>
    </row>
    <row r="110" spans="1:4">
      <c r="A110" t="s">
        <v>1277</v>
      </c>
      <c r="B110" t="s">
        <v>1281</v>
      </c>
      <c r="C110" s="18">
        <v>0.13</v>
      </c>
    </row>
    <row r="111" spans="1:4">
      <c r="A111" t="s">
        <v>1277</v>
      </c>
      <c r="B111" t="s">
        <v>1282</v>
      </c>
      <c r="C111" s="18">
        <v>0.15</v>
      </c>
    </row>
    <row r="112" spans="1:4">
      <c r="A112" t="s">
        <v>1283</v>
      </c>
      <c r="B112" t="s">
        <v>1210</v>
      </c>
      <c r="C112" s="18">
        <v>0.13750000000000001</v>
      </c>
      <c r="D112" t="s">
        <v>1284</v>
      </c>
    </row>
    <row r="113" spans="1:3">
      <c r="A113" t="s">
        <v>1285</v>
      </c>
      <c r="B113" t="s">
        <v>1286</v>
      </c>
      <c r="C113" s="18">
        <v>0</v>
      </c>
    </row>
    <row r="114" spans="1:3">
      <c r="A114" t="s">
        <v>1285</v>
      </c>
      <c r="B114" t="s">
        <v>1287</v>
      </c>
      <c r="C114" s="18">
        <v>0.12</v>
      </c>
    </row>
    <row r="115" spans="1:3">
      <c r="A115" s="16">
        <v>1929</v>
      </c>
      <c r="B115" t="s">
        <v>1286</v>
      </c>
      <c r="C115" s="18">
        <v>0</v>
      </c>
    </row>
    <row r="116" spans="1:3">
      <c r="A116" s="16">
        <v>1929</v>
      </c>
      <c r="B116" t="s">
        <v>1287</v>
      </c>
      <c r="C116" s="18">
        <v>0.11</v>
      </c>
    </row>
    <row r="117" spans="1:3">
      <c r="A117" s="16">
        <v>1928</v>
      </c>
      <c r="B117" t="s">
        <v>1286</v>
      </c>
      <c r="C117" s="18">
        <v>0</v>
      </c>
    </row>
    <row r="118" spans="1:3">
      <c r="A118" s="16">
        <v>1928</v>
      </c>
      <c r="B118" t="s">
        <v>1287</v>
      </c>
      <c r="C118" s="18">
        <v>0.12</v>
      </c>
    </row>
    <row r="119" spans="1:3">
      <c r="A119" t="s">
        <v>1288</v>
      </c>
      <c r="B119" t="s">
        <v>1278</v>
      </c>
      <c r="C119" s="18">
        <v>0</v>
      </c>
    </row>
    <row r="120" spans="1:3">
      <c r="A120" t="s">
        <v>1288</v>
      </c>
      <c r="B120" t="s">
        <v>1289</v>
      </c>
      <c r="C120" s="19">
        <v>0.13500000000000001</v>
      </c>
    </row>
    <row r="121" spans="1:3">
      <c r="A121" s="16">
        <v>1925</v>
      </c>
      <c r="B121" t="s">
        <v>1278</v>
      </c>
      <c r="C121" s="18">
        <v>0</v>
      </c>
    </row>
    <row r="122" spans="1:3">
      <c r="A122" s="16">
        <v>1925</v>
      </c>
      <c r="B122" t="s">
        <v>1289</v>
      </c>
      <c r="C122" s="18">
        <v>0.13</v>
      </c>
    </row>
    <row r="123" spans="1:3">
      <c r="A123" t="s">
        <v>1290</v>
      </c>
      <c r="B123" t="s">
        <v>1278</v>
      </c>
      <c r="C123" s="18">
        <v>0</v>
      </c>
    </row>
    <row r="124" spans="1:3">
      <c r="A124" t="s">
        <v>1290</v>
      </c>
      <c r="B124" t="s">
        <v>1289</v>
      </c>
      <c r="C124" s="19">
        <v>0.125</v>
      </c>
    </row>
    <row r="125" spans="1:3">
      <c r="A125" t="s">
        <v>1291</v>
      </c>
      <c r="B125" t="s">
        <v>1278</v>
      </c>
      <c r="C125" s="18">
        <v>0</v>
      </c>
    </row>
    <row r="126" spans="1:3">
      <c r="A126" t="s">
        <v>1291</v>
      </c>
      <c r="B126" t="s">
        <v>1289</v>
      </c>
      <c r="C126" s="18">
        <v>0.1</v>
      </c>
    </row>
    <row r="127" spans="1:3">
      <c r="A127" s="16">
        <v>1918</v>
      </c>
      <c r="B127" t="s">
        <v>1278</v>
      </c>
      <c r="C127" s="18">
        <v>0</v>
      </c>
    </row>
    <row r="128" spans="1:3">
      <c r="A128" s="16">
        <v>1918</v>
      </c>
      <c r="B128" t="s">
        <v>1289</v>
      </c>
      <c r="C128" s="18">
        <v>0.12</v>
      </c>
    </row>
    <row r="129" spans="1:4">
      <c r="A129" s="16">
        <v>1917</v>
      </c>
      <c r="B129" t="s">
        <v>1210</v>
      </c>
      <c r="C129" s="18">
        <v>0.06</v>
      </c>
      <c r="D129" t="s">
        <v>1292</v>
      </c>
    </row>
    <row r="130" spans="1:4">
      <c r="A130" s="16">
        <v>1916</v>
      </c>
      <c r="B130" t="s">
        <v>1210</v>
      </c>
      <c r="C130" s="18">
        <v>0.02</v>
      </c>
    </row>
    <row r="131" spans="1:4">
      <c r="A131" t="s">
        <v>1293</v>
      </c>
      <c r="B131" t="s">
        <v>1210</v>
      </c>
      <c r="C131" s="18">
        <v>0.01</v>
      </c>
    </row>
    <row r="132" spans="1:4">
      <c r="A132" t="s">
        <v>1294</v>
      </c>
      <c r="B132" t="s">
        <v>1258</v>
      </c>
      <c r="C132" s="18">
        <v>0</v>
      </c>
    </row>
  </sheetData>
  <mergeCells count="1">
    <mergeCell ref="A9:D9"/>
  </mergeCells>
  <hyperlinks>
    <hyperlink ref="C1" r:id="rId1" xr:uid="{EBF0D0D7-E3D9-1541-943B-4A56033B15D1}"/>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CEC65-6B22-1044-9304-56871B475592}">
  <dimension ref="A1:CT5"/>
  <sheetViews>
    <sheetView workbookViewId="0">
      <selection activeCell="C2" sqref="C2"/>
    </sheetView>
  </sheetViews>
  <sheetFormatPr baseColWidth="10" defaultColWidth="11.5" defaultRowHeight="16"/>
  <sheetData>
    <row r="1" spans="1:98">
      <c r="A1" t="s">
        <v>1580</v>
      </c>
      <c r="C1" t="s">
        <v>1581</v>
      </c>
    </row>
    <row r="2" spans="1:98">
      <c r="C2" t="s">
        <v>1582</v>
      </c>
    </row>
    <row r="4" spans="1:98">
      <c r="B4">
        <v>1928</v>
      </c>
      <c r="C4">
        <v>1929</v>
      </c>
      <c r="D4">
        <v>1930</v>
      </c>
      <c r="E4">
        <v>1931</v>
      </c>
      <c r="F4">
        <v>1932</v>
      </c>
      <c r="G4">
        <v>1933</v>
      </c>
      <c r="H4">
        <v>1934</v>
      </c>
      <c r="I4">
        <v>1935</v>
      </c>
      <c r="J4">
        <v>1936</v>
      </c>
      <c r="K4">
        <v>1937</v>
      </c>
      <c r="L4">
        <v>1938</v>
      </c>
      <c r="M4">
        <v>1939</v>
      </c>
      <c r="N4">
        <v>1940</v>
      </c>
      <c r="O4">
        <v>1941</v>
      </c>
      <c r="P4">
        <v>1942</v>
      </c>
      <c r="Q4">
        <v>1943</v>
      </c>
      <c r="R4">
        <v>1944</v>
      </c>
      <c r="S4">
        <v>1945</v>
      </c>
      <c r="T4">
        <v>1946</v>
      </c>
      <c r="U4">
        <v>1947</v>
      </c>
      <c r="V4">
        <v>1948</v>
      </c>
      <c r="W4">
        <v>1949</v>
      </c>
      <c r="X4">
        <v>1950</v>
      </c>
      <c r="Y4">
        <v>1951</v>
      </c>
      <c r="Z4">
        <v>1952</v>
      </c>
      <c r="AA4">
        <v>1953</v>
      </c>
      <c r="AB4">
        <v>1954</v>
      </c>
      <c r="AC4">
        <v>1955</v>
      </c>
      <c r="AD4">
        <v>1956</v>
      </c>
      <c r="AE4">
        <v>1957</v>
      </c>
      <c r="AF4">
        <v>1958</v>
      </c>
      <c r="AG4">
        <v>1959</v>
      </c>
      <c r="AH4">
        <v>1960</v>
      </c>
      <c r="AI4">
        <v>1961</v>
      </c>
      <c r="AJ4">
        <v>1962</v>
      </c>
      <c r="AK4">
        <v>1963</v>
      </c>
      <c r="AL4">
        <v>1964</v>
      </c>
      <c r="AM4">
        <v>1965</v>
      </c>
      <c r="AN4">
        <v>1966</v>
      </c>
      <c r="AO4">
        <v>1967</v>
      </c>
      <c r="AP4">
        <v>1968</v>
      </c>
      <c r="AQ4">
        <v>1969</v>
      </c>
      <c r="AR4">
        <v>1970</v>
      </c>
      <c r="AS4">
        <v>1971</v>
      </c>
      <c r="AT4">
        <v>1972</v>
      </c>
      <c r="AU4">
        <v>1973</v>
      </c>
      <c r="AV4">
        <v>1974</v>
      </c>
      <c r="AW4">
        <v>1975</v>
      </c>
      <c r="AX4">
        <v>1976</v>
      </c>
      <c r="AY4">
        <v>1977</v>
      </c>
      <c r="AZ4">
        <v>1978</v>
      </c>
      <c r="BA4">
        <v>1979</v>
      </c>
      <c r="BB4">
        <v>1980</v>
      </c>
      <c r="BC4">
        <v>1981</v>
      </c>
      <c r="BD4">
        <v>1982</v>
      </c>
      <c r="BE4">
        <v>1983</v>
      </c>
      <c r="BF4">
        <v>1984</v>
      </c>
      <c r="BG4">
        <v>1985</v>
      </c>
      <c r="BH4">
        <v>1986</v>
      </c>
      <c r="BI4">
        <v>1987</v>
      </c>
      <c r="BJ4">
        <v>1988</v>
      </c>
      <c r="BK4">
        <v>1989</v>
      </c>
      <c r="BL4">
        <v>1990</v>
      </c>
      <c r="BM4">
        <v>1991</v>
      </c>
      <c r="BN4">
        <v>1992</v>
      </c>
      <c r="BO4">
        <v>1993</v>
      </c>
      <c r="BP4">
        <v>1994</v>
      </c>
      <c r="BQ4">
        <v>1995</v>
      </c>
      <c r="BR4">
        <v>1996</v>
      </c>
      <c r="BS4">
        <v>1997</v>
      </c>
      <c r="BT4">
        <v>1998</v>
      </c>
      <c r="BU4">
        <v>1999</v>
      </c>
      <c r="BV4">
        <v>2000</v>
      </c>
      <c r="BW4">
        <v>2001</v>
      </c>
      <c r="BX4">
        <v>2002</v>
      </c>
      <c r="BY4">
        <v>2003</v>
      </c>
      <c r="BZ4">
        <v>2004</v>
      </c>
      <c r="CA4">
        <v>2005</v>
      </c>
      <c r="CB4">
        <v>2006</v>
      </c>
      <c r="CC4">
        <v>2007</v>
      </c>
      <c r="CD4">
        <v>2008</v>
      </c>
      <c r="CE4">
        <v>2009</v>
      </c>
      <c r="CF4">
        <v>2010</v>
      </c>
      <c r="CG4">
        <v>2011</v>
      </c>
      <c r="CH4">
        <v>2012</v>
      </c>
      <c r="CI4">
        <v>2013</v>
      </c>
      <c r="CJ4">
        <v>2014</v>
      </c>
      <c r="CK4">
        <v>2015</v>
      </c>
      <c r="CL4">
        <v>2016</v>
      </c>
      <c r="CM4">
        <v>2017</v>
      </c>
      <c r="CN4">
        <v>2018</v>
      </c>
      <c r="CO4">
        <v>2019</v>
      </c>
      <c r="CP4">
        <v>2020</v>
      </c>
      <c r="CQ4">
        <v>2021</v>
      </c>
      <c r="CR4">
        <v>2022</v>
      </c>
      <c r="CS4">
        <v>2023</v>
      </c>
      <c r="CT4">
        <v>2024</v>
      </c>
    </row>
    <row r="5" spans="1:98">
      <c r="B5" s="28" t="s">
        <v>1448</v>
      </c>
      <c r="C5" s="28" t="s">
        <v>1448</v>
      </c>
      <c r="D5" s="28" t="s">
        <v>1448</v>
      </c>
      <c r="E5" s="28" t="s">
        <v>1448</v>
      </c>
      <c r="F5" s="28" t="s">
        <v>1448</v>
      </c>
      <c r="G5" s="28" t="s">
        <v>1448</v>
      </c>
      <c r="H5" s="28" t="s">
        <v>1448</v>
      </c>
      <c r="I5" s="28" t="s">
        <v>1448</v>
      </c>
      <c r="J5" s="28" t="s">
        <v>1448</v>
      </c>
      <c r="K5" s="28" t="s">
        <v>1448</v>
      </c>
      <c r="L5" s="28" t="s">
        <v>1448</v>
      </c>
      <c r="M5" s="28" t="s">
        <v>1448</v>
      </c>
      <c r="N5" s="28" t="s">
        <v>1448</v>
      </c>
      <c r="O5" s="28" t="s">
        <v>1448</v>
      </c>
      <c r="P5" s="28" t="s">
        <v>1448</v>
      </c>
      <c r="Q5" s="28" t="s">
        <v>1448</v>
      </c>
      <c r="R5" s="28" t="s">
        <v>1448</v>
      </c>
      <c r="S5" s="28" t="s">
        <v>1448</v>
      </c>
      <c r="T5" s="28" t="s">
        <v>1448</v>
      </c>
      <c r="U5" s="28" t="s">
        <v>1448</v>
      </c>
      <c r="V5" s="28" t="s">
        <v>1448</v>
      </c>
      <c r="W5" s="28" t="s">
        <v>1448</v>
      </c>
      <c r="X5" s="28" t="s">
        <v>1448</v>
      </c>
      <c r="Y5" s="28" t="s">
        <v>1448</v>
      </c>
      <c r="Z5" s="28" t="s">
        <v>1448</v>
      </c>
      <c r="AA5">
        <v>63</v>
      </c>
      <c r="AB5">
        <v>50</v>
      </c>
      <c r="AC5">
        <v>51</v>
      </c>
      <c r="AD5">
        <v>53</v>
      </c>
      <c r="AE5">
        <v>55</v>
      </c>
      <c r="AF5">
        <v>55</v>
      </c>
      <c r="AG5">
        <v>52</v>
      </c>
      <c r="AH5">
        <v>49</v>
      </c>
      <c r="AI5">
        <v>49</v>
      </c>
      <c r="AJ5">
        <v>42</v>
      </c>
      <c r="AK5">
        <v>41</v>
      </c>
      <c r="AL5">
        <v>38</v>
      </c>
      <c r="AM5">
        <v>37</v>
      </c>
      <c r="AN5">
        <v>37</v>
      </c>
      <c r="AO5">
        <v>40</v>
      </c>
      <c r="AP5">
        <v>44</v>
      </c>
      <c r="AQ5">
        <v>52</v>
      </c>
      <c r="AR5">
        <v>48</v>
      </c>
      <c r="AS5">
        <v>43</v>
      </c>
      <c r="AT5">
        <v>44</v>
      </c>
      <c r="AU5">
        <v>43</v>
      </c>
      <c r="AV5">
        <v>48</v>
      </c>
      <c r="AW5">
        <v>51</v>
      </c>
      <c r="AX5">
        <v>46</v>
      </c>
      <c r="AY5">
        <v>41</v>
      </c>
      <c r="AZ5">
        <v>50</v>
      </c>
      <c r="BA5">
        <v>47</v>
      </c>
      <c r="BB5">
        <v>51</v>
      </c>
      <c r="BC5">
        <v>37</v>
      </c>
      <c r="BD5">
        <v>35</v>
      </c>
      <c r="BE5">
        <v>39</v>
      </c>
      <c r="BF5">
        <v>38</v>
      </c>
      <c r="BG5">
        <v>38</v>
      </c>
      <c r="BH5">
        <v>38</v>
      </c>
      <c r="BI5">
        <v>35</v>
      </c>
      <c r="BJ5">
        <v>35</v>
      </c>
      <c r="BK5">
        <v>34</v>
      </c>
      <c r="BL5">
        <v>33</v>
      </c>
      <c r="BM5">
        <v>32</v>
      </c>
      <c r="BN5">
        <v>32</v>
      </c>
      <c r="BO5">
        <v>33</v>
      </c>
      <c r="BP5">
        <v>32</v>
      </c>
      <c r="BQ5">
        <v>32</v>
      </c>
      <c r="BR5">
        <v>32</v>
      </c>
      <c r="BS5">
        <v>31</v>
      </c>
      <c r="BT5">
        <v>31</v>
      </c>
      <c r="BU5">
        <v>30</v>
      </c>
      <c r="BV5">
        <v>31</v>
      </c>
      <c r="BW5">
        <v>32</v>
      </c>
      <c r="BX5">
        <v>30</v>
      </c>
      <c r="BY5">
        <v>27</v>
      </c>
      <c r="BZ5">
        <v>30</v>
      </c>
      <c r="CA5">
        <v>34</v>
      </c>
      <c r="CB5" s="28" t="s">
        <v>1448</v>
      </c>
      <c r="CC5" s="28" t="s">
        <v>1448</v>
      </c>
      <c r="CD5" s="28" t="s">
        <v>1448</v>
      </c>
      <c r="CE5" s="28" t="s">
        <v>1448</v>
      </c>
      <c r="CF5" s="28" t="s">
        <v>1448</v>
      </c>
      <c r="CG5" s="28" t="s">
        <v>1448</v>
      </c>
      <c r="CH5" s="28" t="s">
        <v>1448</v>
      </c>
      <c r="CI5" s="28" t="s">
        <v>1448</v>
      </c>
      <c r="CJ5" s="28" t="s">
        <v>1448</v>
      </c>
      <c r="CK5" s="28" t="s">
        <v>1448</v>
      </c>
      <c r="CL5" s="28" t="s">
        <v>1448</v>
      </c>
      <c r="CM5" s="28" t="s">
        <v>1448</v>
      </c>
      <c r="CN5" s="28" t="s">
        <v>1448</v>
      </c>
      <c r="CO5" s="28" t="s">
        <v>1448</v>
      </c>
      <c r="CP5" s="28" t="s">
        <v>1448</v>
      </c>
      <c r="CQ5" s="28" t="s">
        <v>1448</v>
      </c>
      <c r="CR5" s="28" t="s">
        <v>1448</v>
      </c>
      <c r="CS5" s="28" t="s">
        <v>1448</v>
      </c>
      <c r="CT5" s="28" t="s">
        <v>1448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58F0-ADE5-3942-AA93-A3131730C2E7}">
  <dimension ref="A1:CV15"/>
  <sheetViews>
    <sheetView workbookViewId="0">
      <selection activeCell="H4" sqref="H4"/>
    </sheetView>
  </sheetViews>
  <sheetFormatPr baseColWidth="10" defaultColWidth="11.5" defaultRowHeight="16"/>
  <cols>
    <col min="1" max="1" width="18.5" customWidth="1"/>
  </cols>
  <sheetData>
    <row r="1" spans="1:100">
      <c r="A1" s="24" t="s">
        <v>1551</v>
      </c>
      <c r="B1" s="25">
        <v>46387</v>
      </c>
      <c r="C1" s="25">
        <v>46752</v>
      </c>
      <c r="D1" s="25">
        <v>47118</v>
      </c>
      <c r="E1" s="25">
        <v>47483</v>
      </c>
      <c r="F1" s="25">
        <v>11323</v>
      </c>
      <c r="G1" s="25">
        <v>11688</v>
      </c>
      <c r="H1" s="25">
        <v>12054</v>
      </c>
      <c r="I1" s="25">
        <v>12418</v>
      </c>
      <c r="J1" s="25">
        <v>12784</v>
      </c>
      <c r="K1" s="25">
        <v>13149</v>
      </c>
      <c r="L1" s="25">
        <v>13515</v>
      </c>
      <c r="M1" s="25">
        <v>13880</v>
      </c>
      <c r="N1" s="25">
        <v>14245</v>
      </c>
      <c r="O1" s="25">
        <v>14609</v>
      </c>
      <c r="P1" s="25">
        <v>14976</v>
      </c>
      <c r="Q1" s="25">
        <v>15341</v>
      </c>
      <c r="R1" s="25">
        <v>15706</v>
      </c>
      <c r="S1" s="25">
        <v>16071</v>
      </c>
      <c r="T1" s="25">
        <v>16436</v>
      </c>
      <c r="U1" s="25">
        <v>16802</v>
      </c>
      <c r="V1" s="25">
        <v>17167</v>
      </c>
      <c r="W1" s="25">
        <v>17532</v>
      </c>
      <c r="X1" s="25">
        <v>17898</v>
      </c>
      <c r="Y1" s="25">
        <v>18263</v>
      </c>
      <c r="Z1" s="25">
        <v>18627</v>
      </c>
      <c r="AA1" s="25">
        <v>18993</v>
      </c>
      <c r="AB1" s="25">
        <v>19359</v>
      </c>
      <c r="AC1" s="25">
        <v>19724</v>
      </c>
      <c r="AD1" s="25">
        <v>20089</v>
      </c>
      <c r="AE1" s="25">
        <v>20453</v>
      </c>
      <c r="AF1" s="25">
        <v>20820</v>
      </c>
      <c r="AG1" s="25">
        <v>21185</v>
      </c>
      <c r="AH1" s="25">
        <v>21550</v>
      </c>
      <c r="AI1" s="25">
        <v>21915</v>
      </c>
      <c r="AJ1" s="25">
        <v>22280</v>
      </c>
      <c r="AK1" s="25">
        <v>22644</v>
      </c>
      <c r="AL1" s="25">
        <v>23011</v>
      </c>
      <c r="AM1" s="25">
        <v>23376</v>
      </c>
      <c r="AN1" s="25">
        <v>23742</v>
      </c>
      <c r="AO1" s="25">
        <v>24107</v>
      </c>
      <c r="AP1" s="25">
        <v>24471</v>
      </c>
      <c r="AQ1" s="25">
        <v>24835</v>
      </c>
      <c r="AR1" s="25">
        <v>25203</v>
      </c>
      <c r="AS1" s="25">
        <v>25568</v>
      </c>
      <c r="AT1" s="25">
        <v>25933</v>
      </c>
      <c r="AU1" s="25">
        <v>26298</v>
      </c>
      <c r="AV1" s="25">
        <v>26662</v>
      </c>
      <c r="AW1" s="25">
        <v>27029</v>
      </c>
      <c r="AX1" s="25">
        <v>27394</v>
      </c>
      <c r="AY1" s="25">
        <v>27759</v>
      </c>
      <c r="AZ1" s="25">
        <v>28125</v>
      </c>
      <c r="BA1" s="25">
        <v>28489</v>
      </c>
      <c r="BB1" s="25">
        <v>28853</v>
      </c>
      <c r="BC1" s="25">
        <v>29220</v>
      </c>
      <c r="BD1" s="25">
        <v>29586</v>
      </c>
      <c r="BE1" s="25">
        <v>29951</v>
      </c>
      <c r="BF1" s="25">
        <v>30316</v>
      </c>
      <c r="BG1" s="25">
        <v>30680</v>
      </c>
      <c r="BH1" s="25">
        <v>31047</v>
      </c>
      <c r="BI1" s="25">
        <v>31412</v>
      </c>
      <c r="BJ1" s="25">
        <v>31777</v>
      </c>
      <c r="BK1" s="25">
        <v>32142</v>
      </c>
      <c r="BL1" s="25">
        <v>32507</v>
      </c>
      <c r="BM1" s="25">
        <v>32871</v>
      </c>
      <c r="BN1" s="25">
        <v>33238</v>
      </c>
      <c r="BO1" s="25">
        <v>33603</v>
      </c>
      <c r="BP1" s="25">
        <v>33969</v>
      </c>
      <c r="BQ1" s="25">
        <v>34334</v>
      </c>
      <c r="BR1" s="25">
        <v>34698</v>
      </c>
      <c r="BS1" s="25">
        <v>35062</v>
      </c>
      <c r="BT1" s="25">
        <v>35430</v>
      </c>
      <c r="BU1" s="25">
        <v>35795</v>
      </c>
      <c r="BV1" s="25">
        <v>36160</v>
      </c>
      <c r="BW1" s="25">
        <v>36525</v>
      </c>
      <c r="BX1" s="25">
        <v>36889</v>
      </c>
      <c r="BY1" s="25">
        <v>37256</v>
      </c>
      <c r="BZ1" s="25">
        <v>37621</v>
      </c>
      <c r="CA1" s="25">
        <v>37986</v>
      </c>
      <c r="CB1" s="25">
        <v>38352</v>
      </c>
      <c r="CC1" s="25">
        <v>38716</v>
      </c>
      <c r="CD1" s="25">
        <v>39080</v>
      </c>
      <c r="CE1" s="25">
        <v>39447</v>
      </c>
      <c r="CF1" s="25">
        <v>39813</v>
      </c>
      <c r="CG1" s="25">
        <v>40178</v>
      </c>
      <c r="CH1" s="25">
        <v>40543</v>
      </c>
      <c r="CI1" s="25">
        <v>40907</v>
      </c>
      <c r="CJ1" s="25">
        <v>41274</v>
      </c>
      <c r="CK1" s="25">
        <v>41639</v>
      </c>
      <c r="CL1" s="25">
        <v>42004</v>
      </c>
      <c r="CM1" s="25">
        <v>42369</v>
      </c>
      <c r="CN1" s="25">
        <v>42734</v>
      </c>
      <c r="CO1" s="25">
        <v>43098</v>
      </c>
      <c r="CP1" s="25">
        <v>43465</v>
      </c>
      <c r="CQ1" s="25">
        <v>43830</v>
      </c>
      <c r="CR1" s="25">
        <v>44196</v>
      </c>
      <c r="CS1" s="25">
        <v>44561</v>
      </c>
      <c r="CT1" s="25">
        <v>44925</v>
      </c>
      <c r="CU1" s="25">
        <v>45289</v>
      </c>
      <c r="CV1" s="25">
        <v>45657</v>
      </c>
    </row>
    <row r="2" spans="1:100">
      <c r="A2" s="24" t="s">
        <v>1552</v>
      </c>
      <c r="B2" s="24">
        <v>9.8488019999999996E-2</v>
      </c>
      <c r="C2" s="24">
        <v>0.3287197</v>
      </c>
      <c r="D2" s="24">
        <v>0.39139649999999998</v>
      </c>
      <c r="E2" s="24">
        <v>-0.15095529999999999</v>
      </c>
      <c r="F2" s="24">
        <v>-0.2890045</v>
      </c>
      <c r="G2" s="24">
        <v>-0.44387949999999998</v>
      </c>
      <c r="H2" s="24">
        <v>-7.9447980000000001E-2</v>
      </c>
      <c r="I2" s="24">
        <v>0.57413130000000001</v>
      </c>
      <c r="J2" s="24">
        <v>3.184588E-2</v>
      </c>
      <c r="K2" s="24">
        <v>0.45448699999999997</v>
      </c>
      <c r="L2" s="24">
        <v>0.32315250000000001</v>
      </c>
      <c r="M2" s="24">
        <v>-0.3460435</v>
      </c>
      <c r="N2" s="24">
        <v>0.28435890000000003</v>
      </c>
      <c r="O2" s="24">
        <v>1.8434860000000001E-2</v>
      </c>
      <c r="P2" s="24">
        <v>-7.5104470000000007E-2</v>
      </c>
      <c r="Q2" s="24">
        <v>-0.100387</v>
      </c>
      <c r="R2" s="24">
        <v>0.16721759999999999</v>
      </c>
      <c r="S2" s="24">
        <v>0.27968739999999997</v>
      </c>
      <c r="T2" s="24">
        <v>0.21363950000000001</v>
      </c>
      <c r="U2" s="24">
        <v>0.39059300000000002</v>
      </c>
      <c r="V2" s="24">
        <v>-6.4211669999999998E-2</v>
      </c>
      <c r="W2" s="24">
        <v>3.2932719999999999E-2</v>
      </c>
      <c r="X2" s="24">
        <v>2.1313479999999999E-2</v>
      </c>
      <c r="Y2" s="24">
        <v>0.20109550000000001</v>
      </c>
      <c r="Z2" s="24">
        <v>0.30473030000000001</v>
      </c>
      <c r="AA2" s="24">
        <v>0.20944119999999999</v>
      </c>
      <c r="AB2" s="24">
        <v>0.1333239</v>
      </c>
      <c r="AC2" s="24">
        <v>3.84316E-3</v>
      </c>
      <c r="AD2" s="24">
        <v>0.50412029999999997</v>
      </c>
      <c r="AE2" s="24">
        <v>0.25413459999999999</v>
      </c>
      <c r="AF2" s="24">
        <v>8.5817450000000003E-2</v>
      </c>
      <c r="AG2" s="24">
        <v>-0.10348350000000001</v>
      </c>
      <c r="AH2" s="24">
        <v>0.44775860000000001</v>
      </c>
      <c r="AI2" s="24">
        <v>0.12646180000000001</v>
      </c>
      <c r="AJ2" s="24">
        <v>1.208885E-2</v>
      </c>
      <c r="AK2" s="24">
        <v>0.26960489999999998</v>
      </c>
      <c r="AL2" s="24">
        <v>-0.1031199</v>
      </c>
      <c r="AM2" s="24">
        <v>0.20887649999999999</v>
      </c>
      <c r="AN2" s="24">
        <v>0.16303790000000001</v>
      </c>
      <c r="AO2" s="24">
        <v>0.1438586</v>
      </c>
      <c r="AP2" s="24">
        <v>-8.6888220000000002E-2</v>
      </c>
      <c r="AQ2" s="24">
        <v>0.28566419999999998</v>
      </c>
      <c r="AR2" s="24">
        <v>0.14168639999999999</v>
      </c>
      <c r="AS2" s="24">
        <v>-0.1083604</v>
      </c>
      <c r="AT2" s="24">
        <v>7.3185999999999998E-4</v>
      </c>
      <c r="AU2" s="24">
        <v>0.16198879999999999</v>
      </c>
      <c r="AV2" s="24">
        <v>0.17340549999999999</v>
      </c>
      <c r="AW2" s="24">
        <v>-0.18749669999999999</v>
      </c>
      <c r="AX2" s="24">
        <v>-0.2794142</v>
      </c>
      <c r="AY2" s="24">
        <v>0.37357859999999998</v>
      </c>
      <c r="AZ2" s="24">
        <v>0.26780340000000002</v>
      </c>
      <c r="BA2" s="24">
        <v>-2.969596E-2</v>
      </c>
      <c r="BB2" s="24">
        <v>8.5461549999999997E-2</v>
      </c>
      <c r="BC2" s="24">
        <v>0.244143</v>
      </c>
      <c r="BD2" s="24">
        <v>0.33239419999999997</v>
      </c>
      <c r="BE2" s="24">
        <v>-3.9875069999999999E-2</v>
      </c>
      <c r="BF2" s="24">
        <v>0.2042214</v>
      </c>
      <c r="BG2" s="24">
        <v>0.22646830000000001</v>
      </c>
      <c r="BH2" s="24">
        <v>3.1642249999999997E-2</v>
      </c>
      <c r="BI2" s="24">
        <v>0.31411630000000001</v>
      </c>
      <c r="BJ2" s="24">
        <v>0.15562819999999999</v>
      </c>
      <c r="BK2" s="24">
        <v>1.8312200000000001E-2</v>
      </c>
      <c r="BL2" s="24">
        <v>0.1755504</v>
      </c>
      <c r="BM2" s="24">
        <v>0.28432990000000002</v>
      </c>
      <c r="BN2" s="24">
        <v>-6.0817599999999999E-2</v>
      </c>
      <c r="BO2" s="24">
        <v>0.33645920000000001</v>
      </c>
      <c r="BP2" s="24">
        <v>9.063011E-2</v>
      </c>
      <c r="BQ2" s="24">
        <v>0.1158626</v>
      </c>
      <c r="BR2" s="24">
        <v>-7.4615899999999997E-3</v>
      </c>
      <c r="BS2" s="24">
        <v>0.35662389999999999</v>
      </c>
      <c r="BT2" s="24">
        <v>0.21172849999999999</v>
      </c>
      <c r="BU2" s="24">
        <v>0.30344359999999998</v>
      </c>
      <c r="BV2" s="24">
        <v>0.22244549999999999</v>
      </c>
      <c r="BW2" s="24">
        <v>0.25272139999999998</v>
      </c>
      <c r="BX2" s="24">
        <v>-0.11159760000000001</v>
      </c>
      <c r="BY2" s="24">
        <v>-0.1126955</v>
      </c>
      <c r="BZ2" s="24">
        <v>-0.2083391</v>
      </c>
      <c r="CA2" s="24">
        <v>0.33141870000000001</v>
      </c>
      <c r="CB2" s="24">
        <v>0.1299121</v>
      </c>
      <c r="CC2" s="24">
        <v>7.3040980000000005E-2</v>
      </c>
      <c r="CD2" s="24">
        <v>0.16227140000000001</v>
      </c>
      <c r="CE2" s="24">
        <v>7.2871210000000006E-2</v>
      </c>
      <c r="CF2" s="24">
        <v>-0.38328600000000002</v>
      </c>
      <c r="CG2" s="24">
        <v>0.31652970000000002</v>
      </c>
      <c r="CH2" s="24">
        <v>0.1788845</v>
      </c>
      <c r="CI2" s="24">
        <v>-9.4065299999999998E-3</v>
      </c>
      <c r="CJ2" s="24">
        <v>0.15998039999999999</v>
      </c>
      <c r="CK2" s="24">
        <v>0.31682280000000002</v>
      </c>
      <c r="CL2" s="24">
        <v>0.108102</v>
      </c>
      <c r="CM2" s="24">
        <v>-1.5908490000000001E-2</v>
      </c>
      <c r="CN2" s="24">
        <v>0.12926989999999999</v>
      </c>
      <c r="CO2" s="24">
        <v>0.2090014</v>
      </c>
      <c r="CP2" s="24">
        <v>-6.2068959999999999E-2</v>
      </c>
      <c r="CQ2" s="24">
        <v>0.2974697</v>
      </c>
      <c r="CR2" s="24">
        <v>0.21374399999999999</v>
      </c>
      <c r="CS2" s="24">
        <v>0.23572090000000001</v>
      </c>
      <c r="CT2" s="24">
        <v>-0.19849600000000001</v>
      </c>
      <c r="CU2" s="24">
        <v>0.25111070000000002</v>
      </c>
      <c r="CV2" s="24">
        <v>0.22855700000000001</v>
      </c>
    </row>
    <row r="3" spans="1:100">
      <c r="A3" s="24" t="s">
        <v>1553</v>
      </c>
      <c r="B3" s="24">
        <v>4.3045739999999999E-2</v>
      </c>
      <c r="C3" s="24">
        <v>0.26648309999999997</v>
      </c>
      <c r="D3" s="24">
        <v>0.33705619999999997</v>
      </c>
      <c r="E3" s="24">
        <v>-0.182395</v>
      </c>
      <c r="F3" s="24">
        <v>-0.32145449999999998</v>
      </c>
      <c r="G3" s="24">
        <v>-0.47697499999999998</v>
      </c>
      <c r="H3" s="24">
        <v>-0.1406673</v>
      </c>
      <c r="I3" s="24">
        <v>0.5091272</v>
      </c>
      <c r="J3" s="24">
        <v>-9.5808500000000001E-3</v>
      </c>
      <c r="K3" s="24">
        <v>0.39596579999999998</v>
      </c>
      <c r="L3" s="24">
        <v>0.26681919999999998</v>
      </c>
      <c r="M3" s="24">
        <v>-0.38099349999999998</v>
      </c>
      <c r="N3" s="24">
        <v>0.23025970000000001</v>
      </c>
      <c r="O3" s="24">
        <v>-2.8978440000000001E-2</v>
      </c>
      <c r="P3" s="24">
        <v>-0.1275077</v>
      </c>
      <c r="Q3" s="24">
        <v>-0.1611021</v>
      </c>
      <c r="R3" s="24">
        <v>9.0504420000000002E-2</v>
      </c>
      <c r="S3" s="24">
        <v>0.21598000000000001</v>
      </c>
      <c r="T3" s="24">
        <v>0.154754</v>
      </c>
      <c r="U3" s="24">
        <v>0.3354278</v>
      </c>
      <c r="V3" s="24">
        <v>-0.1016522</v>
      </c>
      <c r="W3" s="24">
        <v>-2.282986E-2</v>
      </c>
      <c r="X3" s="24">
        <v>-4.0737519999999999E-2</v>
      </c>
      <c r="Y3" s="24">
        <v>0.12124360000000001</v>
      </c>
      <c r="Z3" s="24">
        <v>0.21742619999999999</v>
      </c>
      <c r="AA3" s="24">
        <v>0.1426463</v>
      </c>
      <c r="AB3" s="24">
        <v>7.4014709999999997E-2</v>
      </c>
      <c r="AC3" s="24">
        <v>-5.0273289999999998E-2</v>
      </c>
      <c r="AD3" s="24">
        <v>0.43363600000000002</v>
      </c>
      <c r="AE3" s="24">
        <v>0.20403950000000001</v>
      </c>
      <c r="AF3" s="24">
        <v>4.374484E-2</v>
      </c>
      <c r="AG3" s="24">
        <v>-0.1406868</v>
      </c>
      <c r="AH3" s="24">
        <v>0.39266390000000001</v>
      </c>
      <c r="AI3" s="24">
        <v>9.0692090000000003E-2</v>
      </c>
      <c r="AJ3" s="24">
        <v>-2.1911300000000002E-2</v>
      </c>
      <c r="AK3" s="24">
        <v>0.2331366</v>
      </c>
      <c r="AL3" s="24">
        <v>-0.13291069999999999</v>
      </c>
      <c r="AM3" s="24">
        <v>0.17099739999999999</v>
      </c>
      <c r="AN3" s="24">
        <v>0.1284913</v>
      </c>
      <c r="AO3" s="24">
        <v>0.10993890000000001</v>
      </c>
      <c r="AP3" s="24">
        <v>-0.1168184</v>
      </c>
      <c r="AQ3" s="24">
        <v>0.24725720000000001</v>
      </c>
      <c r="AR3" s="24">
        <v>0.109206</v>
      </c>
      <c r="AS3" s="24">
        <v>-0.1351079</v>
      </c>
      <c r="AT3" s="24">
        <v>-3.4062229999999999E-2</v>
      </c>
      <c r="AU3" s="24">
        <v>0.12814590000000001</v>
      </c>
      <c r="AV3" s="24">
        <v>0.14255979999999999</v>
      </c>
      <c r="AW3" s="24">
        <v>-0.21178739999999999</v>
      </c>
      <c r="AX3" s="24">
        <v>-0.3106138</v>
      </c>
      <c r="AY3" s="24">
        <v>0.31817800000000002</v>
      </c>
      <c r="AZ3" s="24">
        <v>0.21925629999999999</v>
      </c>
      <c r="BA3" s="24">
        <v>-7.2921330000000006E-2</v>
      </c>
      <c r="BB3" s="24">
        <v>3.2911040000000003E-2</v>
      </c>
      <c r="BC3" s="24">
        <v>0.18291099999999999</v>
      </c>
      <c r="BD3" s="24">
        <v>0.27127180000000001</v>
      </c>
      <c r="BE3" s="24">
        <v>-8.357581E-2</v>
      </c>
      <c r="BF3" s="24">
        <v>0.14245440000000001</v>
      </c>
      <c r="BG3" s="24">
        <v>0.17884159999999999</v>
      </c>
      <c r="BH3" s="24">
        <v>-1.14658E-2</v>
      </c>
      <c r="BI3" s="24">
        <v>0.26461820000000003</v>
      </c>
      <c r="BJ3" s="24">
        <v>0.11789230000000001</v>
      </c>
      <c r="BK3" s="24">
        <v>-1.357009E-2</v>
      </c>
      <c r="BL3" s="24">
        <v>0.12982840000000001</v>
      </c>
      <c r="BM3" s="24">
        <v>0.24027670000000001</v>
      </c>
      <c r="BN3" s="24">
        <v>-9.3858629999999998E-2</v>
      </c>
      <c r="BO3" s="24">
        <v>0.29637599999999997</v>
      </c>
      <c r="BP3" s="24">
        <v>6.1164749999999997E-2</v>
      </c>
      <c r="BQ3" s="24">
        <v>8.7970690000000004E-2</v>
      </c>
      <c r="BR3" s="24">
        <v>-3.2718110000000002E-2</v>
      </c>
      <c r="BS3" s="24">
        <v>0.32498949999999999</v>
      </c>
      <c r="BT3" s="24">
        <v>0.18763859999999999</v>
      </c>
      <c r="BU3" s="24">
        <v>0.28178999999999998</v>
      </c>
      <c r="BV3" s="24">
        <v>0.20487179999999999</v>
      </c>
      <c r="BW3" s="24">
        <v>0.23653660000000001</v>
      </c>
      <c r="BX3" s="24">
        <v>-0.1214064</v>
      </c>
      <c r="BY3" s="24">
        <v>-0.1244741</v>
      </c>
      <c r="BZ3" s="24">
        <v>-0.22101770000000001</v>
      </c>
      <c r="CA3" s="24">
        <v>0.3078611</v>
      </c>
      <c r="CB3" s="24">
        <v>0.1084133</v>
      </c>
      <c r="CC3" s="24">
        <v>5.3771590000000001E-2</v>
      </c>
      <c r="CD3" s="24">
        <v>0.14064879999999999</v>
      </c>
      <c r="CE3" s="24">
        <v>5.2840959999999999E-2</v>
      </c>
      <c r="CF3" s="24">
        <v>-0.39757219999999999</v>
      </c>
      <c r="CG3" s="24">
        <v>0.2843581</v>
      </c>
      <c r="CH3" s="24">
        <v>0.15404909999999999</v>
      </c>
      <c r="CI3" s="24">
        <v>-2.9773939999999999E-2</v>
      </c>
      <c r="CJ3" s="24">
        <v>0.1313513</v>
      </c>
      <c r="CK3" s="24">
        <v>0.28886519999999999</v>
      </c>
      <c r="CL3" s="24">
        <v>8.5416919999999993E-2</v>
      </c>
      <c r="CM3" s="24">
        <v>-3.6961050000000002E-2</v>
      </c>
      <c r="CN3" s="24">
        <v>0.10406459999999999</v>
      </c>
      <c r="CO3" s="24">
        <v>0.18447949999999999</v>
      </c>
      <c r="CP3" s="24">
        <v>-8.1384319999999996E-2</v>
      </c>
      <c r="CQ3" s="24">
        <v>0.27116309999999999</v>
      </c>
      <c r="CR3" s="24">
        <v>0.19126090000000001</v>
      </c>
      <c r="CS3" s="24">
        <v>0.21801419999999999</v>
      </c>
      <c r="CT3" s="24">
        <v>-0.2123941</v>
      </c>
      <c r="CU3" s="24">
        <v>0.22930120000000001</v>
      </c>
      <c r="CV3" s="24">
        <v>0.21019879999999999</v>
      </c>
    </row>
    <row r="4" spans="1:100">
      <c r="A4" s="24" t="s">
        <v>1554</v>
      </c>
      <c r="B4" s="24">
        <v>30273387.199999999</v>
      </c>
      <c r="C4" s="24">
        <v>41806899.299999997</v>
      </c>
      <c r="D4" s="24">
        <v>59829707.899999999</v>
      </c>
      <c r="E4" s="24">
        <v>56455416.700000003</v>
      </c>
      <c r="F4" s="24">
        <v>41641850.899999999</v>
      </c>
      <c r="G4" s="24">
        <v>21544308.100000001</v>
      </c>
      <c r="H4" s="24">
        <v>18339302.199999999</v>
      </c>
      <c r="I4" s="24">
        <v>27775752.199999999</v>
      </c>
      <c r="J4" s="24">
        <v>28113229.600000001</v>
      </c>
      <c r="K4" s="24">
        <v>39582694.200000003</v>
      </c>
      <c r="L4" s="24">
        <v>51610120.700000003</v>
      </c>
      <c r="M4" s="24">
        <v>32636697.300000001</v>
      </c>
      <c r="N4" s="24">
        <v>40503948.399999999</v>
      </c>
      <c r="O4" s="24">
        <v>39426600.200000003</v>
      </c>
      <c r="P4" s="24">
        <v>34823119.700000003</v>
      </c>
      <c r="Q4" s="24">
        <v>29493311.5</v>
      </c>
      <c r="R4" s="24">
        <v>32230307.600000001</v>
      </c>
      <c r="S4" s="24">
        <v>39769111.299999997</v>
      </c>
      <c r="T4" s="24">
        <v>46856309.399999999</v>
      </c>
      <c r="U4" s="24">
        <v>64330622.100000001</v>
      </c>
      <c r="V4" s="24">
        <v>59684383.600000001</v>
      </c>
      <c r="W4" s="24">
        <v>59885360.700000003</v>
      </c>
      <c r="X4" s="24">
        <v>58301258.200000003</v>
      </c>
      <c r="Y4" s="24">
        <v>67344403.400000006</v>
      </c>
      <c r="Z4" s="24">
        <v>84833973.900000006</v>
      </c>
      <c r="AA4" s="24">
        <v>100725150</v>
      </c>
      <c r="AB4" s="24">
        <v>111187860</v>
      </c>
      <c r="AC4" s="24">
        <v>108286194</v>
      </c>
      <c r="AD4" s="24">
        <v>159614395</v>
      </c>
      <c r="AE4" s="24">
        <v>197213978</v>
      </c>
      <c r="AF4" s="24">
        <v>211375251</v>
      </c>
      <c r="AG4" s="24">
        <v>187753792</v>
      </c>
      <c r="AH4" s="24">
        <v>267804898</v>
      </c>
      <c r="AI4" s="24">
        <v>299021494</v>
      </c>
      <c r="AJ4" s="24">
        <v>299423865</v>
      </c>
      <c r="AK4" s="24">
        <v>378064824</v>
      </c>
      <c r="AL4" s="24">
        <v>360092770</v>
      </c>
      <c r="AM4" s="24">
        <v>424616841</v>
      </c>
      <c r="AN4" s="24">
        <v>490133350</v>
      </c>
      <c r="AO4" s="24">
        <v>552706178</v>
      </c>
      <c r="AP4" s="24">
        <v>495607922</v>
      </c>
      <c r="AQ4" s="24">
        <v>628633197</v>
      </c>
      <c r="AR4" s="24">
        <v>718326082</v>
      </c>
      <c r="AS4" s="24">
        <v>641067360</v>
      </c>
      <c r="AT4" s="24">
        <v>639973631</v>
      </c>
      <c r="AU4" s="24">
        <v>747600652</v>
      </c>
      <c r="AV4" s="24">
        <v>1011684210</v>
      </c>
      <c r="AW4" s="24">
        <v>798597652</v>
      </c>
      <c r="AX4" s="24">
        <v>552898613</v>
      </c>
      <c r="AY4" s="24">
        <v>743822567</v>
      </c>
      <c r="AZ4" s="24">
        <v>921745133</v>
      </c>
      <c r="BA4" s="24">
        <v>865931915</v>
      </c>
      <c r="BB4" s="24">
        <v>898729782</v>
      </c>
      <c r="BC4" s="24">
        <v>1068232720</v>
      </c>
      <c r="BD4" s="24">
        <v>1385323230</v>
      </c>
      <c r="BE4" s="24">
        <v>1288286440</v>
      </c>
      <c r="BF4" s="24">
        <v>1475341880</v>
      </c>
      <c r="BG4" s="24">
        <v>1829213890</v>
      </c>
      <c r="BH4" s="24">
        <v>1763960960</v>
      </c>
      <c r="BI4" s="24">
        <v>2204344770</v>
      </c>
      <c r="BJ4" s="24">
        <v>2478214090</v>
      </c>
      <c r="BK4" s="24">
        <v>2482045390</v>
      </c>
      <c r="BL4" s="24">
        <v>2717130600</v>
      </c>
      <c r="BM4" s="24">
        <v>3305740000</v>
      </c>
      <c r="BN4" s="24">
        <v>2979693820</v>
      </c>
      <c r="BO4" s="24">
        <v>3998499680</v>
      </c>
      <c r="BP4" s="24">
        <v>4398072120</v>
      </c>
      <c r="BQ4" s="24">
        <v>5057719780</v>
      </c>
      <c r="BR4" s="24">
        <v>5003075170</v>
      </c>
      <c r="BS4" s="24">
        <v>6787565600</v>
      </c>
      <c r="BT4" s="24">
        <v>8308315630</v>
      </c>
      <c r="BU4" s="24">
        <v>10797000000</v>
      </c>
      <c r="BV4" s="24">
        <v>13300000000</v>
      </c>
      <c r="BW4" s="24">
        <v>17021000000</v>
      </c>
      <c r="BX4" s="24">
        <v>15627000000</v>
      </c>
      <c r="BY4" s="24">
        <v>13848000000</v>
      </c>
      <c r="BZ4" s="24">
        <v>11030000000</v>
      </c>
      <c r="CA4" s="24">
        <v>14582000000</v>
      </c>
      <c r="CB4" s="24">
        <v>16455000000</v>
      </c>
      <c r="CC4" s="24">
        <v>17376000000</v>
      </c>
      <c r="CD4" s="24">
        <v>19557000000</v>
      </c>
      <c r="CE4" s="24">
        <v>19873000000</v>
      </c>
      <c r="CF4" s="24">
        <v>11719000000</v>
      </c>
      <c r="CG4" s="24">
        <v>15071000000</v>
      </c>
      <c r="CH4" s="24">
        <v>17558000000</v>
      </c>
      <c r="CI4" s="24">
        <v>16903000000</v>
      </c>
      <c r="CJ4" s="24">
        <v>19104000000</v>
      </c>
      <c r="CK4" s="24">
        <v>24735000000</v>
      </c>
      <c r="CL4" s="24">
        <v>27141000000</v>
      </c>
      <c r="CM4" s="24">
        <v>25714000000</v>
      </c>
      <c r="CN4" s="24">
        <v>27851000000</v>
      </c>
      <c r="CO4" s="24">
        <v>32937000000</v>
      </c>
      <c r="CP4" s="24">
        <v>29902000000</v>
      </c>
      <c r="CQ4" s="24">
        <v>37759000000</v>
      </c>
      <c r="CR4" s="24">
        <v>45724000000</v>
      </c>
      <c r="CS4" s="24">
        <v>57740000000</v>
      </c>
      <c r="CT4" s="24">
        <v>44822000000</v>
      </c>
      <c r="CU4" s="24">
        <v>54608000000</v>
      </c>
      <c r="CV4" s="24">
        <v>66272000000</v>
      </c>
    </row>
    <row r="5" spans="1:100">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row>
    <row r="6" spans="1:100">
      <c r="A6" s="24" t="s">
        <v>1555</v>
      </c>
      <c r="B6" s="24">
        <v>7.6869549999999995E-2</v>
      </c>
      <c r="C6" s="24">
        <v>5.3629009999999998E-2</v>
      </c>
      <c r="D6" s="24">
        <v>3.9523210000000003E-2</v>
      </c>
      <c r="E6" s="24">
        <v>4.5439319999999998E-2</v>
      </c>
      <c r="F6" s="24">
        <v>6.2285889999999997E-2</v>
      </c>
      <c r="G6" s="24">
        <v>0.10745717</v>
      </c>
      <c r="H6" s="24">
        <v>0.12110828</v>
      </c>
      <c r="I6" s="24">
        <v>8.1421279999999999E-2</v>
      </c>
      <c r="J6" s="24">
        <v>8.5915539999999999E-2</v>
      </c>
      <c r="K6" s="24">
        <v>6.188428E-2</v>
      </c>
      <c r="L6" s="24">
        <v>4.7335790000000003E-2</v>
      </c>
      <c r="M6" s="24">
        <v>7.6872910000000003E-2</v>
      </c>
      <c r="N6" s="24">
        <v>6.3465930000000004E-2</v>
      </c>
      <c r="O6" s="24">
        <v>6.1423499999999999E-2</v>
      </c>
      <c r="P6" s="24">
        <v>7.1898859999999995E-2</v>
      </c>
      <c r="Q6" s="24">
        <v>9.9141499999999994E-2</v>
      </c>
      <c r="R6" s="24">
        <v>0.10397697</v>
      </c>
      <c r="S6" s="24">
        <v>9.3132759999999995E-2</v>
      </c>
      <c r="T6" s="24">
        <v>8.5920369999999996E-2</v>
      </c>
      <c r="U6" s="24">
        <v>6.6576360000000001E-2</v>
      </c>
      <c r="V6" s="24">
        <v>8.792925E-2</v>
      </c>
      <c r="W6" s="24">
        <v>9.3624959999999993E-2</v>
      </c>
      <c r="X6" s="24">
        <v>9.8428559999999998E-2</v>
      </c>
      <c r="Y6" s="24">
        <v>9.4972799999999996E-2</v>
      </c>
      <c r="Z6" s="24">
        <v>8.8443400000000005E-2</v>
      </c>
      <c r="AA6" s="24">
        <v>8.2324359999999999E-2</v>
      </c>
      <c r="AB6" s="24">
        <v>7.7315819999999993E-2</v>
      </c>
      <c r="AC6" s="24">
        <v>8.5074170000000005E-2</v>
      </c>
      <c r="AD6" s="24">
        <v>6.3334979999999999E-2</v>
      </c>
      <c r="AE6" s="24">
        <v>5.2791709999999999E-2</v>
      </c>
      <c r="AF6" s="24">
        <v>5.8147909999999997E-2</v>
      </c>
      <c r="AG6" s="24">
        <v>7.3135519999999996E-2</v>
      </c>
      <c r="AH6" s="24">
        <v>5.7609140000000003E-2</v>
      </c>
      <c r="AI6" s="24">
        <v>5.369206E-2</v>
      </c>
      <c r="AJ6" s="24">
        <v>5.6940829999999998E-2</v>
      </c>
      <c r="AK6" s="24">
        <v>4.5369E-2</v>
      </c>
      <c r="AL6" s="24">
        <v>5.3804409999999997E-2</v>
      </c>
      <c r="AM6" s="24">
        <v>4.753168E-2</v>
      </c>
      <c r="AN6" s="24">
        <v>4.3950280000000001E-2</v>
      </c>
      <c r="AO6" s="24">
        <v>4.2204579999999998E-2</v>
      </c>
      <c r="AP6" s="24">
        <v>5.0667610000000002E-2</v>
      </c>
      <c r="AQ6" s="24">
        <v>4.5973630000000001E-2</v>
      </c>
      <c r="AR6" s="24">
        <v>4.4887589999999998E-2</v>
      </c>
      <c r="AS6" s="24">
        <v>5.7713630000000002E-2</v>
      </c>
      <c r="AT6" s="24">
        <v>6.2996730000000001E-2</v>
      </c>
      <c r="AU6" s="24">
        <v>6.022806E-2</v>
      </c>
      <c r="AV6" s="24">
        <v>5.3631610000000003E-2</v>
      </c>
      <c r="AW6" s="24">
        <v>7.4110690000000007E-2</v>
      </c>
      <c r="AX6" s="24">
        <v>0.12064094</v>
      </c>
      <c r="AY6" s="24">
        <v>9.7557469999999993E-2</v>
      </c>
      <c r="AZ6" s="24">
        <v>8.6224809999999999E-2</v>
      </c>
      <c r="BA6" s="24">
        <v>0.10332429</v>
      </c>
      <c r="BB6" s="24">
        <v>0.11096388</v>
      </c>
      <c r="BC6" s="24">
        <v>0.11434838</v>
      </c>
      <c r="BD6" s="24">
        <v>0.10649738</v>
      </c>
      <c r="BE6" s="24">
        <v>0.12767213999999999</v>
      </c>
      <c r="BF6" s="24">
        <v>0.11809529000000001</v>
      </c>
      <c r="BG6" s="24">
        <v>0.10188476</v>
      </c>
      <c r="BH6" s="24">
        <v>0.10422035</v>
      </c>
      <c r="BI6" s="24">
        <v>8.5539379999999998E-2</v>
      </c>
      <c r="BJ6" s="24">
        <v>7.0996809999999994E-2</v>
      </c>
      <c r="BK6" s="24">
        <v>7.4688019999999994E-2</v>
      </c>
      <c r="BL6" s="24">
        <v>6.8017560000000005E-2</v>
      </c>
      <c r="BM6" s="24">
        <v>5.6656539999999998E-2</v>
      </c>
      <c r="BN6" s="24">
        <v>6.310615E-2</v>
      </c>
      <c r="BO6" s="24">
        <v>5.4225080000000002E-2</v>
      </c>
      <c r="BP6" s="24">
        <v>4.8903090000000003E-2</v>
      </c>
      <c r="BQ6" s="24">
        <v>4.7248409999999998E-2</v>
      </c>
      <c r="BR6" s="24">
        <v>5.0222269999999999E-2</v>
      </c>
      <c r="BS6" s="24">
        <v>3.9956239999999997E-2</v>
      </c>
      <c r="BT6" s="24">
        <v>3.6069900000000002E-2</v>
      </c>
      <c r="BU6" s="24">
        <v>3.0274780000000001E-2</v>
      </c>
      <c r="BV6" s="24">
        <v>2.575974E-2</v>
      </c>
      <c r="BW6" s="24">
        <v>2.2625490000000002E-2</v>
      </c>
      <c r="BX6" s="24">
        <v>2.682818E-2</v>
      </c>
      <c r="BY6" s="24">
        <v>3.2786940000000001E-2</v>
      </c>
      <c r="BZ6" s="24">
        <v>4.3287340000000001E-2</v>
      </c>
      <c r="CA6" s="24">
        <v>3.7544340000000002E-2</v>
      </c>
      <c r="CB6" s="24">
        <v>3.6839459999999997E-2</v>
      </c>
      <c r="CC6" s="24">
        <v>3.7816040000000002E-2</v>
      </c>
      <c r="CD6" s="24">
        <v>3.6653280000000003E-2</v>
      </c>
      <c r="CE6" s="24">
        <v>3.8527459999999999E-2</v>
      </c>
      <c r="CF6" s="24">
        <v>6.5036079999999996E-2</v>
      </c>
      <c r="CG6" s="24">
        <v>4.9206840000000002E-2</v>
      </c>
      <c r="CH6" s="24">
        <v>4.465007E-2</v>
      </c>
      <c r="CI6" s="24">
        <v>4.8724450000000002E-2</v>
      </c>
      <c r="CJ6" s="24">
        <v>4.7084830000000001E-2</v>
      </c>
      <c r="CK6" s="24">
        <v>4.0222239999999999E-2</v>
      </c>
      <c r="CL6" s="24">
        <v>3.7321670000000001E-2</v>
      </c>
      <c r="CM6" s="24">
        <v>3.8512749999999998E-2</v>
      </c>
      <c r="CN6" s="24">
        <v>3.5887189999999999E-2</v>
      </c>
      <c r="CO6" s="24">
        <v>3.116611E-2</v>
      </c>
      <c r="CP6" s="24">
        <v>3.534586E-2</v>
      </c>
      <c r="CQ6" s="24">
        <v>3.296868E-2</v>
      </c>
      <c r="CR6" s="24">
        <v>2.9615949999999999E-2</v>
      </c>
      <c r="CS6" s="24">
        <v>2.610635E-2</v>
      </c>
      <c r="CT6" s="24">
        <v>3.5314600000000002E-2</v>
      </c>
      <c r="CU6" s="24">
        <v>3.1794169999999997E-2</v>
      </c>
      <c r="CV6" s="24">
        <v>2.6517329999999999E-2</v>
      </c>
    </row>
    <row r="7" spans="1:100">
      <c r="A7" s="24" t="s">
        <v>1556</v>
      </c>
      <c r="B7" s="24">
        <v>9.2266219999999996E-2</v>
      </c>
      <c r="C7" s="24">
        <v>6.6763589999999998E-2</v>
      </c>
      <c r="D7" s="24">
        <v>5.4078399999999999E-2</v>
      </c>
      <c r="E7" s="24">
        <v>7.0465330000000007E-2</v>
      </c>
      <c r="F7" s="24">
        <v>7.8361589999999995E-2</v>
      </c>
      <c r="G7" s="24">
        <v>8.7915660000000007E-2</v>
      </c>
      <c r="H7" s="24">
        <v>7.0476150000000001E-2</v>
      </c>
      <c r="I7" s="24">
        <v>4.3638639999999999E-2</v>
      </c>
      <c r="J7" s="24">
        <v>5.0496880000000001E-2</v>
      </c>
      <c r="K7" s="24">
        <v>5.7240050000000001E-2</v>
      </c>
      <c r="L7" s="24">
        <v>5.239137E-2</v>
      </c>
      <c r="M7" s="24">
        <v>0.10429036999999999</v>
      </c>
      <c r="N7" s="24">
        <v>6.1874999999999999E-2</v>
      </c>
      <c r="O7" s="24">
        <v>6.2916840000000002E-2</v>
      </c>
      <c r="P7" s="24">
        <v>9.8210519999999996E-2</v>
      </c>
      <c r="Q7" s="24">
        <v>0.13404120999999999</v>
      </c>
      <c r="R7" s="24">
        <v>0.10973215</v>
      </c>
      <c r="S7" s="24">
        <v>9.239501E-2</v>
      </c>
      <c r="T7" s="24">
        <v>7.1133859999999993E-2</v>
      </c>
      <c r="U7" s="24">
        <v>5.691102E-2</v>
      </c>
      <c r="V7" s="24">
        <v>6.6662009999999994E-2</v>
      </c>
      <c r="W7" s="24">
        <v>9.8943279999999995E-2</v>
      </c>
      <c r="X7" s="24">
        <v>0.12696587000000001</v>
      </c>
      <c r="Y7" s="24">
        <v>0.14203692000000001</v>
      </c>
      <c r="Z7" s="24">
        <v>0.13526450000000001</v>
      </c>
      <c r="AA7" s="24">
        <v>0.11600427000000001</v>
      </c>
      <c r="AB7" s="24">
        <v>9.1855619999999999E-2</v>
      </c>
      <c r="AC7" s="24">
        <v>0.10080819000000001</v>
      </c>
      <c r="AD7" s="24">
        <v>7.4530639999999995E-2</v>
      </c>
      <c r="AE7" s="24">
        <v>7.1447209999999997E-2</v>
      </c>
      <c r="AF7" s="24">
        <v>7.7809929999999999E-2</v>
      </c>
      <c r="AG7" s="24">
        <v>8.5695530000000006E-2</v>
      </c>
      <c r="AH7" s="24">
        <v>5.6177459999999999E-2</v>
      </c>
      <c r="AI7" s="24">
        <v>5.6186569999999998E-2</v>
      </c>
      <c r="AJ7" s="24">
        <v>5.8679530000000001E-2</v>
      </c>
      <c r="AK7" s="24">
        <v>4.332196E-2</v>
      </c>
      <c r="AL7" s="24">
        <v>5.5663700000000003E-2</v>
      </c>
      <c r="AM7" s="24">
        <v>5.2412500000000001E-2</v>
      </c>
      <c r="AN7" s="24">
        <v>5.1971370000000003E-2</v>
      </c>
      <c r="AO7" s="24">
        <v>5.356292E-2</v>
      </c>
      <c r="AP7" s="24">
        <v>6.7730960000000007E-2</v>
      </c>
      <c r="AQ7" s="24">
        <v>5.7284549999999997E-2</v>
      </c>
      <c r="AR7" s="24">
        <v>5.3387820000000002E-2</v>
      </c>
      <c r="AS7" s="24">
        <v>6.5789249999999994E-2</v>
      </c>
      <c r="AT7" s="24">
        <v>6.2249739999999998E-2</v>
      </c>
      <c r="AU7" s="24">
        <v>5.495303E-2</v>
      </c>
      <c r="AV7" s="24">
        <v>5.210128E-2</v>
      </c>
      <c r="AW7" s="24">
        <v>8.0326949999999994E-2</v>
      </c>
      <c r="AX7" s="24">
        <v>0.13676679999999999</v>
      </c>
      <c r="AY7" s="24">
        <v>9.4396569999999999E-2</v>
      </c>
      <c r="AZ7" s="24">
        <v>8.9612380000000005E-2</v>
      </c>
      <c r="BA7" s="24">
        <v>0.11402825</v>
      </c>
      <c r="BB7" s="24">
        <v>0.12298138</v>
      </c>
      <c r="BC7" s="24">
        <v>0.13700100000000001</v>
      </c>
      <c r="BD7" s="24">
        <v>0.11722883000000001</v>
      </c>
      <c r="BE7" s="24">
        <v>0.12537116000000001</v>
      </c>
      <c r="BF7" s="24">
        <v>0.10183552</v>
      </c>
      <c r="BG7" s="24">
        <v>8.0208810000000005E-2</v>
      </c>
      <c r="BH7" s="24">
        <v>9.8231719999999995E-2</v>
      </c>
      <c r="BI7" s="24">
        <v>7.665023E-2</v>
      </c>
      <c r="BJ7" s="24">
        <v>5.9414080000000001E-2</v>
      </c>
      <c r="BK7" s="24">
        <v>6.5157419999999994E-2</v>
      </c>
      <c r="BL7" s="24">
        <v>7.7909969999999995E-2</v>
      </c>
      <c r="BM7" s="24">
        <v>7.082455E-2</v>
      </c>
      <c r="BN7" s="24">
        <v>6.7413360000000006E-2</v>
      </c>
      <c r="BO7" s="24">
        <v>4.945658E-2</v>
      </c>
      <c r="BP7" s="24">
        <v>4.0221899999999998E-2</v>
      </c>
      <c r="BQ7" s="24">
        <v>4.360257E-2</v>
      </c>
      <c r="BR7" s="24">
        <v>5.7053109999999997E-2</v>
      </c>
      <c r="BS7" s="24">
        <v>5.5309150000000001E-2</v>
      </c>
      <c r="BT7" s="24">
        <v>4.8314610000000001E-2</v>
      </c>
      <c r="BU7" s="24">
        <v>4.1981009999999999E-2</v>
      </c>
      <c r="BV7" s="24">
        <v>3.2739089999999998E-2</v>
      </c>
      <c r="BW7" s="24">
        <v>2.969335E-2</v>
      </c>
      <c r="BX7" s="24">
        <v>3.9089329999999999E-2</v>
      </c>
      <c r="BY7" s="24">
        <v>3.1331619999999998E-2</v>
      </c>
      <c r="BZ7" s="24">
        <v>3.0216030000000001E-2</v>
      </c>
      <c r="CA7" s="24">
        <v>3.3622270000000003E-2</v>
      </c>
      <c r="CB7" s="24">
        <v>4.6441179999999999E-2</v>
      </c>
      <c r="CC7" s="24">
        <v>5.1082620000000002E-2</v>
      </c>
      <c r="CD7" s="24">
        <v>5.3588780000000003E-2</v>
      </c>
      <c r="CE7" s="24">
        <v>5.4468450000000002E-2</v>
      </c>
      <c r="CF7" s="24">
        <v>5.2738090000000001E-2</v>
      </c>
      <c r="CG7" s="24">
        <v>1.4875350000000001E-2</v>
      </c>
      <c r="CH7" s="24">
        <v>5.4316980000000001E-2</v>
      </c>
      <c r="CI7" s="24">
        <v>6.7749779999999996E-2</v>
      </c>
      <c r="CJ7" s="24">
        <v>6.1458310000000002E-2</v>
      </c>
      <c r="CK7" s="24">
        <v>5.0997599999999997E-2</v>
      </c>
      <c r="CL7" s="24">
        <v>4.9674200000000002E-2</v>
      </c>
      <c r="CM7" s="24">
        <v>4.575212E-2</v>
      </c>
      <c r="CN7" s="24">
        <v>3.9659359999999998E-2</v>
      </c>
      <c r="CO7" s="24">
        <v>3.9266120000000002E-2</v>
      </c>
      <c r="CP7" s="24">
        <v>4.8038169999999998E-2</v>
      </c>
      <c r="CQ7" s="24">
        <v>4.2689129999999999E-2</v>
      </c>
      <c r="CR7" s="24">
        <v>2.8812770000000001E-2</v>
      </c>
      <c r="CS7" s="24">
        <v>3.4314360000000002E-2</v>
      </c>
      <c r="CT7" s="24">
        <v>4.9204100000000001E-2</v>
      </c>
      <c r="CU7" s="24">
        <v>3.900957E-2</v>
      </c>
      <c r="CV7" s="24">
        <v>3.3166099999999997E-2</v>
      </c>
    </row>
    <row r="8" spans="1:100">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row>
    <row r="9" spans="1:100">
      <c r="A9" s="24" t="s">
        <v>1458</v>
      </c>
      <c r="B9" s="24" t="s">
        <v>1448</v>
      </c>
      <c r="C9" s="24" t="s">
        <v>1448</v>
      </c>
      <c r="D9" s="24" t="s">
        <v>1448</v>
      </c>
      <c r="E9" s="26">
        <v>122099</v>
      </c>
      <c r="F9" s="26">
        <v>101177</v>
      </c>
      <c r="G9" s="26">
        <v>69302</v>
      </c>
      <c r="H9" s="26">
        <v>59757</v>
      </c>
      <c r="I9" s="26">
        <v>75727</v>
      </c>
      <c r="J9" s="26">
        <v>63183</v>
      </c>
      <c r="K9" s="26">
        <v>81671</v>
      </c>
      <c r="L9" s="26">
        <v>103149</v>
      </c>
      <c r="M9" s="26">
        <v>75688</v>
      </c>
      <c r="N9" s="26">
        <v>89919</v>
      </c>
      <c r="O9" s="26">
        <v>90416</v>
      </c>
      <c r="P9" s="26">
        <v>84160</v>
      </c>
      <c r="Q9" s="26">
        <v>76751</v>
      </c>
      <c r="R9" s="26">
        <v>85944</v>
      </c>
      <c r="S9" s="26">
        <v>97472</v>
      </c>
      <c r="T9" s="26">
        <v>106014</v>
      </c>
      <c r="U9" s="26">
        <v>152328</v>
      </c>
      <c r="V9" s="26">
        <v>158832</v>
      </c>
      <c r="W9" s="26">
        <v>161920</v>
      </c>
      <c r="X9" s="26">
        <v>165214</v>
      </c>
      <c r="Y9" s="26">
        <v>170945</v>
      </c>
      <c r="Z9" s="26">
        <v>199318</v>
      </c>
      <c r="AA9" s="26">
        <v>246418</v>
      </c>
      <c r="AB9" s="26">
        <v>240284</v>
      </c>
      <c r="AC9" s="26">
        <v>236352</v>
      </c>
      <c r="AD9" s="26">
        <v>331169</v>
      </c>
      <c r="AE9" s="26">
        <v>429646</v>
      </c>
      <c r="AF9" s="26">
        <v>482420</v>
      </c>
      <c r="AG9" s="26">
        <v>443457</v>
      </c>
      <c r="AH9" s="26">
        <v>592828</v>
      </c>
      <c r="AI9" s="26">
        <v>666594</v>
      </c>
      <c r="AJ9" s="26">
        <v>676956</v>
      </c>
      <c r="AK9" s="26">
        <v>831449</v>
      </c>
      <c r="AL9" s="26">
        <v>816107</v>
      </c>
      <c r="AM9" s="26">
        <v>866734</v>
      </c>
      <c r="AN9" s="26">
        <v>954183</v>
      </c>
      <c r="AO9" s="26">
        <v>1038518</v>
      </c>
      <c r="AP9" s="26">
        <v>992431</v>
      </c>
      <c r="AQ9" s="26">
        <v>1159506</v>
      </c>
      <c r="AR9" s="26">
        <v>1335222</v>
      </c>
      <c r="AS9" s="26">
        <v>1213661</v>
      </c>
      <c r="AT9" s="26">
        <v>1228691</v>
      </c>
      <c r="AU9" s="26">
        <v>1356170</v>
      </c>
      <c r="AV9" s="26">
        <v>1537946</v>
      </c>
      <c r="AW9" s="26">
        <v>1304965</v>
      </c>
      <c r="AX9" s="26">
        <v>993684</v>
      </c>
      <c r="AY9" s="26">
        <v>1330049</v>
      </c>
      <c r="AZ9" s="26">
        <v>1476927</v>
      </c>
      <c r="BA9" s="26">
        <v>1399110</v>
      </c>
      <c r="BB9" s="26">
        <v>1457400</v>
      </c>
      <c r="BC9" s="26">
        <v>1657765</v>
      </c>
      <c r="BD9" s="26">
        <v>2048074</v>
      </c>
      <c r="BE9" s="26">
        <v>2086761</v>
      </c>
      <c r="BF9" s="26">
        <v>2210888</v>
      </c>
      <c r="BG9" s="26">
        <v>2466088</v>
      </c>
      <c r="BH9" s="26">
        <v>2486831</v>
      </c>
      <c r="BI9" s="26">
        <v>2875708</v>
      </c>
      <c r="BJ9" s="26">
        <v>3245854</v>
      </c>
      <c r="BK9" s="26">
        <v>3359154</v>
      </c>
      <c r="BL9" s="26">
        <v>3747346</v>
      </c>
      <c r="BM9" s="26">
        <v>4446025</v>
      </c>
      <c r="BN9" s="26">
        <v>4508869</v>
      </c>
      <c r="BO9" s="26">
        <v>5647349</v>
      </c>
      <c r="BP9" s="26">
        <v>6423295</v>
      </c>
      <c r="BQ9" s="26">
        <v>6706987</v>
      </c>
      <c r="BR9" s="26">
        <v>6721817</v>
      </c>
      <c r="BS9" s="26">
        <v>8545544</v>
      </c>
      <c r="BT9" s="26">
        <v>9778766</v>
      </c>
      <c r="BU9" s="26">
        <v>12429969</v>
      </c>
      <c r="BV9" s="26">
        <v>14995912</v>
      </c>
      <c r="BW9" s="26">
        <v>18442477</v>
      </c>
      <c r="BX9" s="26">
        <v>16711839</v>
      </c>
      <c r="BY9" s="26">
        <v>15599909</v>
      </c>
      <c r="BZ9" s="26">
        <v>12592983</v>
      </c>
      <c r="CA9" s="26">
        <v>15107695</v>
      </c>
      <c r="CB9" s="26">
        <v>16401874</v>
      </c>
      <c r="CC9" s="26">
        <v>16766058</v>
      </c>
      <c r="CD9" s="26">
        <v>18694050</v>
      </c>
      <c r="CE9" s="26">
        <v>18596590</v>
      </c>
      <c r="CF9" s="26">
        <v>14308729</v>
      </c>
      <c r="CG9" s="26">
        <v>15193361</v>
      </c>
      <c r="CH9" s="26">
        <v>19118562</v>
      </c>
      <c r="CI9" s="26">
        <v>19516423</v>
      </c>
      <c r="CJ9" s="26">
        <v>21978993</v>
      </c>
      <c r="CK9" s="26">
        <v>28847666</v>
      </c>
      <c r="CL9" s="26">
        <v>32237929</v>
      </c>
      <c r="CM9" s="26">
        <v>32142159</v>
      </c>
      <c r="CN9" s="26">
        <v>34629553</v>
      </c>
      <c r="CO9" s="26">
        <v>38800176</v>
      </c>
      <c r="CP9" s="26">
        <v>37569539</v>
      </c>
      <c r="CQ9" s="26">
        <v>44896940</v>
      </c>
      <c r="CR9" s="26">
        <v>52771902</v>
      </c>
      <c r="CS9" s="26">
        <v>65853833</v>
      </c>
      <c r="CT9" s="26">
        <v>56124555</v>
      </c>
      <c r="CU9" s="26">
        <v>66543711</v>
      </c>
      <c r="CV9" s="26">
        <v>81013355</v>
      </c>
    </row>
    <row r="10" spans="1:100">
      <c r="A10" s="24" t="s">
        <v>1557</v>
      </c>
      <c r="B10" s="24" t="s">
        <v>1448</v>
      </c>
      <c r="C10" s="24" t="s">
        <v>1448</v>
      </c>
      <c r="D10" s="24" t="s">
        <v>1448</v>
      </c>
      <c r="E10" s="24">
        <v>7687</v>
      </c>
      <c r="F10" s="24">
        <v>6378</v>
      </c>
      <c r="G10" s="24">
        <v>4350</v>
      </c>
      <c r="H10" s="24">
        <v>2411</v>
      </c>
      <c r="I10" s="24">
        <v>1995</v>
      </c>
      <c r="J10" s="24">
        <v>4146</v>
      </c>
      <c r="K10" s="24">
        <v>5043</v>
      </c>
      <c r="L10" s="24">
        <v>5726</v>
      </c>
      <c r="M10" s="24">
        <v>5385</v>
      </c>
      <c r="N10" s="24">
        <v>5187</v>
      </c>
      <c r="O10" s="24">
        <v>5987</v>
      </c>
      <c r="P10" s="24">
        <v>6727</v>
      </c>
      <c r="Q10" s="24">
        <v>6632</v>
      </c>
      <c r="R10" s="24">
        <v>10227</v>
      </c>
      <c r="S10" s="24">
        <v>12607</v>
      </c>
      <c r="T10" s="24">
        <v>12295</v>
      </c>
      <c r="U10" s="24">
        <v>7840</v>
      </c>
      <c r="V10" s="24">
        <v>2602</v>
      </c>
      <c r="W10" s="24">
        <v>4141</v>
      </c>
      <c r="X10" s="24">
        <v>9565</v>
      </c>
      <c r="Y10" s="24">
        <v>12272</v>
      </c>
      <c r="Z10" s="24">
        <v>10421</v>
      </c>
      <c r="AA10" s="24">
        <v>8306</v>
      </c>
      <c r="AB10" s="24">
        <v>9249</v>
      </c>
      <c r="AC10" s="24">
        <v>7725</v>
      </c>
      <c r="AD10" s="24">
        <v>10797</v>
      </c>
      <c r="AE10" s="24">
        <v>14794</v>
      </c>
      <c r="AF10" s="24">
        <v>9993</v>
      </c>
      <c r="AG10" s="24">
        <v>9628</v>
      </c>
      <c r="AH10" s="24">
        <v>14500</v>
      </c>
      <c r="AI10" s="24">
        <v>18318</v>
      </c>
      <c r="AJ10" s="24">
        <v>15494</v>
      </c>
      <c r="AK10" s="24">
        <v>17911</v>
      </c>
      <c r="AL10" s="24">
        <v>22721</v>
      </c>
      <c r="AM10" s="24">
        <v>25063</v>
      </c>
      <c r="AN10" s="24">
        <v>27104</v>
      </c>
      <c r="AO10" s="24">
        <v>28035</v>
      </c>
      <c r="AP10" s="24">
        <v>26988</v>
      </c>
      <c r="AQ10" s="24">
        <v>29402</v>
      </c>
      <c r="AR10" s="24">
        <v>27752</v>
      </c>
      <c r="AS10" s="24">
        <v>24254</v>
      </c>
      <c r="AT10" s="24">
        <v>24033</v>
      </c>
      <c r="AU10" s="24">
        <v>36004</v>
      </c>
      <c r="AV10" s="24">
        <v>39285</v>
      </c>
      <c r="AW10" s="24">
        <v>34191</v>
      </c>
      <c r="AX10" s="24">
        <v>26660</v>
      </c>
      <c r="AY10" s="24">
        <v>61642</v>
      </c>
      <c r="AZ10" s="24">
        <v>70221</v>
      </c>
      <c r="BA10" s="24">
        <v>77539</v>
      </c>
      <c r="BB10" s="24">
        <v>73842</v>
      </c>
      <c r="BC10" s="24">
        <v>52876</v>
      </c>
      <c r="BD10" s="24">
        <v>52695</v>
      </c>
      <c r="BE10" s="24">
        <v>95029</v>
      </c>
      <c r="BF10" s="24">
        <v>122998</v>
      </c>
      <c r="BG10" s="24">
        <v>162064</v>
      </c>
      <c r="BH10" s="24">
        <v>167985</v>
      </c>
      <c r="BI10" s="24">
        <v>168336</v>
      </c>
      <c r="BJ10" s="24">
        <v>145816</v>
      </c>
      <c r="BK10" s="24">
        <v>181391</v>
      </c>
      <c r="BL10" s="24">
        <v>206728</v>
      </c>
      <c r="BM10" s="24">
        <v>195861</v>
      </c>
      <c r="BN10" s="24">
        <v>179303</v>
      </c>
      <c r="BO10" s="24">
        <v>214016</v>
      </c>
      <c r="BP10" s="24">
        <v>205905</v>
      </c>
      <c r="BQ10" s="24">
        <v>201223</v>
      </c>
      <c r="BR10" s="24">
        <v>247024</v>
      </c>
      <c r="BS10" s="24">
        <v>252989</v>
      </c>
      <c r="BT10" s="24">
        <v>273681</v>
      </c>
      <c r="BU10" s="24">
        <v>315895</v>
      </c>
      <c r="BV10" s="24">
        <v>265996</v>
      </c>
      <c r="BW10" s="24">
        <v>234151</v>
      </c>
      <c r="BX10" s="24">
        <v>163476</v>
      </c>
      <c r="BY10" s="24">
        <v>247604</v>
      </c>
      <c r="BZ10" s="24">
        <v>504952</v>
      </c>
      <c r="CA10" s="24">
        <v>576124</v>
      </c>
      <c r="CB10" s="24">
        <v>623014</v>
      </c>
      <c r="CC10" s="24">
        <v>665416</v>
      </c>
      <c r="CD10" s="24">
        <v>753225</v>
      </c>
      <c r="CE10" s="24">
        <v>585906</v>
      </c>
      <c r="CF10" s="24">
        <v>529167</v>
      </c>
      <c r="CG10" s="24">
        <v>904798</v>
      </c>
      <c r="CH10" s="24">
        <v>1075831</v>
      </c>
      <c r="CI10" s="24">
        <v>1029714</v>
      </c>
      <c r="CJ10" s="24">
        <v>1124149</v>
      </c>
      <c r="CK10" s="24">
        <v>1110731</v>
      </c>
      <c r="CL10" s="24">
        <v>1106390</v>
      </c>
      <c r="CM10" s="24">
        <v>1156960</v>
      </c>
      <c r="CN10" s="24">
        <v>1138970</v>
      </c>
      <c r="CO10" s="24">
        <v>1240023</v>
      </c>
      <c r="CP10" s="24">
        <v>1296005</v>
      </c>
      <c r="CQ10" s="24">
        <v>1369204</v>
      </c>
      <c r="CR10" s="24">
        <v>1577929</v>
      </c>
      <c r="CS10" s="24">
        <v>2005913</v>
      </c>
      <c r="CT10" s="24">
        <v>1989145</v>
      </c>
      <c r="CU10" s="24">
        <v>1899279</v>
      </c>
      <c r="CV10" s="24">
        <v>2062288</v>
      </c>
    </row>
    <row r="11" spans="1:100">
      <c r="A11" s="24" t="s">
        <v>1558</v>
      </c>
      <c r="B11" s="24" t="s">
        <v>1448</v>
      </c>
      <c r="C11" s="24" t="s">
        <v>1448</v>
      </c>
      <c r="D11" s="24" t="s">
        <v>1448</v>
      </c>
      <c r="E11" s="24">
        <v>6.2957159999999998E-2</v>
      </c>
      <c r="F11" s="24">
        <v>6.3038239999999995E-2</v>
      </c>
      <c r="G11" s="24">
        <v>6.2768690000000002E-2</v>
      </c>
      <c r="H11" s="24">
        <v>4.0346649999999998E-2</v>
      </c>
      <c r="I11" s="24">
        <v>2.6344780000000002E-2</v>
      </c>
      <c r="J11" s="24">
        <v>6.5619360000000002E-2</v>
      </c>
      <c r="K11" s="24">
        <v>6.1747570000000002E-2</v>
      </c>
      <c r="L11" s="24">
        <v>5.5511940000000003E-2</v>
      </c>
      <c r="M11" s="24">
        <v>7.1147559999999999E-2</v>
      </c>
      <c r="N11" s="24">
        <v>5.7685239999999999E-2</v>
      </c>
      <c r="O11" s="24">
        <v>6.6216049999999999E-2</v>
      </c>
      <c r="P11" s="24">
        <v>7.9931329999999995E-2</v>
      </c>
      <c r="Q11" s="24">
        <v>8.6408910000000005E-2</v>
      </c>
      <c r="R11" s="24">
        <v>0.11899543999999999</v>
      </c>
      <c r="S11" s="24">
        <v>0.12933933</v>
      </c>
      <c r="T11" s="24">
        <v>0.11597548000000001</v>
      </c>
      <c r="U11" s="24">
        <v>5.1467890000000002E-2</v>
      </c>
      <c r="V11" s="24">
        <v>1.6382089999999998E-2</v>
      </c>
      <c r="W11" s="24">
        <v>2.5574360000000001E-2</v>
      </c>
      <c r="X11" s="24">
        <v>5.7894609999999999E-2</v>
      </c>
      <c r="Y11" s="24">
        <v>7.1789169999999999E-2</v>
      </c>
      <c r="Z11" s="24">
        <v>5.2283290000000003E-2</v>
      </c>
      <c r="AA11" s="24">
        <v>3.3706949999999999E-2</v>
      </c>
      <c r="AB11" s="24">
        <v>3.8491949999999997E-2</v>
      </c>
      <c r="AC11" s="24">
        <v>3.2684299999999999E-2</v>
      </c>
      <c r="AD11" s="24">
        <v>3.2602689999999997E-2</v>
      </c>
      <c r="AE11" s="24">
        <v>3.4432999999999998E-2</v>
      </c>
      <c r="AF11" s="24">
        <v>2.0714320000000001E-2</v>
      </c>
      <c r="AG11" s="24">
        <v>2.171124E-2</v>
      </c>
      <c r="AH11" s="24">
        <v>2.445903E-2</v>
      </c>
      <c r="AI11" s="24">
        <v>2.7480000000000001E-2</v>
      </c>
      <c r="AJ11" s="24">
        <v>2.2887749999999998E-2</v>
      </c>
      <c r="AK11" s="24">
        <v>2.1541910000000001E-2</v>
      </c>
      <c r="AL11" s="24">
        <v>2.7840710000000001E-2</v>
      </c>
      <c r="AM11" s="24">
        <v>2.8916600000000001E-2</v>
      </c>
      <c r="AN11" s="24">
        <v>2.8405449999999999E-2</v>
      </c>
      <c r="AO11" s="24">
        <v>2.69952E-2</v>
      </c>
      <c r="AP11" s="24">
        <v>2.7193829999999999E-2</v>
      </c>
      <c r="AQ11" s="24">
        <v>2.5357350000000001E-2</v>
      </c>
      <c r="AR11" s="24">
        <v>2.0784560000000001E-2</v>
      </c>
      <c r="AS11" s="24">
        <v>1.9984160000000001E-2</v>
      </c>
      <c r="AT11" s="24">
        <v>1.9559839999999998E-2</v>
      </c>
      <c r="AU11" s="24">
        <v>2.6548289999999999E-2</v>
      </c>
      <c r="AV11" s="24">
        <v>2.554381E-2</v>
      </c>
      <c r="AW11" s="24">
        <v>2.62007E-2</v>
      </c>
      <c r="AX11" s="24">
        <v>2.6829450000000001E-2</v>
      </c>
      <c r="AY11" s="24">
        <v>4.6345659999999997E-2</v>
      </c>
      <c r="AZ11" s="24">
        <v>4.7545339999999998E-2</v>
      </c>
      <c r="BA11" s="24">
        <v>5.5420230000000001E-2</v>
      </c>
      <c r="BB11" s="24">
        <v>5.0666940000000001E-2</v>
      </c>
      <c r="BC11" s="24">
        <v>3.1895960000000001E-2</v>
      </c>
      <c r="BD11" s="24">
        <v>2.572905E-2</v>
      </c>
      <c r="BE11" s="24">
        <v>4.5539000000000003E-2</v>
      </c>
      <c r="BF11" s="24">
        <v>5.5632849999999998E-2</v>
      </c>
      <c r="BG11" s="24">
        <v>6.5717040000000004E-2</v>
      </c>
      <c r="BH11" s="24">
        <v>6.7549830000000005E-2</v>
      </c>
      <c r="BI11" s="24">
        <v>5.8537239999999997E-2</v>
      </c>
      <c r="BJ11" s="24">
        <v>4.4923770000000002E-2</v>
      </c>
      <c r="BK11" s="24">
        <v>5.399901E-2</v>
      </c>
      <c r="BL11" s="24">
        <v>5.5166510000000002E-2</v>
      </c>
      <c r="BM11" s="24">
        <v>4.4053059999999998E-2</v>
      </c>
      <c r="BN11" s="24">
        <v>3.9766740000000002E-2</v>
      </c>
      <c r="BO11" s="24">
        <v>3.7896720000000002E-2</v>
      </c>
      <c r="BP11" s="24">
        <v>3.2055979999999998E-2</v>
      </c>
      <c r="BQ11" s="24">
        <v>3.0002000000000001E-2</v>
      </c>
      <c r="BR11" s="24">
        <v>3.6749589999999999E-2</v>
      </c>
      <c r="BS11" s="24">
        <v>2.9604789999999999E-2</v>
      </c>
      <c r="BT11" s="24">
        <v>2.7987270000000002E-2</v>
      </c>
      <c r="BU11" s="24">
        <v>2.5413979999999999E-2</v>
      </c>
      <c r="BV11" s="24">
        <v>1.7737900000000001E-2</v>
      </c>
      <c r="BW11" s="24">
        <v>1.2696290000000001E-2</v>
      </c>
      <c r="BX11" s="24">
        <v>9.7820500000000005E-3</v>
      </c>
      <c r="BY11" s="24">
        <v>1.587214E-2</v>
      </c>
      <c r="BZ11" s="24">
        <v>4.0097889999999997E-2</v>
      </c>
      <c r="CA11" s="24">
        <v>3.8134469999999997E-2</v>
      </c>
      <c r="CB11" s="24">
        <v>3.7984320000000002E-2</v>
      </c>
      <c r="CC11" s="24">
        <v>3.9688279999999999E-2</v>
      </c>
      <c r="CD11" s="24">
        <v>4.0292229999999998E-2</v>
      </c>
      <c r="CE11" s="24">
        <v>3.1506100000000002E-2</v>
      </c>
      <c r="CF11" s="24">
        <v>3.6982109999999999E-2</v>
      </c>
      <c r="CG11" s="24">
        <v>5.95522E-2</v>
      </c>
      <c r="CH11" s="24">
        <v>5.6271540000000002E-2</v>
      </c>
      <c r="CI11" s="24">
        <v>5.2761410000000002E-2</v>
      </c>
      <c r="CJ11" s="24">
        <v>5.1146520000000001E-2</v>
      </c>
      <c r="CK11" s="24">
        <v>3.8503320000000001E-2</v>
      </c>
      <c r="CL11" s="24">
        <v>3.4319509999999998E-2</v>
      </c>
      <c r="CM11" s="24">
        <v>3.599509E-2</v>
      </c>
      <c r="CN11" s="24">
        <v>3.2890120000000002E-2</v>
      </c>
      <c r="CO11" s="24">
        <v>3.1959210000000002E-2</v>
      </c>
      <c r="CP11" s="24">
        <v>3.4496159999999998E-2</v>
      </c>
      <c r="CQ11" s="24">
        <v>3.0496599999999999E-2</v>
      </c>
      <c r="CR11" s="24">
        <v>2.9900929999999999E-2</v>
      </c>
      <c r="CS11" s="24">
        <v>3.046008E-2</v>
      </c>
      <c r="CT11" s="24">
        <v>3.544162E-2</v>
      </c>
      <c r="CU11" s="24">
        <v>2.8541830000000001E-2</v>
      </c>
      <c r="CV11" s="24">
        <v>2.545615E-2</v>
      </c>
    </row>
    <row r="12" spans="1:100">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row>
    <row r="13" spans="1:100">
      <c r="A13" s="24" t="s">
        <v>1559</v>
      </c>
      <c r="B13" s="24" t="s">
        <v>1448</v>
      </c>
      <c r="C13" s="24" t="s">
        <v>1448</v>
      </c>
      <c r="D13" s="24" t="s">
        <v>1448</v>
      </c>
      <c r="E13" s="12">
        <v>77382</v>
      </c>
      <c r="F13" s="12">
        <v>70136</v>
      </c>
      <c r="G13" s="12">
        <v>60672</v>
      </c>
      <c r="H13" s="12">
        <v>48714</v>
      </c>
      <c r="I13" s="12">
        <v>45945</v>
      </c>
      <c r="J13" s="12">
        <v>51461</v>
      </c>
      <c r="K13" s="12">
        <v>55932</v>
      </c>
      <c r="L13" s="12">
        <v>62188</v>
      </c>
      <c r="M13" s="12">
        <v>66839</v>
      </c>
      <c r="N13" s="12">
        <v>64272</v>
      </c>
      <c r="O13" s="12">
        <v>67209</v>
      </c>
      <c r="P13" s="12">
        <v>71288</v>
      </c>
      <c r="Q13" s="12">
        <v>81072</v>
      </c>
      <c r="R13" s="12">
        <v>89002</v>
      </c>
      <c r="S13" s="12">
        <v>99903</v>
      </c>
      <c r="T13" s="12">
        <v>108648</v>
      </c>
      <c r="U13" s="12">
        <v>119977</v>
      </c>
      <c r="V13" s="12">
        <v>144198</v>
      </c>
      <c r="W13" s="12">
        <v>161852</v>
      </c>
      <c r="X13" s="12">
        <v>174878</v>
      </c>
      <c r="Y13" s="12">
        <v>178333</v>
      </c>
      <c r="Z13" s="12">
        <v>192044</v>
      </c>
      <c r="AA13" s="12">
        <v>208339</v>
      </c>
      <c r="AB13" s="12">
        <v>219320</v>
      </c>
      <c r="AC13" s="12">
        <v>232740</v>
      </c>
      <c r="AD13" s="12">
        <v>239608</v>
      </c>
      <c r="AE13" s="12">
        <v>258288</v>
      </c>
      <c r="AF13" s="12">
        <v>271128</v>
      </c>
      <c r="AG13" s="12">
        <v>286296</v>
      </c>
      <c r="AH13" s="12">
        <v>295606</v>
      </c>
      <c r="AI13" s="12">
        <v>317130</v>
      </c>
      <c r="AJ13" s="12">
        <v>331180</v>
      </c>
      <c r="AK13" s="12">
        <v>341475</v>
      </c>
      <c r="AL13" s="12">
        <v>362557</v>
      </c>
      <c r="AM13" s="12">
        <v>382035</v>
      </c>
      <c r="AN13" s="12">
        <v>410632</v>
      </c>
      <c r="AO13" s="12">
        <v>442973</v>
      </c>
      <c r="AP13" s="12">
        <v>479919</v>
      </c>
      <c r="AQ13" s="12">
        <v>506685</v>
      </c>
      <c r="AR13" s="12">
        <v>556852</v>
      </c>
      <c r="AS13" s="12">
        <v>603639</v>
      </c>
      <c r="AT13" s="12">
        <v>646724</v>
      </c>
      <c r="AU13" s="12">
        <v>699937</v>
      </c>
      <c r="AV13" s="12">
        <v>768153</v>
      </c>
      <c r="AW13" s="12">
        <v>849575</v>
      </c>
      <c r="AX13" s="12">
        <v>930161</v>
      </c>
      <c r="AY13" s="12">
        <v>1030547</v>
      </c>
      <c r="AZ13" s="12">
        <v>1147666</v>
      </c>
      <c r="BA13" s="12">
        <v>1273975</v>
      </c>
      <c r="BB13" s="12">
        <v>1422252</v>
      </c>
      <c r="BC13" s="12">
        <v>1585420</v>
      </c>
      <c r="BD13" s="12">
        <v>1750667</v>
      </c>
      <c r="BE13" s="12">
        <v>1933951</v>
      </c>
      <c r="BF13" s="12">
        <v>2071256</v>
      </c>
      <c r="BG13" s="12">
        <v>2281605</v>
      </c>
      <c r="BH13" s="12">
        <v>2492340</v>
      </c>
      <c r="BI13" s="12">
        <v>2712830</v>
      </c>
      <c r="BJ13" s="12">
        <v>2886278</v>
      </c>
      <c r="BK13" s="12">
        <v>3076279</v>
      </c>
      <c r="BL13" s="12">
        <v>3330012</v>
      </c>
      <c r="BM13" s="12">
        <v>3576758</v>
      </c>
      <c r="BN13" s="12">
        <v>3808994</v>
      </c>
      <c r="BO13" s="12">
        <v>3943449</v>
      </c>
      <c r="BP13" s="12">
        <v>4197559</v>
      </c>
      <c r="BQ13" s="12">
        <v>4451984</v>
      </c>
      <c r="BR13" s="12">
        <v>4720965</v>
      </c>
      <c r="BS13" s="12">
        <v>4962590</v>
      </c>
      <c r="BT13" s="12">
        <v>5244596</v>
      </c>
      <c r="BU13" s="12">
        <v>5536790</v>
      </c>
      <c r="BV13" s="12">
        <v>5877248</v>
      </c>
      <c r="BW13" s="12">
        <v>6283758</v>
      </c>
      <c r="BX13" s="12">
        <v>6767179</v>
      </c>
      <c r="BY13" s="12">
        <v>7073801</v>
      </c>
      <c r="BZ13" s="12">
        <v>7348941</v>
      </c>
      <c r="CA13" s="12">
        <v>7740749</v>
      </c>
      <c r="CB13" s="12">
        <v>8231960</v>
      </c>
      <c r="CC13" s="12">
        <v>8769066</v>
      </c>
      <c r="CD13" s="12">
        <v>9277236</v>
      </c>
      <c r="CE13" s="12">
        <v>9746594</v>
      </c>
      <c r="CF13" s="12">
        <v>10050083</v>
      </c>
      <c r="CG13" s="12">
        <v>9891218</v>
      </c>
      <c r="CH13" s="12">
        <v>10260256</v>
      </c>
      <c r="CI13" s="12">
        <v>10698857</v>
      </c>
      <c r="CJ13" s="12">
        <v>11047363</v>
      </c>
      <c r="CK13" s="12">
        <v>11388233</v>
      </c>
      <c r="CL13" s="12">
        <v>11874450</v>
      </c>
      <c r="CM13" s="12">
        <v>12297438</v>
      </c>
      <c r="CN13" s="12">
        <v>12726849</v>
      </c>
      <c r="CO13" s="12">
        <v>13290626</v>
      </c>
      <c r="CP13" s="12">
        <v>13934442</v>
      </c>
      <c r="CQ13" s="12">
        <v>14437543</v>
      </c>
      <c r="CR13" s="12">
        <v>14225657</v>
      </c>
      <c r="CS13" s="12">
        <v>16113945</v>
      </c>
      <c r="CT13" s="12">
        <v>17690841</v>
      </c>
      <c r="CU13" s="12">
        <v>18822769</v>
      </c>
      <c r="CV13" s="12">
        <v>19825338</v>
      </c>
    </row>
    <row r="14" spans="1:100">
      <c r="A14" s="24" t="s">
        <v>1560</v>
      </c>
      <c r="B14" s="24" t="s">
        <v>1448</v>
      </c>
      <c r="C14" s="24" t="s">
        <v>1448</v>
      </c>
      <c r="D14" s="24" t="s">
        <v>1448</v>
      </c>
      <c r="E14" s="24">
        <v>9829</v>
      </c>
      <c r="F14" s="24">
        <v>7661</v>
      </c>
      <c r="G14" s="24">
        <v>5911</v>
      </c>
      <c r="H14" s="24">
        <v>3959</v>
      </c>
      <c r="I14" s="24">
        <v>3762</v>
      </c>
      <c r="J14" s="24">
        <v>4564</v>
      </c>
      <c r="K14" s="24">
        <v>5493</v>
      </c>
      <c r="L14" s="24">
        <v>6749</v>
      </c>
      <c r="M14" s="24">
        <v>7393</v>
      </c>
      <c r="N14" s="24">
        <v>6123</v>
      </c>
      <c r="O14" s="24">
        <v>7168</v>
      </c>
      <c r="P14" s="24">
        <v>8287</v>
      </c>
      <c r="Q14" s="24">
        <v>10268</v>
      </c>
      <c r="R14" s="24">
        <v>7630</v>
      </c>
      <c r="S14" s="24">
        <v>7471</v>
      </c>
      <c r="T14" s="24">
        <v>7743</v>
      </c>
      <c r="U14" s="24">
        <v>9098</v>
      </c>
      <c r="V14" s="24">
        <v>17114</v>
      </c>
      <c r="W14" s="24">
        <v>21833</v>
      </c>
      <c r="X14" s="24">
        <v>24453</v>
      </c>
      <c r="Y14" s="24">
        <v>26623</v>
      </c>
      <c r="Z14" s="24">
        <v>32445</v>
      </c>
      <c r="AA14" s="24">
        <v>31739</v>
      </c>
      <c r="AB14" s="24">
        <v>31243</v>
      </c>
      <c r="AC14" s="24">
        <v>34616</v>
      </c>
      <c r="AD14" s="24">
        <v>33713</v>
      </c>
      <c r="AE14" s="24">
        <v>40745</v>
      </c>
      <c r="AF14" s="24">
        <v>40169</v>
      </c>
      <c r="AG14" s="24">
        <v>42027</v>
      </c>
      <c r="AH14" s="24">
        <v>39530</v>
      </c>
      <c r="AI14" s="24">
        <v>44888</v>
      </c>
      <c r="AJ14" s="24">
        <v>45625</v>
      </c>
      <c r="AK14" s="24">
        <v>44206</v>
      </c>
      <c r="AL14" s="24">
        <v>49465</v>
      </c>
      <c r="AM14" s="24">
        <v>54228</v>
      </c>
      <c r="AN14" s="24">
        <v>59556</v>
      </c>
      <c r="AO14" s="24">
        <v>66390</v>
      </c>
      <c r="AP14" s="24">
        <v>71745</v>
      </c>
      <c r="AQ14" s="24">
        <v>73981</v>
      </c>
      <c r="AR14" s="24">
        <v>84828</v>
      </c>
      <c r="AS14" s="24">
        <v>90483</v>
      </c>
      <c r="AT14" s="24">
        <v>89988</v>
      </c>
      <c r="AU14" s="24">
        <v>102446</v>
      </c>
      <c r="AV14" s="24">
        <v>116444</v>
      </c>
      <c r="AW14" s="24">
        <v>130527</v>
      </c>
      <c r="AX14" s="24">
        <v>130177</v>
      </c>
      <c r="AY14" s="24">
        <v>142165</v>
      </c>
      <c r="AZ14" s="24">
        <v>168624</v>
      </c>
      <c r="BA14" s="24">
        <v>191963</v>
      </c>
      <c r="BB14" s="24">
        <v>213348</v>
      </c>
      <c r="BC14" s="24">
        <v>226340</v>
      </c>
      <c r="BD14" s="24">
        <v>226391</v>
      </c>
      <c r="BE14" s="24">
        <v>243938</v>
      </c>
      <c r="BF14" s="24">
        <v>253032</v>
      </c>
      <c r="BG14" s="24">
        <v>295031</v>
      </c>
      <c r="BH14" s="24">
        <v>342156</v>
      </c>
      <c r="BI14" s="24">
        <v>380365</v>
      </c>
      <c r="BJ14" s="24">
        <v>421439</v>
      </c>
      <c r="BK14" s="24">
        <v>442022</v>
      </c>
      <c r="BL14" s="24">
        <v>475053</v>
      </c>
      <c r="BM14" s="24">
        <v>494330</v>
      </c>
      <c r="BN14" s="24">
        <v>497079</v>
      </c>
      <c r="BO14" s="24">
        <v>477183</v>
      </c>
      <c r="BP14" s="24">
        <v>508081</v>
      </c>
      <c r="BQ14" s="24">
        <v>551532</v>
      </c>
      <c r="BR14" s="24">
        <v>607171</v>
      </c>
      <c r="BS14" s="24">
        <v>635738</v>
      </c>
      <c r="BT14" s="24">
        <v>676295</v>
      </c>
      <c r="BU14" s="24">
        <v>715530</v>
      </c>
      <c r="BV14" s="24">
        <v>779293</v>
      </c>
      <c r="BW14" s="24">
        <v>855568</v>
      </c>
      <c r="BX14" s="24">
        <v>912572</v>
      </c>
      <c r="BY14" s="24">
        <v>941515</v>
      </c>
      <c r="BZ14" s="24">
        <v>985368</v>
      </c>
      <c r="CA14" s="24">
        <v>1017801</v>
      </c>
      <c r="CB14" s="24">
        <v>1080574</v>
      </c>
      <c r="CC14" s="24">
        <v>1128610</v>
      </c>
      <c r="CD14" s="24">
        <v>1158333</v>
      </c>
      <c r="CE14" s="24">
        <v>1188043</v>
      </c>
      <c r="CF14" s="24">
        <v>1098761</v>
      </c>
      <c r="CG14" s="24">
        <v>1012121</v>
      </c>
      <c r="CH14" s="24">
        <v>1048962</v>
      </c>
      <c r="CI14" s="24">
        <v>1093499</v>
      </c>
      <c r="CJ14" s="24">
        <v>1144221</v>
      </c>
      <c r="CK14" s="24">
        <v>1191786</v>
      </c>
      <c r="CL14" s="24">
        <v>1247260</v>
      </c>
      <c r="CM14" s="24">
        <v>1315794</v>
      </c>
      <c r="CN14" s="24">
        <v>1356495</v>
      </c>
      <c r="CO14" s="24">
        <v>1415911</v>
      </c>
      <c r="CP14" s="24">
        <v>1488831</v>
      </c>
      <c r="CQ14" s="24">
        <v>1523644</v>
      </c>
      <c r="CR14" s="24">
        <v>1616929</v>
      </c>
      <c r="CS14" s="24">
        <v>1990266</v>
      </c>
      <c r="CT14" s="24">
        <v>2078035</v>
      </c>
      <c r="CU14" s="24">
        <v>2142619</v>
      </c>
      <c r="CV14" s="24">
        <v>2167440</v>
      </c>
    </row>
    <row r="15" spans="1:100">
      <c r="A15" s="24" t="s">
        <v>1561</v>
      </c>
      <c r="B15" s="24" t="s">
        <v>1448</v>
      </c>
      <c r="C15" s="24" t="s">
        <v>1448</v>
      </c>
      <c r="D15" s="24" t="s">
        <v>1448</v>
      </c>
      <c r="E15" s="24">
        <v>67553</v>
      </c>
      <c r="F15" s="24">
        <v>62475</v>
      </c>
      <c r="G15" s="24">
        <v>54761</v>
      </c>
      <c r="H15" s="24">
        <v>44755</v>
      </c>
      <c r="I15" s="24">
        <v>42183</v>
      </c>
      <c r="J15" s="24">
        <v>46897</v>
      </c>
      <c r="K15" s="24">
        <v>50439</v>
      </c>
      <c r="L15" s="24">
        <v>55439</v>
      </c>
      <c r="M15" s="24">
        <v>59446</v>
      </c>
      <c r="N15" s="24">
        <v>58149</v>
      </c>
      <c r="O15" s="24">
        <v>60041</v>
      </c>
      <c r="P15" s="24">
        <v>63001</v>
      </c>
      <c r="Q15" s="24">
        <v>70804</v>
      </c>
      <c r="R15" s="24">
        <v>81372</v>
      </c>
      <c r="S15" s="24">
        <v>92432</v>
      </c>
      <c r="T15" s="24">
        <v>100905</v>
      </c>
      <c r="U15" s="24">
        <v>110879</v>
      </c>
      <c r="V15" s="24">
        <v>127084</v>
      </c>
      <c r="W15" s="24">
        <v>140019</v>
      </c>
      <c r="X15" s="24">
        <v>150425</v>
      </c>
      <c r="Y15" s="24">
        <v>151710</v>
      </c>
      <c r="Z15" s="24">
        <v>159599</v>
      </c>
      <c r="AA15" s="24">
        <v>176600</v>
      </c>
      <c r="AB15" s="24">
        <v>188077</v>
      </c>
      <c r="AC15" s="24">
        <v>198124</v>
      </c>
      <c r="AD15" s="24">
        <v>205895</v>
      </c>
      <c r="AE15" s="24">
        <v>217543</v>
      </c>
      <c r="AF15" s="24">
        <v>230959</v>
      </c>
      <c r="AG15" s="24">
        <v>244269</v>
      </c>
      <c r="AH15" s="24">
        <v>256076</v>
      </c>
      <c r="AI15" s="24">
        <v>272242</v>
      </c>
      <c r="AJ15" s="24">
        <v>285555</v>
      </c>
      <c r="AK15" s="24">
        <v>297269</v>
      </c>
      <c r="AL15" s="24">
        <v>313092</v>
      </c>
      <c r="AM15" s="24">
        <v>327807</v>
      </c>
      <c r="AN15" s="24">
        <v>351076</v>
      </c>
      <c r="AO15" s="24">
        <v>376583</v>
      </c>
      <c r="AP15" s="24">
        <v>408174</v>
      </c>
      <c r="AQ15" s="24">
        <v>432704</v>
      </c>
      <c r="AR15" s="24">
        <v>472024</v>
      </c>
      <c r="AS15" s="24">
        <v>513156</v>
      </c>
      <c r="AT15" s="24">
        <v>556736</v>
      </c>
      <c r="AU15" s="24">
        <v>597491</v>
      </c>
      <c r="AV15" s="24">
        <v>651709</v>
      </c>
      <c r="AW15" s="24">
        <v>719048</v>
      </c>
      <c r="AX15" s="24">
        <v>799984</v>
      </c>
      <c r="AY15" s="24">
        <v>888382</v>
      </c>
      <c r="AZ15" s="24">
        <v>979042</v>
      </c>
      <c r="BA15" s="24">
        <v>1082012</v>
      </c>
      <c r="BB15" s="24">
        <v>1208904</v>
      </c>
      <c r="BC15" s="24">
        <v>1359080</v>
      </c>
      <c r="BD15" s="24">
        <v>1524276</v>
      </c>
      <c r="BE15" s="24">
        <v>1690013</v>
      </c>
      <c r="BF15" s="24">
        <v>1818224</v>
      </c>
      <c r="BG15" s="24">
        <v>1986574</v>
      </c>
      <c r="BH15" s="24">
        <v>2150184</v>
      </c>
      <c r="BI15" s="24">
        <v>2332465</v>
      </c>
      <c r="BJ15" s="24">
        <v>2464839</v>
      </c>
      <c r="BK15" s="24">
        <v>2634257</v>
      </c>
      <c r="BL15" s="24">
        <v>2854959</v>
      </c>
      <c r="BM15" s="24">
        <v>3082428</v>
      </c>
      <c r="BN15" s="24">
        <v>3311915</v>
      </c>
      <c r="BO15" s="24">
        <v>3466266</v>
      </c>
      <c r="BP15" s="24">
        <v>3689478</v>
      </c>
      <c r="BQ15" s="24">
        <v>3900452</v>
      </c>
      <c r="BR15" s="24">
        <v>4113794</v>
      </c>
      <c r="BS15" s="24">
        <v>4326852</v>
      </c>
      <c r="BT15" s="24">
        <v>4568301</v>
      </c>
      <c r="BU15" s="24">
        <v>4821260</v>
      </c>
      <c r="BV15" s="24">
        <v>5097955</v>
      </c>
      <c r="BW15" s="24">
        <v>5428190</v>
      </c>
      <c r="BX15" s="24">
        <v>5854607</v>
      </c>
      <c r="BY15" s="24">
        <v>6132286</v>
      </c>
      <c r="BZ15" s="24">
        <v>6363573</v>
      </c>
      <c r="CA15" s="24">
        <v>6722948</v>
      </c>
      <c r="CB15" s="24">
        <v>7151386</v>
      </c>
      <c r="CC15" s="24">
        <v>7640456</v>
      </c>
      <c r="CD15" s="24">
        <v>8118903</v>
      </c>
      <c r="CE15" s="24">
        <v>8558551</v>
      </c>
      <c r="CF15" s="24">
        <v>8951322</v>
      </c>
      <c r="CG15" s="24">
        <v>8879097</v>
      </c>
      <c r="CH15" s="24">
        <v>9211294</v>
      </c>
      <c r="CI15" s="24">
        <v>9605358</v>
      </c>
      <c r="CJ15" s="24">
        <v>9903142</v>
      </c>
      <c r="CK15" s="24">
        <v>10196447</v>
      </c>
      <c r="CL15" s="24">
        <v>10627190</v>
      </c>
      <c r="CM15" s="24">
        <v>10981644</v>
      </c>
      <c r="CN15" s="24">
        <v>11370354</v>
      </c>
      <c r="CO15" s="24">
        <v>11874715</v>
      </c>
      <c r="CP15" s="24">
        <v>12445611</v>
      </c>
      <c r="CQ15" s="24">
        <v>12913899</v>
      </c>
      <c r="CR15" s="24">
        <v>12608728</v>
      </c>
      <c r="CS15" s="24">
        <v>14123679</v>
      </c>
      <c r="CT15" s="24">
        <v>15612806</v>
      </c>
      <c r="CU15" s="24">
        <v>16680150</v>
      </c>
      <c r="CV15" s="24">
        <v>17657898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68BFA-4757-4440-905E-55410A2AE655}">
  <dimension ref="A1:IZ223"/>
  <sheetViews>
    <sheetView topLeftCell="A5" workbookViewId="0">
      <selection activeCell="B37" sqref="B37:D223"/>
    </sheetView>
  </sheetViews>
  <sheetFormatPr baseColWidth="10" defaultColWidth="11.5" defaultRowHeight="16"/>
  <sheetData>
    <row r="1" spans="1:260">
      <c r="A1" t="s">
        <v>1805</v>
      </c>
    </row>
    <row r="3" spans="1:260">
      <c r="A3" t="s">
        <v>1806</v>
      </c>
      <c r="C3" t="s">
        <v>1809</v>
      </c>
    </row>
    <row r="5" spans="1:260">
      <c r="B5" s="30">
        <v>22282</v>
      </c>
      <c r="C5" s="30">
        <v>22372</v>
      </c>
      <c r="D5" s="30">
        <v>22463</v>
      </c>
      <c r="E5" s="30">
        <v>22555</v>
      </c>
      <c r="F5" s="30">
        <v>22647</v>
      </c>
      <c r="G5" s="30">
        <v>22737</v>
      </c>
      <c r="H5" s="30">
        <v>22828</v>
      </c>
      <c r="I5" s="30">
        <v>22920</v>
      </c>
      <c r="J5" s="30">
        <v>23012</v>
      </c>
      <c r="K5" s="30">
        <v>23102</v>
      </c>
      <c r="L5" s="30">
        <v>23193</v>
      </c>
      <c r="M5" s="30">
        <v>23285</v>
      </c>
      <c r="N5" s="30">
        <v>23377</v>
      </c>
      <c r="O5" s="30">
        <v>23468</v>
      </c>
      <c r="P5" s="30">
        <v>23559</v>
      </c>
      <c r="Q5" s="30">
        <v>23651</v>
      </c>
      <c r="R5" s="30">
        <v>23743</v>
      </c>
      <c r="S5" s="30">
        <v>23833</v>
      </c>
      <c r="T5" s="30">
        <v>23924</v>
      </c>
      <c r="U5" s="30">
        <v>24016</v>
      </c>
      <c r="V5" s="30">
        <v>24108</v>
      </c>
      <c r="W5" s="30">
        <v>24198</v>
      </c>
      <c r="X5" s="30">
        <v>24289</v>
      </c>
      <c r="Y5" s="30">
        <v>24381</v>
      </c>
      <c r="Z5" s="30">
        <v>24473</v>
      </c>
      <c r="AA5" s="30">
        <v>24563</v>
      </c>
      <c r="AB5" s="30">
        <v>24654</v>
      </c>
      <c r="AC5" s="30">
        <v>24746</v>
      </c>
      <c r="AD5" s="30">
        <v>24838</v>
      </c>
      <c r="AE5" s="30">
        <v>24929</v>
      </c>
      <c r="AF5" s="30">
        <v>25020</v>
      </c>
      <c r="AG5" s="30">
        <v>25112</v>
      </c>
      <c r="AH5" s="30">
        <v>25204</v>
      </c>
      <c r="AI5" s="30">
        <v>25294</v>
      </c>
      <c r="AJ5" s="30">
        <v>25385</v>
      </c>
      <c r="AK5" s="30">
        <v>25477</v>
      </c>
      <c r="AL5" s="30">
        <v>25569</v>
      </c>
      <c r="AM5" s="30">
        <v>25659</v>
      </c>
      <c r="AN5" s="30">
        <v>25750</v>
      </c>
      <c r="AO5" s="30">
        <v>25842</v>
      </c>
      <c r="AP5" s="30">
        <v>25934</v>
      </c>
      <c r="AQ5" s="30">
        <v>26024</v>
      </c>
      <c r="AR5" s="30">
        <v>26115</v>
      </c>
      <c r="AS5" s="30">
        <v>26207</v>
      </c>
      <c r="AT5" s="30">
        <v>26299</v>
      </c>
      <c r="AU5" s="30">
        <v>26390</v>
      </c>
      <c r="AV5" s="30">
        <v>26481</v>
      </c>
      <c r="AW5" s="30">
        <v>26573</v>
      </c>
      <c r="AX5" s="30">
        <v>26665</v>
      </c>
      <c r="AY5" s="30">
        <v>26755</v>
      </c>
      <c r="AZ5" s="30">
        <v>26846</v>
      </c>
      <c r="BA5" s="30">
        <v>26938</v>
      </c>
      <c r="BB5" s="30">
        <v>27030</v>
      </c>
      <c r="BC5" s="30">
        <v>27120</v>
      </c>
      <c r="BD5" s="30">
        <v>27211</v>
      </c>
      <c r="BE5" s="30">
        <v>27303</v>
      </c>
      <c r="BF5" s="30">
        <v>27395</v>
      </c>
      <c r="BG5" s="30">
        <v>27485</v>
      </c>
      <c r="BH5" s="30">
        <v>27576</v>
      </c>
      <c r="BI5" s="30">
        <v>27668</v>
      </c>
      <c r="BJ5" s="30">
        <v>27760</v>
      </c>
      <c r="BK5" s="30">
        <v>27851</v>
      </c>
      <c r="BL5" s="30">
        <v>27942</v>
      </c>
      <c r="BM5" s="30">
        <v>28034</v>
      </c>
      <c r="BN5" s="30">
        <v>28126</v>
      </c>
      <c r="BO5" s="30">
        <v>28216</v>
      </c>
      <c r="BP5" s="30">
        <v>28307</v>
      </c>
      <c r="BQ5" s="30">
        <v>28399</v>
      </c>
      <c r="BR5" s="30">
        <v>28491</v>
      </c>
      <c r="BS5" s="30">
        <v>28581</v>
      </c>
      <c r="BT5" s="30">
        <v>28672</v>
      </c>
      <c r="BU5" s="30">
        <v>28764</v>
      </c>
      <c r="BV5" s="30">
        <v>28856</v>
      </c>
      <c r="BW5" s="30">
        <v>28946</v>
      </c>
      <c r="BX5" s="30">
        <v>29037</v>
      </c>
      <c r="BY5" s="30">
        <v>29129</v>
      </c>
      <c r="BZ5" s="30">
        <v>29221</v>
      </c>
      <c r="CA5" s="30">
        <v>29312</v>
      </c>
      <c r="CB5" s="30">
        <v>29403</v>
      </c>
      <c r="CC5" s="30">
        <v>29495</v>
      </c>
      <c r="CD5" s="30">
        <v>29587</v>
      </c>
      <c r="CE5" s="30">
        <v>29677</v>
      </c>
      <c r="CF5" s="30">
        <v>29768</v>
      </c>
      <c r="CG5" s="30">
        <v>29860</v>
      </c>
      <c r="CH5" s="30">
        <v>29952</v>
      </c>
      <c r="CI5" s="30">
        <v>30042</v>
      </c>
      <c r="CJ5" s="30">
        <v>30133</v>
      </c>
      <c r="CK5" s="30">
        <v>30225</v>
      </c>
      <c r="CL5" s="30">
        <v>30317</v>
      </c>
      <c r="CM5" s="30">
        <v>30407</v>
      </c>
      <c r="CN5" s="30">
        <v>30498</v>
      </c>
      <c r="CO5" s="30">
        <v>30590</v>
      </c>
      <c r="CP5" s="30">
        <v>30682</v>
      </c>
      <c r="CQ5" s="30">
        <v>30773</v>
      </c>
      <c r="CR5" s="30">
        <v>30864</v>
      </c>
      <c r="CS5" s="30">
        <v>30956</v>
      </c>
      <c r="CT5" s="30">
        <v>31048</v>
      </c>
      <c r="CU5" s="30">
        <v>31138</v>
      </c>
      <c r="CV5" s="30">
        <v>31229</v>
      </c>
      <c r="CW5" s="30">
        <v>31321</v>
      </c>
      <c r="CX5" s="30">
        <v>31413</v>
      </c>
      <c r="CY5" s="30">
        <v>31503</v>
      </c>
      <c r="CZ5" s="30">
        <v>31594</v>
      </c>
      <c r="DA5" s="30">
        <v>31686</v>
      </c>
      <c r="DB5" s="30">
        <v>31778</v>
      </c>
      <c r="DC5" s="30">
        <v>31868</v>
      </c>
      <c r="DD5" s="30">
        <v>31959</v>
      </c>
      <c r="DE5" s="30">
        <v>32051</v>
      </c>
      <c r="DF5" s="30">
        <v>32143</v>
      </c>
      <c r="DG5" s="30">
        <v>32234</v>
      </c>
      <c r="DH5" s="30">
        <v>32325</v>
      </c>
      <c r="DI5" s="30">
        <v>32417</v>
      </c>
      <c r="DJ5" s="30">
        <v>32509</v>
      </c>
      <c r="DK5" s="30">
        <v>32599</v>
      </c>
      <c r="DL5" s="30">
        <v>32690</v>
      </c>
      <c r="DM5" s="30">
        <v>32782</v>
      </c>
      <c r="DN5" s="30">
        <v>32874</v>
      </c>
      <c r="DO5" s="30">
        <v>32964</v>
      </c>
      <c r="DP5" s="30">
        <v>33055</v>
      </c>
      <c r="DQ5" s="30">
        <v>33147</v>
      </c>
      <c r="DR5" s="30">
        <v>33239</v>
      </c>
      <c r="DS5" s="30">
        <v>33329</v>
      </c>
      <c r="DT5" s="30">
        <v>33420</v>
      </c>
      <c r="DU5" s="30">
        <v>33512</v>
      </c>
      <c r="DV5" s="30">
        <v>33604</v>
      </c>
      <c r="DW5" s="30">
        <v>33695</v>
      </c>
      <c r="DX5" s="30">
        <v>33786</v>
      </c>
      <c r="DY5" s="30">
        <v>33878</v>
      </c>
      <c r="DZ5" s="30">
        <v>33970</v>
      </c>
      <c r="EA5" s="30">
        <v>34060</v>
      </c>
      <c r="EB5" s="30">
        <v>34151</v>
      </c>
      <c r="EC5" s="30">
        <v>34243</v>
      </c>
      <c r="ED5" s="30">
        <v>34335</v>
      </c>
      <c r="EE5" s="30">
        <v>34425</v>
      </c>
      <c r="EF5" s="30">
        <v>34516</v>
      </c>
      <c r="EG5" s="30">
        <v>34608</v>
      </c>
      <c r="EH5" s="30">
        <v>34700</v>
      </c>
      <c r="EI5" s="30">
        <v>34790</v>
      </c>
      <c r="EJ5" s="30">
        <v>34881</v>
      </c>
      <c r="EK5" s="30">
        <v>34973</v>
      </c>
      <c r="EL5" s="30">
        <v>35065</v>
      </c>
      <c r="EM5" s="30">
        <v>35156</v>
      </c>
      <c r="EN5" s="30">
        <v>35247</v>
      </c>
      <c r="EO5" s="30">
        <v>35339</v>
      </c>
      <c r="EP5" s="30">
        <v>35431</v>
      </c>
      <c r="EQ5" s="30">
        <v>35521</v>
      </c>
      <c r="ER5" s="30">
        <v>35612</v>
      </c>
      <c r="ES5" s="30">
        <v>35704</v>
      </c>
      <c r="ET5" s="30">
        <v>35796</v>
      </c>
      <c r="EU5" s="30">
        <v>35886</v>
      </c>
      <c r="EV5" s="30">
        <v>35977</v>
      </c>
      <c r="EW5" s="30">
        <v>36069</v>
      </c>
      <c r="EX5" s="30">
        <v>36161</v>
      </c>
      <c r="EY5" s="30">
        <v>36251</v>
      </c>
      <c r="EZ5" s="30">
        <v>36342</v>
      </c>
      <c r="FA5" s="30">
        <v>36434</v>
      </c>
      <c r="FB5" s="30">
        <v>36526</v>
      </c>
      <c r="FC5" s="30">
        <v>36617</v>
      </c>
      <c r="FD5" s="30">
        <v>36708</v>
      </c>
      <c r="FE5" s="30">
        <v>36800</v>
      </c>
      <c r="FF5" s="30">
        <v>36892</v>
      </c>
      <c r="FG5" s="30">
        <v>36982</v>
      </c>
      <c r="FH5" s="30">
        <v>37073</v>
      </c>
      <c r="FI5" s="30">
        <v>37165</v>
      </c>
      <c r="FJ5" s="30">
        <v>37257</v>
      </c>
      <c r="FK5" s="30">
        <v>37347</v>
      </c>
      <c r="FL5" s="30">
        <v>37438</v>
      </c>
      <c r="FM5" s="30">
        <v>37530</v>
      </c>
      <c r="FN5" s="30">
        <v>37622</v>
      </c>
      <c r="FO5" s="30">
        <v>37712</v>
      </c>
      <c r="FP5" s="30">
        <v>37803</v>
      </c>
      <c r="FQ5" s="30">
        <v>37895</v>
      </c>
      <c r="FR5" s="30">
        <v>37987</v>
      </c>
      <c r="FS5" s="30">
        <v>38078</v>
      </c>
      <c r="FT5" s="30">
        <v>38169</v>
      </c>
      <c r="FU5" s="30">
        <v>38261</v>
      </c>
      <c r="FV5" s="30">
        <v>38353</v>
      </c>
      <c r="FW5" s="30">
        <v>38443</v>
      </c>
      <c r="FX5" s="30">
        <v>38534</v>
      </c>
      <c r="FY5" s="30">
        <v>38626</v>
      </c>
      <c r="FZ5" s="30">
        <v>38718</v>
      </c>
      <c r="GA5" s="30">
        <v>38808</v>
      </c>
      <c r="GB5" s="30">
        <v>38899</v>
      </c>
      <c r="GC5" s="30">
        <v>38991</v>
      </c>
      <c r="GD5" s="30">
        <v>39083</v>
      </c>
      <c r="GE5" s="30">
        <v>39173</v>
      </c>
      <c r="GF5" s="30">
        <v>39264</v>
      </c>
      <c r="GG5" s="30">
        <v>39356</v>
      </c>
      <c r="GH5" s="30">
        <v>39448</v>
      </c>
      <c r="GI5" s="30">
        <v>39539</v>
      </c>
      <c r="GJ5" s="30">
        <v>39630</v>
      </c>
      <c r="GK5" s="30">
        <v>39722</v>
      </c>
      <c r="GL5" s="30">
        <v>39814</v>
      </c>
      <c r="GM5" s="30">
        <v>39904</v>
      </c>
      <c r="GN5" s="30">
        <v>39995</v>
      </c>
      <c r="GO5" s="30">
        <v>40087</v>
      </c>
      <c r="GP5" s="30">
        <v>40179</v>
      </c>
      <c r="GQ5" s="30">
        <v>40269</v>
      </c>
      <c r="GR5" s="30">
        <v>40360</v>
      </c>
      <c r="GS5" s="30">
        <v>40452</v>
      </c>
      <c r="GT5" s="30">
        <v>40544</v>
      </c>
      <c r="GU5" s="30">
        <v>40634</v>
      </c>
      <c r="GV5" s="30">
        <v>40725</v>
      </c>
      <c r="GW5" s="30">
        <v>40817</v>
      </c>
      <c r="GX5" s="30">
        <v>40909</v>
      </c>
      <c r="GY5" s="30">
        <v>41000</v>
      </c>
      <c r="GZ5" s="30">
        <v>41091</v>
      </c>
      <c r="HA5" s="30">
        <v>41183</v>
      </c>
      <c r="HB5" s="30">
        <v>41275</v>
      </c>
      <c r="HC5" s="30">
        <v>41365</v>
      </c>
      <c r="HD5" s="30">
        <v>41456</v>
      </c>
      <c r="HE5" s="30">
        <v>41548</v>
      </c>
      <c r="HF5" s="30">
        <v>41640</v>
      </c>
      <c r="HG5" s="30">
        <v>41730</v>
      </c>
      <c r="HH5" s="30">
        <v>41821</v>
      </c>
      <c r="HI5" s="30">
        <v>41913</v>
      </c>
      <c r="HJ5" s="30">
        <v>42005</v>
      </c>
      <c r="HK5" s="30">
        <v>42095</v>
      </c>
      <c r="HL5" s="30">
        <v>42186</v>
      </c>
      <c r="HM5" s="30">
        <v>42278</v>
      </c>
      <c r="HN5" s="30">
        <v>42370</v>
      </c>
      <c r="HO5" s="30">
        <v>42461</v>
      </c>
      <c r="HP5" s="30">
        <v>42552</v>
      </c>
      <c r="HQ5" s="30">
        <v>42644</v>
      </c>
      <c r="HR5" s="30">
        <v>42736</v>
      </c>
      <c r="HS5" s="30">
        <v>42826</v>
      </c>
      <c r="HT5" s="30">
        <v>42917</v>
      </c>
      <c r="HU5" s="30">
        <v>43009</v>
      </c>
      <c r="HV5" s="30">
        <v>43101</v>
      </c>
      <c r="HW5" s="30">
        <v>43191</v>
      </c>
      <c r="HX5" s="30">
        <v>43282</v>
      </c>
      <c r="HY5" s="30">
        <v>43374</v>
      </c>
      <c r="HZ5" s="30">
        <v>43466</v>
      </c>
      <c r="IA5" s="30">
        <v>43556</v>
      </c>
      <c r="IB5" s="30">
        <v>43647</v>
      </c>
      <c r="IC5" s="30">
        <v>43739</v>
      </c>
      <c r="ID5" s="30">
        <v>43831</v>
      </c>
      <c r="IE5" s="30">
        <v>43922</v>
      </c>
      <c r="IF5" s="30">
        <v>44013</v>
      </c>
      <c r="IG5" s="30">
        <v>44105</v>
      </c>
      <c r="IH5" s="30">
        <v>44197</v>
      </c>
      <c r="II5" s="30">
        <v>44287</v>
      </c>
      <c r="IJ5" s="30">
        <v>44378</v>
      </c>
      <c r="IK5" s="30">
        <v>44470</v>
      </c>
      <c r="IL5" s="30">
        <v>44562</v>
      </c>
      <c r="IM5" s="30">
        <v>44652</v>
      </c>
      <c r="IN5" s="30">
        <v>44743</v>
      </c>
      <c r="IO5" s="30">
        <v>44835</v>
      </c>
      <c r="IP5" s="30">
        <v>44927</v>
      </c>
      <c r="IQ5" s="30">
        <v>45017</v>
      </c>
      <c r="IR5" s="30">
        <v>45108</v>
      </c>
      <c r="IS5" s="30">
        <v>45200</v>
      </c>
      <c r="IT5" s="30">
        <v>45292</v>
      </c>
      <c r="IU5" s="30">
        <v>45383</v>
      </c>
      <c r="IV5" s="30">
        <v>45474</v>
      </c>
      <c r="IW5" s="30">
        <v>45566</v>
      </c>
      <c r="IX5" s="30">
        <v>45658</v>
      </c>
      <c r="IY5" s="30">
        <v>45748</v>
      </c>
      <c r="IZ5" s="30">
        <v>45839</v>
      </c>
    </row>
    <row r="6" spans="1:260">
      <c r="A6" t="s">
        <v>1807</v>
      </c>
    </row>
    <row r="7" spans="1:260">
      <c r="A7" t="s">
        <v>1810</v>
      </c>
      <c r="B7" s="45">
        <v>4.3749545018740097</v>
      </c>
      <c r="C7" s="45">
        <v>4.3606256630470703</v>
      </c>
      <c r="D7" s="45">
        <v>4.3428890570695504</v>
      </c>
      <c r="E7" s="45">
        <v>4.32291161789699</v>
      </c>
      <c r="F7" s="45">
        <v>4.3034455258293196</v>
      </c>
      <c r="G7" s="45">
        <v>4.29281752126822</v>
      </c>
      <c r="H7" s="45">
        <v>4.2857118490197799</v>
      </c>
      <c r="I7" s="45">
        <v>4.2908936020431403</v>
      </c>
      <c r="J7" s="45">
        <v>4.2973491845128304</v>
      </c>
      <c r="K7" s="45">
        <v>4.3048589463681903</v>
      </c>
      <c r="L7" s="45">
        <v>4.3035541451129697</v>
      </c>
      <c r="M7" s="45">
        <v>4.3107039760586598</v>
      </c>
      <c r="N7" s="45">
        <v>4.3080909776324701</v>
      </c>
      <c r="O7" s="45">
        <v>4.3088325706917798</v>
      </c>
      <c r="P7" s="45">
        <v>4.30668736858805</v>
      </c>
      <c r="Q7" s="45">
        <v>4.3132789768356901</v>
      </c>
      <c r="R7" s="45">
        <v>4.3036059823035604</v>
      </c>
      <c r="S7" s="45">
        <v>4.2928174863728001</v>
      </c>
      <c r="T7" s="45">
        <v>4.2682258779609397</v>
      </c>
      <c r="U7" s="45">
        <v>4.2307805371525999</v>
      </c>
      <c r="V7" s="45">
        <v>4.1817089564501897</v>
      </c>
      <c r="W7" s="45">
        <v>4.1427493166284597</v>
      </c>
      <c r="X7" s="45">
        <v>4.1028141783642198</v>
      </c>
      <c r="Y7" s="45">
        <v>4.0618104190517297</v>
      </c>
      <c r="Z7" s="45">
        <v>4.0197475025174798</v>
      </c>
      <c r="AA7" s="45">
        <v>3.9850790920808401</v>
      </c>
      <c r="AB7" s="45">
        <v>3.9468787700740098</v>
      </c>
      <c r="AC7" s="45">
        <v>3.9081264144554999</v>
      </c>
      <c r="AD7" s="45">
        <v>3.85556267578187</v>
      </c>
      <c r="AE7" s="45">
        <v>3.7968656908502401</v>
      </c>
      <c r="AF7" s="45">
        <v>3.7408123298490001</v>
      </c>
      <c r="AG7" s="45">
        <v>3.68767838803041</v>
      </c>
      <c r="AH7" s="45">
        <v>3.6252771298559701</v>
      </c>
      <c r="AI7" s="45">
        <v>3.5699855077725902</v>
      </c>
      <c r="AJ7" s="45">
        <v>3.5162028175737898</v>
      </c>
      <c r="AK7" s="45">
        <v>3.4753402204735502</v>
      </c>
      <c r="AL7" s="45">
        <v>3.4403238870658401</v>
      </c>
      <c r="AM7" s="45">
        <v>3.4081390142359602</v>
      </c>
      <c r="AN7" s="45">
        <v>3.37370736036815</v>
      </c>
      <c r="AO7" s="45">
        <v>3.3581848012512698</v>
      </c>
      <c r="AP7" s="45">
        <v>3.3206306275290101</v>
      </c>
      <c r="AQ7" s="45">
        <v>3.2943521985744599</v>
      </c>
      <c r="AR7" s="45">
        <v>3.2735692769248801</v>
      </c>
      <c r="AS7" s="45">
        <v>3.26141648140523</v>
      </c>
      <c r="AT7" s="45">
        <v>3.2375993930168998</v>
      </c>
      <c r="AU7" s="45">
        <v>3.2026622277092298</v>
      </c>
      <c r="AV7" s="45">
        <v>3.1710698162489499</v>
      </c>
      <c r="AW7" s="45">
        <v>3.13014221285647</v>
      </c>
      <c r="AX7" s="45">
        <v>3.0734743761295</v>
      </c>
      <c r="AY7" s="45">
        <v>3.0182239057791298</v>
      </c>
      <c r="AZ7" s="45">
        <v>2.9766123108420501</v>
      </c>
      <c r="BA7" s="45">
        <v>2.9286591064243499</v>
      </c>
      <c r="BB7" s="45">
        <v>2.89506026168347</v>
      </c>
      <c r="BC7" s="45">
        <v>2.8626325215478299</v>
      </c>
      <c r="BD7" s="45">
        <v>2.84723290778705</v>
      </c>
      <c r="BE7" s="45">
        <v>2.84253360371113</v>
      </c>
      <c r="BF7" s="45">
        <v>2.8581734323021899</v>
      </c>
      <c r="BG7" s="45">
        <v>2.8721164704350599</v>
      </c>
      <c r="BH7" s="45">
        <v>2.878954834045</v>
      </c>
      <c r="BI7" s="45">
        <v>2.8847741258392099</v>
      </c>
      <c r="BJ7" s="45">
        <v>2.8814261683259099</v>
      </c>
      <c r="BK7" s="45">
        <v>2.8878971119095298</v>
      </c>
      <c r="BL7" s="45">
        <v>2.9019011503569399</v>
      </c>
      <c r="BM7" s="45">
        <v>2.9191720500017202</v>
      </c>
      <c r="BN7" s="45">
        <v>2.93432895703963</v>
      </c>
      <c r="BO7" s="45">
        <v>2.9411887321588899</v>
      </c>
      <c r="BP7" s="45">
        <v>2.9447588474895801</v>
      </c>
      <c r="BQ7" s="45">
        <v>2.96244175332146</v>
      </c>
      <c r="BR7" s="45">
        <v>2.98146743331972</v>
      </c>
      <c r="BS7" s="45">
        <v>2.9659583676983798</v>
      </c>
      <c r="BT7" s="45">
        <v>2.95438590646918</v>
      </c>
      <c r="BU7" s="45">
        <v>2.9386115478106198</v>
      </c>
      <c r="BV7" s="45">
        <v>2.92970623579598</v>
      </c>
      <c r="BW7" s="45">
        <v>2.9231323059892</v>
      </c>
      <c r="BX7" s="45">
        <v>2.9119974422206898</v>
      </c>
      <c r="BY7" s="45">
        <v>2.9040045129338701</v>
      </c>
      <c r="BZ7" s="45">
        <v>2.8982751751317499</v>
      </c>
      <c r="CA7" s="45">
        <v>2.9168681171282498</v>
      </c>
      <c r="CB7" s="45">
        <v>2.9311665832252798</v>
      </c>
      <c r="CC7" s="45">
        <v>2.9262727627796701</v>
      </c>
      <c r="CD7" s="45">
        <v>2.9090971049126702</v>
      </c>
      <c r="CE7" s="45">
        <v>2.9056606891286401</v>
      </c>
      <c r="CF7" s="45">
        <v>2.88946501793074</v>
      </c>
      <c r="CG7" s="45">
        <v>2.8884076079146599</v>
      </c>
      <c r="CH7" s="45">
        <v>2.9034851625070401</v>
      </c>
      <c r="CI7" s="45">
        <v>2.9141251294143999</v>
      </c>
      <c r="CJ7" s="45">
        <v>2.93363643576413</v>
      </c>
      <c r="CK7" s="45">
        <v>2.9572896749835902</v>
      </c>
      <c r="CL7" s="45">
        <v>2.9745093105448999</v>
      </c>
      <c r="CM7" s="45">
        <v>2.9804075364745199</v>
      </c>
      <c r="CN7" s="45">
        <v>2.9803242623656199</v>
      </c>
      <c r="CO7" s="45">
        <v>2.97297050196241</v>
      </c>
      <c r="CP7" s="45">
        <v>2.95969487149946</v>
      </c>
      <c r="CQ7" s="45">
        <v>2.94211291160613</v>
      </c>
      <c r="CR7" s="45">
        <v>2.9268698338288699</v>
      </c>
      <c r="CS7" s="45">
        <v>2.9121425609429799</v>
      </c>
      <c r="CT7" s="45">
        <v>2.89453675069517</v>
      </c>
      <c r="CU7" s="45">
        <v>2.8758297509704298</v>
      </c>
      <c r="CV7" s="45">
        <v>2.8506311902169701</v>
      </c>
      <c r="CW7" s="45">
        <v>2.8287340269047498</v>
      </c>
      <c r="CX7" s="45">
        <v>2.8063043993819998</v>
      </c>
      <c r="CY7" s="45">
        <v>2.7880136404184199</v>
      </c>
      <c r="CZ7" s="45">
        <v>2.7680922322968202</v>
      </c>
      <c r="DA7" s="45">
        <v>2.75199060079267</v>
      </c>
      <c r="DB7" s="45">
        <v>2.7365079765837299</v>
      </c>
      <c r="DC7" s="45">
        <v>2.7182790020766299</v>
      </c>
      <c r="DD7" s="45">
        <v>2.69947258357575</v>
      </c>
      <c r="DE7" s="45">
        <v>2.67165128954802</v>
      </c>
      <c r="DF7" s="45">
        <v>2.6488745133738698</v>
      </c>
      <c r="DG7" s="45">
        <v>2.6206218254557201</v>
      </c>
      <c r="DH7" s="45">
        <v>2.5951037341896499</v>
      </c>
      <c r="DI7" s="45">
        <v>2.5625936421285802</v>
      </c>
      <c r="DJ7" s="45">
        <v>2.5272695660035698</v>
      </c>
      <c r="DK7" s="45">
        <v>2.4903726402827702</v>
      </c>
      <c r="DL7" s="45">
        <v>2.4509024459892701</v>
      </c>
      <c r="DM7" s="45">
        <v>2.4133136051144199</v>
      </c>
      <c r="DN7" s="45">
        <v>2.3679184816885801</v>
      </c>
      <c r="DO7" s="45">
        <v>2.3262701473502601</v>
      </c>
      <c r="DP7" s="45">
        <v>2.29232721222168</v>
      </c>
      <c r="DQ7" s="45">
        <v>2.2754334131481602</v>
      </c>
      <c r="DR7" s="45">
        <v>2.2670422593461499</v>
      </c>
      <c r="DS7" s="45">
        <v>2.25541055612159</v>
      </c>
      <c r="DT7" s="45">
        <v>2.24783280849848</v>
      </c>
      <c r="DU7" s="45">
        <v>2.2457641647139801</v>
      </c>
      <c r="DV7" s="45">
        <v>2.2404443218222698</v>
      </c>
      <c r="DW7" s="45">
        <v>2.2359915354903301</v>
      </c>
      <c r="DX7" s="45">
        <v>2.2343051910609302</v>
      </c>
      <c r="DY7" s="45">
        <v>2.2357247457728802</v>
      </c>
      <c r="DZ7" s="45">
        <v>2.2494123685383101</v>
      </c>
      <c r="EA7" s="45">
        <v>2.2684956912248602</v>
      </c>
      <c r="EB7" s="45">
        <v>2.2935576167118898</v>
      </c>
      <c r="EC7" s="45">
        <v>2.3151296268875301</v>
      </c>
      <c r="ED7" s="45">
        <v>2.3389250802533401</v>
      </c>
      <c r="EE7" s="45">
        <v>2.3604109191277298</v>
      </c>
      <c r="EF7" s="45">
        <v>2.3873309316702098</v>
      </c>
      <c r="EG7" s="45">
        <v>2.41196787363537</v>
      </c>
      <c r="EH7" s="45">
        <v>2.4428845153117398</v>
      </c>
      <c r="EI7" s="45">
        <v>2.47743964003726</v>
      </c>
      <c r="EJ7" s="45">
        <v>2.5087977432400201</v>
      </c>
      <c r="EK7" s="45">
        <v>2.5397385015173701</v>
      </c>
      <c r="EL7" s="45">
        <v>2.5685888096149201</v>
      </c>
      <c r="EM7" s="45">
        <v>2.5866223790860898</v>
      </c>
      <c r="EN7" s="45">
        <v>2.6044759086451199</v>
      </c>
      <c r="EO7" s="45">
        <v>2.6194009736088799</v>
      </c>
      <c r="EP7" s="45">
        <v>2.6345660336244001</v>
      </c>
      <c r="EQ7" s="45">
        <v>2.63842724054994</v>
      </c>
      <c r="ER7" s="45">
        <v>2.63801409535714</v>
      </c>
      <c r="ES7" s="45">
        <v>2.6364547813854999</v>
      </c>
      <c r="ET7" s="45">
        <v>2.6305242591954201</v>
      </c>
      <c r="EU7" s="45">
        <v>2.6203871702216599</v>
      </c>
      <c r="EV7" s="45">
        <v>2.6017114502343701</v>
      </c>
      <c r="EW7" s="45">
        <v>2.5722024710290698</v>
      </c>
      <c r="EX7" s="45">
        <v>2.5403535956075598</v>
      </c>
      <c r="EY7" s="45">
        <v>2.5054589834268799</v>
      </c>
      <c r="EZ7" s="45">
        <v>2.4614658444045898</v>
      </c>
      <c r="FA7" s="45">
        <v>2.4069748024276501</v>
      </c>
      <c r="FB7" s="45">
        <v>2.3550397354464301</v>
      </c>
      <c r="FC7" s="45">
        <v>2.28878204944971</v>
      </c>
      <c r="FD7" s="45">
        <v>2.2288081642798701</v>
      </c>
      <c r="FE7" s="45">
        <v>2.1667728115467901</v>
      </c>
      <c r="FF7" s="45">
        <v>2.11225846268262</v>
      </c>
      <c r="FG7" s="45">
        <v>2.0546411702832899</v>
      </c>
      <c r="FH7" s="45">
        <v>2.0076325505730099</v>
      </c>
      <c r="FI7" s="45">
        <v>1.96243146492508</v>
      </c>
      <c r="FJ7" s="45">
        <v>1.9157411069722099</v>
      </c>
      <c r="FK7" s="45">
        <v>1.87288267050381</v>
      </c>
      <c r="FL7" s="45">
        <v>1.8364577738921799</v>
      </c>
      <c r="FM7" s="45">
        <v>1.8084106130231501</v>
      </c>
      <c r="FN7" s="45">
        <v>1.7829401992931999</v>
      </c>
      <c r="FO7" s="45">
        <v>1.7561132804386601</v>
      </c>
      <c r="FP7" s="45">
        <v>1.7209717457750799</v>
      </c>
      <c r="FQ7" s="45">
        <v>1.6853996946507901</v>
      </c>
      <c r="FR7" s="45">
        <v>1.65449572909661</v>
      </c>
      <c r="FS7" s="45">
        <v>1.6237458651740799</v>
      </c>
      <c r="FT7" s="45">
        <v>1.59105179919443</v>
      </c>
      <c r="FU7" s="45">
        <v>1.55553491571945</v>
      </c>
      <c r="FV7" s="45">
        <v>1.5161942075343</v>
      </c>
      <c r="FW7" s="45">
        <v>1.4787434948651399</v>
      </c>
      <c r="FX7" s="45">
        <v>1.43788977011362</v>
      </c>
      <c r="FY7" s="45">
        <v>1.39486717338226</v>
      </c>
      <c r="FZ7" s="45">
        <v>1.3411433273239599</v>
      </c>
      <c r="GA7" s="45">
        <v>1.28941421868352</v>
      </c>
      <c r="GB7" s="45">
        <v>1.23734024844558</v>
      </c>
      <c r="GC7" s="45">
        <v>1.17674701728674</v>
      </c>
      <c r="GD7" s="45">
        <v>1.11457887742402</v>
      </c>
      <c r="GE7" s="45">
        <v>1.0465207006303201</v>
      </c>
      <c r="GF7" s="45">
        <v>0.973685901506116</v>
      </c>
      <c r="GG7" s="45">
        <v>0.89673685914857604</v>
      </c>
      <c r="GH7" s="45">
        <v>0.82718702259616295</v>
      </c>
      <c r="GI7" s="45">
        <v>0.75471362384127105</v>
      </c>
      <c r="GJ7" s="45">
        <v>0.69713228242708702</v>
      </c>
      <c r="GK7" s="45">
        <v>0.67048634690709497</v>
      </c>
      <c r="GL7" s="45">
        <v>0.65819617927109197</v>
      </c>
      <c r="GM7" s="45">
        <v>0.65139228941683003</v>
      </c>
      <c r="GN7" s="45">
        <v>0.64658869797221497</v>
      </c>
      <c r="GO7" s="45">
        <v>0.638230265782325</v>
      </c>
      <c r="GP7" s="45">
        <v>0.63446399032950596</v>
      </c>
      <c r="GQ7" s="45">
        <v>0.629264161038115</v>
      </c>
      <c r="GR7" s="45">
        <v>0.62592414076527703</v>
      </c>
      <c r="GS7" s="45">
        <v>0.62722521886114002</v>
      </c>
      <c r="GT7" s="45">
        <v>0.63946042972282102</v>
      </c>
      <c r="GU7" s="45">
        <v>0.65090459946192303</v>
      </c>
      <c r="GV7" s="45">
        <v>0.66958023540843803</v>
      </c>
      <c r="GW7" s="45">
        <v>0.68225311692363599</v>
      </c>
      <c r="GX7" s="45">
        <v>0.69490171182314098</v>
      </c>
      <c r="GY7" s="45">
        <v>0.71195013650647299</v>
      </c>
      <c r="GZ7" s="45">
        <v>0.73542278684416895</v>
      </c>
      <c r="HA7" s="45">
        <v>0.763547010194085</v>
      </c>
      <c r="HB7" s="45">
        <v>0.78725339263995997</v>
      </c>
      <c r="HC7" s="45">
        <v>0.81573496270822599</v>
      </c>
      <c r="HD7" s="45">
        <v>0.84146464032697998</v>
      </c>
      <c r="HE7" s="45">
        <v>0.866350591467135</v>
      </c>
      <c r="HF7" s="45">
        <v>0.90197161132340697</v>
      </c>
      <c r="HG7" s="45">
        <v>0.92767828881953196</v>
      </c>
      <c r="HH7" s="45">
        <v>0.94834044426445496</v>
      </c>
      <c r="HI7" s="45">
        <v>0.97176758048706802</v>
      </c>
      <c r="HJ7" s="45">
        <v>0.99240127936092803</v>
      </c>
      <c r="HK7" s="45">
        <v>1.01393829941799</v>
      </c>
      <c r="HL7" s="45">
        <v>1.0382924972199401</v>
      </c>
      <c r="HM7" s="45">
        <v>1.0667388372025599</v>
      </c>
      <c r="HN7" s="45">
        <v>1.09447571786993</v>
      </c>
      <c r="HO7" s="45">
        <v>1.12458870893303</v>
      </c>
      <c r="HP7" s="45">
        <v>1.1526028490161</v>
      </c>
      <c r="HQ7" s="45">
        <v>1.1812292558239501</v>
      </c>
      <c r="HR7" s="45">
        <v>1.21083869350549</v>
      </c>
      <c r="HS7" s="45">
        <v>1.24001274970387</v>
      </c>
      <c r="HT7" s="45">
        <v>1.2658717788795499</v>
      </c>
      <c r="HU7" s="45">
        <v>1.2855277958779601</v>
      </c>
      <c r="HV7" s="45">
        <v>1.3034470217034999</v>
      </c>
      <c r="HW7" s="45">
        <v>1.32187683080969</v>
      </c>
      <c r="HX7" s="45">
        <v>1.3391601876522199</v>
      </c>
      <c r="HY7" s="45">
        <v>1.35963755418008</v>
      </c>
      <c r="HZ7" s="45">
        <v>1.37644067069484</v>
      </c>
      <c r="IA7" s="45">
        <v>1.38785964188496</v>
      </c>
      <c r="IB7" s="45">
        <v>1.3917931852121399</v>
      </c>
      <c r="IC7" s="45">
        <v>1.3952379917375799</v>
      </c>
      <c r="ID7" s="45">
        <v>1.40140293225625</v>
      </c>
      <c r="IE7" s="45">
        <v>1.4090384112476799</v>
      </c>
      <c r="IF7" s="45">
        <v>1.4131893172675101</v>
      </c>
      <c r="IG7" s="45">
        <v>1.4182864539962301</v>
      </c>
      <c r="IH7" s="45">
        <v>1.4200115694706399</v>
      </c>
      <c r="II7" s="45">
        <v>1.4218333113991699</v>
      </c>
      <c r="IJ7" s="45">
        <v>1.4239488665283699</v>
      </c>
      <c r="IK7" s="45">
        <v>1.41600664379069</v>
      </c>
      <c r="IL7" s="45">
        <v>1.4223795899771099</v>
      </c>
      <c r="IM7" s="45">
        <v>1.4382632572752601</v>
      </c>
      <c r="IN7" s="45">
        <v>1.44939354591757</v>
      </c>
      <c r="IO7" s="45">
        <v>1.46291408417594</v>
      </c>
      <c r="IP7" s="45">
        <v>1.47742941212477</v>
      </c>
      <c r="IQ7" s="45">
        <v>1.49276788291577</v>
      </c>
      <c r="IR7" s="45">
        <v>1.5026494605088301</v>
      </c>
      <c r="IS7" s="45">
        <v>1.51132579737446</v>
      </c>
      <c r="IT7" s="45">
        <v>1.5234527595671501</v>
      </c>
      <c r="IU7" s="45">
        <v>1.53062841031543</v>
      </c>
      <c r="IV7" s="45">
        <v>1.5362112762189699</v>
      </c>
      <c r="IW7" s="45">
        <v>1.54453834414091</v>
      </c>
      <c r="IX7" s="45">
        <v>1.5573805945558199</v>
      </c>
      <c r="IY7" s="45">
        <v>1.56268297358591</v>
      </c>
      <c r="IZ7" s="46">
        <v>1.56268297358591</v>
      </c>
    </row>
    <row r="8" spans="1:260">
      <c r="A8" t="s">
        <v>1811</v>
      </c>
      <c r="B8" s="45">
        <v>4.20237350942263</v>
      </c>
      <c r="C8" s="45">
        <v>4.1948168292830204</v>
      </c>
      <c r="D8" s="45">
        <v>4.18470618530419</v>
      </c>
      <c r="E8" s="45">
        <v>4.1725931603901198</v>
      </c>
      <c r="F8" s="45">
        <v>4.1598359638013198</v>
      </c>
      <c r="G8" s="45">
        <v>4.1539017215221499</v>
      </c>
      <c r="H8" s="45">
        <v>4.1493750276970696</v>
      </c>
      <c r="I8" s="45">
        <v>4.1548837663096601</v>
      </c>
      <c r="J8" s="45">
        <v>4.1611880844453699</v>
      </c>
      <c r="K8" s="45">
        <v>4.1690032198009197</v>
      </c>
      <c r="L8" s="45">
        <v>4.1682069141092901</v>
      </c>
      <c r="M8" s="45">
        <v>4.17531248010705</v>
      </c>
      <c r="N8" s="45">
        <v>4.17350368084539</v>
      </c>
      <c r="O8" s="45">
        <v>4.1744995316121303</v>
      </c>
      <c r="P8" s="45">
        <v>4.17202220960991</v>
      </c>
      <c r="Q8" s="45">
        <v>4.1786130190043398</v>
      </c>
      <c r="R8" s="45">
        <v>4.1716315897256102</v>
      </c>
      <c r="S8" s="45">
        <v>4.1654584688865803</v>
      </c>
      <c r="T8" s="45">
        <v>4.1493462534815402</v>
      </c>
      <c r="U8" s="45">
        <v>4.12377792350396</v>
      </c>
      <c r="V8" s="45">
        <v>4.08742495140452</v>
      </c>
      <c r="W8" s="45">
        <v>4.0598565297661597</v>
      </c>
      <c r="X8" s="45">
        <v>4.0316401386352698</v>
      </c>
      <c r="Y8" s="45">
        <v>4.00265941544271</v>
      </c>
      <c r="Z8" s="45">
        <v>3.97215240478811</v>
      </c>
      <c r="AA8" s="45">
        <v>3.9484508677966401</v>
      </c>
      <c r="AB8" s="45">
        <v>3.92209819615685</v>
      </c>
      <c r="AC8" s="45">
        <v>3.8970206188254202</v>
      </c>
      <c r="AD8" s="45">
        <v>3.8610275264224998</v>
      </c>
      <c r="AE8" s="45">
        <v>3.8196461149396099</v>
      </c>
      <c r="AF8" s="45">
        <v>3.7804105367802601</v>
      </c>
      <c r="AG8" s="45">
        <v>3.7447466155448201</v>
      </c>
      <c r="AH8" s="45">
        <v>3.7005309375120601</v>
      </c>
      <c r="AI8" s="45">
        <v>3.6620742436134801</v>
      </c>
      <c r="AJ8" s="45">
        <v>3.6233774160420702</v>
      </c>
      <c r="AK8" s="45">
        <v>3.5948963103277198</v>
      </c>
      <c r="AL8" s="45">
        <v>3.5709845174055102</v>
      </c>
      <c r="AM8" s="45">
        <v>3.5494093480973299</v>
      </c>
      <c r="AN8" s="45">
        <v>3.5238821879428901</v>
      </c>
      <c r="AO8" s="45">
        <v>3.5164798232794801</v>
      </c>
      <c r="AP8" s="45">
        <v>3.4888343004670199</v>
      </c>
      <c r="AQ8" s="45">
        <v>3.4697923579164298</v>
      </c>
      <c r="AR8" s="45">
        <v>3.4544495364730801</v>
      </c>
      <c r="AS8" s="45">
        <v>3.4478738204844399</v>
      </c>
      <c r="AT8" s="45">
        <v>3.4328157961780401</v>
      </c>
      <c r="AU8" s="45">
        <v>3.40843123928888</v>
      </c>
      <c r="AV8" s="45">
        <v>3.3886160791631701</v>
      </c>
      <c r="AW8" s="45">
        <v>3.36329535574726</v>
      </c>
      <c r="AX8" s="45">
        <v>3.3250042929116299</v>
      </c>
      <c r="AY8" s="45">
        <v>3.2870480267064699</v>
      </c>
      <c r="AZ8" s="45">
        <v>3.26172940236735</v>
      </c>
      <c r="BA8" s="45">
        <v>3.2298258346597901</v>
      </c>
      <c r="BB8" s="45">
        <v>3.20993942744464</v>
      </c>
      <c r="BC8" s="45">
        <v>3.18888081088713</v>
      </c>
      <c r="BD8" s="45">
        <v>3.1804608824945899</v>
      </c>
      <c r="BE8" s="45">
        <v>3.17844355999262</v>
      </c>
      <c r="BF8" s="45">
        <v>3.1936212318627302</v>
      </c>
      <c r="BG8" s="45">
        <v>3.2079818928268899</v>
      </c>
      <c r="BH8" s="45">
        <v>3.2163849000370899</v>
      </c>
      <c r="BI8" s="45">
        <v>3.2247056103599001</v>
      </c>
      <c r="BJ8" s="45">
        <v>3.2239901290555202</v>
      </c>
      <c r="BK8" s="45">
        <v>3.2306069099324999</v>
      </c>
      <c r="BL8" s="45">
        <v>3.2430897999593502</v>
      </c>
      <c r="BM8" s="45">
        <v>3.2584809272220898</v>
      </c>
      <c r="BN8" s="45">
        <v>3.2728769110662799</v>
      </c>
      <c r="BO8" s="45">
        <v>3.28029171648561</v>
      </c>
      <c r="BP8" s="45">
        <v>3.2831903142797998</v>
      </c>
      <c r="BQ8" s="45">
        <v>3.2982104739416398</v>
      </c>
      <c r="BR8" s="45">
        <v>3.3182173005365598</v>
      </c>
      <c r="BS8" s="45">
        <v>3.3086640330413801</v>
      </c>
      <c r="BT8" s="45">
        <v>3.3029437048537398</v>
      </c>
      <c r="BU8" s="45">
        <v>3.2930259927394498</v>
      </c>
      <c r="BV8" s="45">
        <v>3.2888347721782898</v>
      </c>
      <c r="BW8" s="45">
        <v>3.2871271424673201</v>
      </c>
      <c r="BX8" s="45">
        <v>3.2811655585561299</v>
      </c>
      <c r="BY8" s="45">
        <v>3.27718915565984</v>
      </c>
      <c r="BZ8" s="45">
        <v>3.2721933746291398</v>
      </c>
      <c r="CA8" s="45">
        <v>3.2882380228575698</v>
      </c>
      <c r="CB8" s="45">
        <v>3.3026824717924002</v>
      </c>
      <c r="CC8" s="45">
        <v>3.30189286729316</v>
      </c>
      <c r="CD8" s="45">
        <v>3.28915939495085</v>
      </c>
      <c r="CE8" s="45">
        <v>3.2891826972771199</v>
      </c>
      <c r="CF8" s="45">
        <v>3.27633947432752</v>
      </c>
      <c r="CG8" s="45">
        <v>3.2743507001938799</v>
      </c>
      <c r="CH8" s="45">
        <v>3.2861950286814299</v>
      </c>
      <c r="CI8" s="45">
        <v>3.29292689472654</v>
      </c>
      <c r="CJ8" s="45">
        <v>3.30641389383756</v>
      </c>
      <c r="CK8" s="45">
        <v>3.3239314583626598</v>
      </c>
      <c r="CL8" s="45">
        <v>3.33715232125892</v>
      </c>
      <c r="CM8" s="45">
        <v>3.3414142882407898</v>
      </c>
      <c r="CN8" s="45">
        <v>3.3414308692955301</v>
      </c>
      <c r="CO8" s="45">
        <v>3.3360485343672899</v>
      </c>
      <c r="CP8" s="45">
        <v>3.3261461798236698</v>
      </c>
      <c r="CQ8" s="45">
        <v>3.3123773562087</v>
      </c>
      <c r="CR8" s="45">
        <v>3.30065623897671</v>
      </c>
      <c r="CS8" s="45">
        <v>3.2897369271943302</v>
      </c>
      <c r="CT8" s="45">
        <v>3.2765664734891198</v>
      </c>
      <c r="CU8" s="45">
        <v>3.2631888354150198</v>
      </c>
      <c r="CV8" s="45">
        <v>3.2440179257753701</v>
      </c>
      <c r="CW8" s="45">
        <v>3.2277489794750802</v>
      </c>
      <c r="CX8" s="45">
        <v>3.2106821849055001</v>
      </c>
      <c r="CY8" s="45">
        <v>3.1973913958252198</v>
      </c>
      <c r="CZ8" s="45">
        <v>3.1823955031133999</v>
      </c>
      <c r="DA8" s="45">
        <v>3.1707334614040299</v>
      </c>
      <c r="DB8" s="45">
        <v>3.16008025109068</v>
      </c>
      <c r="DC8" s="45">
        <v>3.1474334885831201</v>
      </c>
      <c r="DD8" s="45">
        <v>3.13544002161753</v>
      </c>
      <c r="DE8" s="45">
        <v>3.1155028125157598</v>
      </c>
      <c r="DF8" s="45">
        <v>3.1006023941745502</v>
      </c>
      <c r="DG8" s="45">
        <v>3.0809838700849799</v>
      </c>
      <c r="DH8" s="45">
        <v>3.0646683710738198</v>
      </c>
      <c r="DI8" s="45">
        <v>3.0429817380752899</v>
      </c>
      <c r="DJ8" s="45">
        <v>3.0194110311292</v>
      </c>
      <c r="DK8" s="45">
        <v>2.9951810932285499</v>
      </c>
      <c r="DL8" s="45">
        <v>2.9691028255790202</v>
      </c>
      <c r="DM8" s="45">
        <v>2.9458719837746301</v>
      </c>
      <c r="DN8" s="45">
        <v>2.91586544393396</v>
      </c>
      <c r="DO8" s="45">
        <v>2.8882309312155399</v>
      </c>
      <c r="DP8" s="45">
        <v>2.8653160072010899</v>
      </c>
      <c r="DQ8" s="45">
        <v>2.8561063047970099</v>
      </c>
      <c r="DR8" s="45">
        <v>2.8545641746044899</v>
      </c>
      <c r="DS8" s="45">
        <v>2.84984977464027</v>
      </c>
      <c r="DT8" s="45">
        <v>2.8480329370088402</v>
      </c>
      <c r="DU8" s="45">
        <v>2.8512798667109398</v>
      </c>
      <c r="DV8" s="45">
        <v>2.8516812999966099</v>
      </c>
      <c r="DW8" s="45">
        <v>2.8524976663076802</v>
      </c>
      <c r="DX8" s="45">
        <v>2.85514104269688</v>
      </c>
      <c r="DY8" s="45">
        <v>2.8588310976381801</v>
      </c>
      <c r="DZ8" s="45">
        <v>2.8719884035958101</v>
      </c>
      <c r="EA8" s="45">
        <v>2.8887812253590601</v>
      </c>
      <c r="EB8" s="45">
        <v>2.9107024466035401</v>
      </c>
      <c r="EC8" s="45">
        <v>2.9291351369623602</v>
      </c>
      <c r="ED8" s="45">
        <v>2.9492998854031001</v>
      </c>
      <c r="EE8" s="45">
        <v>2.9665244751050999</v>
      </c>
      <c r="EF8" s="45">
        <v>2.9881200024138699</v>
      </c>
      <c r="EG8" s="45">
        <v>3.0065836747718699</v>
      </c>
      <c r="EH8" s="45">
        <v>3.0294967027550799</v>
      </c>
      <c r="EI8" s="45">
        <v>3.05534528135053</v>
      </c>
      <c r="EJ8" s="45">
        <v>3.0780538851046</v>
      </c>
      <c r="EK8" s="45">
        <v>3.1002782174661201</v>
      </c>
      <c r="EL8" s="45">
        <v>3.1214898488255298</v>
      </c>
      <c r="EM8" s="45">
        <v>3.13314281744915</v>
      </c>
      <c r="EN8" s="45">
        <v>3.1445142783929199</v>
      </c>
      <c r="EO8" s="45">
        <v>3.1530671886678698</v>
      </c>
      <c r="EP8" s="45">
        <v>3.1627341775814299</v>
      </c>
      <c r="EQ8" s="45">
        <v>3.16296528536461</v>
      </c>
      <c r="ER8" s="45">
        <v>3.1594611941194102</v>
      </c>
      <c r="ES8" s="45">
        <v>3.15526577674036</v>
      </c>
      <c r="ET8" s="45">
        <v>3.1477216362883</v>
      </c>
      <c r="EU8" s="45">
        <v>3.1375162193399002</v>
      </c>
      <c r="EV8" s="45">
        <v>3.1211934819989202</v>
      </c>
      <c r="EW8" s="45">
        <v>3.09594052388826</v>
      </c>
      <c r="EX8" s="45">
        <v>3.06916230113668</v>
      </c>
      <c r="EY8" s="45">
        <v>3.0410203775935098</v>
      </c>
      <c r="EZ8" s="45">
        <v>3.0064838070601598</v>
      </c>
      <c r="FA8" s="45">
        <v>2.96314184385627</v>
      </c>
      <c r="FB8" s="45">
        <v>2.9237936270890601</v>
      </c>
      <c r="FC8" s="45">
        <v>2.8719647702067101</v>
      </c>
      <c r="FD8" s="45">
        <v>2.82592363345052</v>
      </c>
      <c r="FE8" s="45">
        <v>2.77759407508576</v>
      </c>
      <c r="FF8" s="45">
        <v>2.7361000403810198</v>
      </c>
      <c r="FG8" s="45">
        <v>2.6910022350311</v>
      </c>
      <c r="FH8" s="45">
        <v>2.65489154598085</v>
      </c>
      <c r="FI8" s="45">
        <v>2.62057020369011</v>
      </c>
      <c r="FJ8" s="45">
        <v>2.5845517484639502</v>
      </c>
      <c r="FK8" s="45">
        <v>2.55093846599476</v>
      </c>
      <c r="FL8" s="45">
        <v>2.5217449187440399</v>
      </c>
      <c r="FM8" s="45">
        <v>2.4993244900031999</v>
      </c>
      <c r="FN8" s="45">
        <v>2.4793038006623198</v>
      </c>
      <c r="FO8" s="45">
        <v>2.4590402600589001</v>
      </c>
      <c r="FP8" s="45">
        <v>2.4316795422460702</v>
      </c>
      <c r="FQ8" s="45">
        <v>2.4033528835205402</v>
      </c>
      <c r="FR8" s="45">
        <v>2.3788916889280198</v>
      </c>
      <c r="FS8" s="45">
        <v>2.3547611191736402</v>
      </c>
      <c r="FT8" s="45">
        <v>2.3293315841698798</v>
      </c>
      <c r="FU8" s="45">
        <v>2.3019010670675599</v>
      </c>
      <c r="FV8" s="45">
        <v>2.2710698311602999</v>
      </c>
      <c r="FW8" s="45">
        <v>2.2423430858670002</v>
      </c>
      <c r="FX8" s="45">
        <v>2.2112461167076498</v>
      </c>
      <c r="FY8" s="45">
        <v>2.1796764697320401</v>
      </c>
      <c r="FZ8" s="45">
        <v>2.1390324148523399</v>
      </c>
      <c r="GA8" s="45">
        <v>2.1004755350626798</v>
      </c>
      <c r="GB8" s="45">
        <v>2.0629891868852499</v>
      </c>
      <c r="GC8" s="45">
        <v>2.0190007001828199</v>
      </c>
      <c r="GD8" s="45">
        <v>1.9749648955808099</v>
      </c>
      <c r="GE8" s="45">
        <v>1.92720470030879</v>
      </c>
      <c r="GF8" s="45">
        <v>1.8765000280014099</v>
      </c>
      <c r="GG8" s="45">
        <v>1.8222664104296999</v>
      </c>
      <c r="GH8" s="45">
        <v>1.7752379112127901</v>
      </c>
      <c r="GI8" s="45">
        <v>1.72443265023704</v>
      </c>
      <c r="GJ8" s="45">
        <v>1.6832573660043399</v>
      </c>
      <c r="GK8" s="45">
        <v>1.66716866973346</v>
      </c>
      <c r="GL8" s="45">
        <v>1.66298957493648</v>
      </c>
      <c r="GM8" s="45">
        <v>1.6635589024412201</v>
      </c>
      <c r="GN8" s="45">
        <v>1.6664078537946301</v>
      </c>
      <c r="GO8" s="45">
        <v>1.6659726622639299</v>
      </c>
      <c r="GP8" s="45">
        <v>1.6698350790918599</v>
      </c>
      <c r="GQ8" s="45">
        <v>1.67250772576316</v>
      </c>
      <c r="GR8" s="45">
        <v>1.6763752776041101</v>
      </c>
      <c r="GS8" s="45">
        <v>1.6831460746296301</v>
      </c>
      <c r="GT8" s="45">
        <v>1.69931088721691</v>
      </c>
      <c r="GU8" s="45">
        <v>1.7141574982222401</v>
      </c>
      <c r="GV8" s="45">
        <v>1.73590653004257</v>
      </c>
      <c r="GW8" s="45">
        <v>1.75258442776672</v>
      </c>
      <c r="GX8" s="45">
        <v>1.7686929120594299</v>
      </c>
      <c r="GY8" s="45">
        <v>1.7877717210706601</v>
      </c>
      <c r="GZ8" s="45">
        <v>1.8118012828732499</v>
      </c>
      <c r="HA8" s="45">
        <v>1.8401786720215001</v>
      </c>
      <c r="HB8" s="45">
        <v>1.8642912998047001</v>
      </c>
      <c r="HC8" s="45">
        <v>1.8927226953013201</v>
      </c>
      <c r="HD8" s="45">
        <v>1.9187201129587499</v>
      </c>
      <c r="HE8" s="45">
        <v>1.9428407756639301</v>
      </c>
      <c r="HF8" s="45">
        <v>1.97716724124764</v>
      </c>
      <c r="HG8" s="45">
        <v>2.0035959933405501</v>
      </c>
      <c r="HH8" s="45">
        <v>2.0254795290456298</v>
      </c>
      <c r="HI8" s="45">
        <v>2.0500368903489101</v>
      </c>
      <c r="HJ8" s="45">
        <v>2.0720690307582501</v>
      </c>
      <c r="HK8" s="45">
        <v>2.09441097708511</v>
      </c>
      <c r="HL8" s="45">
        <v>2.1185657932481301</v>
      </c>
      <c r="HM8" s="45">
        <v>2.1460559977382498</v>
      </c>
      <c r="HN8" s="45">
        <v>2.1724307286742199</v>
      </c>
      <c r="HO8" s="45">
        <v>2.2007396063098401</v>
      </c>
      <c r="HP8" s="45">
        <v>2.2268964519757399</v>
      </c>
      <c r="HQ8" s="45">
        <v>2.2531727899341201</v>
      </c>
      <c r="HR8" s="45">
        <v>2.2801019182810802</v>
      </c>
      <c r="HS8" s="45">
        <v>2.30689300357486</v>
      </c>
      <c r="HT8" s="45">
        <v>2.3313961326475301</v>
      </c>
      <c r="HU8" s="45">
        <v>2.35061586698068</v>
      </c>
      <c r="HV8" s="45">
        <v>2.3680834239360902</v>
      </c>
      <c r="HW8" s="45">
        <v>2.3858689225843999</v>
      </c>
      <c r="HX8" s="45">
        <v>2.4021834479110198</v>
      </c>
      <c r="HY8" s="45">
        <v>2.4215182918511799</v>
      </c>
      <c r="HZ8" s="45">
        <v>2.4383121266056298</v>
      </c>
      <c r="IA8" s="45">
        <v>2.4513183760300001</v>
      </c>
      <c r="IB8" s="45">
        <v>2.4579686886851899</v>
      </c>
      <c r="IC8" s="45">
        <v>2.4638372315563699</v>
      </c>
      <c r="ID8" s="45">
        <v>2.4718224481275701</v>
      </c>
      <c r="IE8" s="45">
        <v>2.4813766649179199</v>
      </c>
      <c r="IF8" s="45">
        <v>2.4878598637217002</v>
      </c>
      <c r="IG8" s="45">
        <v>2.49545392601078</v>
      </c>
      <c r="IH8" s="45">
        <v>2.5000649767604899</v>
      </c>
      <c r="II8" s="45">
        <v>2.5046790935225101</v>
      </c>
      <c r="IJ8" s="45">
        <v>2.5103087436435501</v>
      </c>
      <c r="IK8" s="45">
        <v>2.5054282515986102</v>
      </c>
      <c r="IL8" s="45">
        <v>2.5113215563085598</v>
      </c>
      <c r="IM8" s="45">
        <v>2.5254095027889099</v>
      </c>
      <c r="IN8" s="45">
        <v>2.5347998896588102</v>
      </c>
      <c r="IO8" s="45">
        <v>2.5456978590172499</v>
      </c>
      <c r="IP8" s="45">
        <v>2.5570383035259399</v>
      </c>
      <c r="IQ8" s="45">
        <v>2.5694403195511</v>
      </c>
      <c r="IR8" s="45">
        <v>2.5771825589736399</v>
      </c>
      <c r="IS8" s="45">
        <v>2.5834523453462301</v>
      </c>
      <c r="IT8" s="45">
        <v>2.5930988694211501</v>
      </c>
      <c r="IU8" s="45">
        <v>2.5986341755098001</v>
      </c>
      <c r="IV8" s="45">
        <v>2.6024168654964499</v>
      </c>
      <c r="IW8" s="45">
        <v>2.6080378365481098</v>
      </c>
      <c r="IX8" s="45">
        <v>2.61834109343271</v>
      </c>
      <c r="IY8" s="45">
        <v>2.6228380437772598</v>
      </c>
      <c r="IZ8" s="47">
        <v>2.6228380437772598</v>
      </c>
    </row>
    <row r="10" spans="1:260">
      <c r="A10" t="s">
        <v>1808</v>
      </c>
    </row>
    <row r="11" spans="1:260">
      <c r="A11" t="s">
        <v>1810</v>
      </c>
      <c r="B11">
        <v>5.4150344219467401</v>
      </c>
      <c r="C11">
        <v>5.64051171669586</v>
      </c>
      <c r="D11">
        <v>5.5391148062743296</v>
      </c>
      <c r="E11">
        <v>5.5022071811847599</v>
      </c>
      <c r="F11">
        <v>5.3101400870632496</v>
      </c>
      <c r="G11">
        <v>4.7782251736760202</v>
      </c>
      <c r="H11">
        <v>4.6672885036697398</v>
      </c>
      <c r="I11">
        <v>4.2230009794701502</v>
      </c>
      <c r="J11">
        <v>4.2084297356740299</v>
      </c>
      <c r="K11">
        <v>4.17759283978131</v>
      </c>
      <c r="L11">
        <v>4.5005533913068501</v>
      </c>
      <c r="M11">
        <v>4.2365271164291398</v>
      </c>
      <c r="N11">
        <v>4.5354320238566403</v>
      </c>
      <c r="O11">
        <v>4.4552817202962496</v>
      </c>
      <c r="P11">
        <v>4.5530269549711297</v>
      </c>
      <c r="Q11">
        <v>4.30533773402124</v>
      </c>
      <c r="R11">
        <v>4.6763802683212603</v>
      </c>
      <c r="S11">
        <v>4.64941590239237</v>
      </c>
      <c r="T11">
        <v>4.8970865925345404</v>
      </c>
      <c r="U11">
        <v>5.1099438996709701</v>
      </c>
      <c r="V11">
        <v>5.3336555628563502</v>
      </c>
      <c r="W11">
        <v>5.0808802881069797</v>
      </c>
      <c r="X11">
        <v>5.0661596629789196</v>
      </c>
      <c r="Y11">
        <v>5.0467335310548398</v>
      </c>
      <c r="Z11">
        <v>5.0155485626364804</v>
      </c>
      <c r="AA11">
        <v>4.7981587619520996</v>
      </c>
      <c r="AB11">
        <v>4.8198022066790296</v>
      </c>
      <c r="AC11">
        <v>4.7519318262610604</v>
      </c>
      <c r="AD11">
        <v>4.9683581178551304</v>
      </c>
      <c r="AE11">
        <v>5.0292672559431004</v>
      </c>
      <c r="AF11">
        <v>4.89809548494918</v>
      </c>
      <c r="AG11">
        <v>4.74829592708981</v>
      </c>
      <c r="AH11">
        <v>4.8723357845906996</v>
      </c>
      <c r="AI11">
        <v>4.6857019845742096</v>
      </c>
      <c r="AJ11">
        <v>4.6410470844042004</v>
      </c>
      <c r="AK11">
        <v>4.3699331716104801</v>
      </c>
      <c r="AL11">
        <v>4.2307411860214499</v>
      </c>
      <c r="AM11">
        <v>4.1570026514877201</v>
      </c>
      <c r="AN11">
        <v>4.2161588387987301</v>
      </c>
      <c r="AO11">
        <v>3.81737157256793</v>
      </c>
      <c r="AP11">
        <v>4.2698182097241997</v>
      </c>
      <c r="AQ11">
        <v>4.0307933082825897</v>
      </c>
      <c r="AR11">
        <v>3.89217898041748</v>
      </c>
      <c r="AS11">
        <v>3.6078742566412498</v>
      </c>
      <c r="AT11">
        <v>3.8199401990656399</v>
      </c>
      <c r="AU11">
        <v>3.9731359323639701</v>
      </c>
      <c r="AV11">
        <v>3.84392876570119</v>
      </c>
      <c r="AW11">
        <v>3.9316280323741601</v>
      </c>
      <c r="AX11">
        <v>4.2004442336428403</v>
      </c>
      <c r="AY11">
        <v>4.25320536802543</v>
      </c>
      <c r="AZ11">
        <v>3.9654764127483899</v>
      </c>
      <c r="BA11">
        <v>4.1461464793143801</v>
      </c>
      <c r="BB11">
        <v>3.9236833857939102</v>
      </c>
      <c r="BC11">
        <v>4.0985062963822001</v>
      </c>
      <c r="BD11">
        <v>3.9343298384966201</v>
      </c>
      <c r="BE11">
        <v>3.8116968552363502</v>
      </c>
      <c r="BF11">
        <v>3.3719595015802799</v>
      </c>
      <c r="BG11">
        <v>3.2934692642439098</v>
      </c>
      <c r="BH11">
        <v>3.3456966612281001</v>
      </c>
      <c r="BI11">
        <v>3.3057888405406799</v>
      </c>
      <c r="BJ11">
        <v>3.4646971176085199</v>
      </c>
      <c r="BK11">
        <v>3.2094608992800602</v>
      </c>
      <c r="BL11">
        <v>3.1203413726115499</v>
      </c>
      <c r="BM11">
        <v>3.07471160359357</v>
      </c>
      <c r="BN11">
        <v>3.15876759835204</v>
      </c>
      <c r="BO11">
        <v>3.3287993130988101</v>
      </c>
      <c r="BP11">
        <v>3.4587916059990298</v>
      </c>
      <c r="BQ11">
        <v>3.13240793117664</v>
      </c>
      <c r="BR11">
        <v>3.0461527466071101</v>
      </c>
      <c r="BS11">
        <v>3.7788406471203002</v>
      </c>
      <c r="BT11">
        <v>3.67117842035056</v>
      </c>
      <c r="BU11">
        <v>3.7782543392912702</v>
      </c>
      <c r="BV11">
        <v>3.5285786628253399</v>
      </c>
      <c r="BW11">
        <v>3.61521453814834</v>
      </c>
      <c r="BX11">
        <v>3.6544866997078298</v>
      </c>
      <c r="BY11">
        <v>3.6632742675588199</v>
      </c>
      <c r="BZ11">
        <v>3.7742169220359898</v>
      </c>
      <c r="CA11">
        <v>3.2501580684170901</v>
      </c>
      <c r="CB11">
        <v>3.30950726109229</v>
      </c>
      <c r="CC11">
        <v>3.72237350095459</v>
      </c>
      <c r="CD11">
        <v>3.9204170015403101</v>
      </c>
      <c r="CE11">
        <v>3.4864106616591699</v>
      </c>
      <c r="CF11">
        <v>3.6994062602141602</v>
      </c>
      <c r="CG11">
        <v>3.34829428326284</v>
      </c>
      <c r="CH11">
        <v>2.9091614992118902</v>
      </c>
      <c r="CI11">
        <v>2.98390216253445</v>
      </c>
      <c r="CJ11">
        <v>2.87755561772236</v>
      </c>
      <c r="CK11">
        <v>2.7769848514747801</v>
      </c>
      <c r="CL11">
        <v>2.91426149851686</v>
      </c>
      <c r="CM11">
        <v>3.01735955943276</v>
      </c>
      <c r="CN11">
        <v>3.30544164053051</v>
      </c>
      <c r="CO11">
        <v>3.2970259927132899</v>
      </c>
      <c r="CP11">
        <v>3.4663144518187798</v>
      </c>
      <c r="CQ11">
        <v>3.6314079739344902</v>
      </c>
      <c r="CR11">
        <v>3.54579259054431</v>
      </c>
      <c r="CS11">
        <v>3.4856473068434402</v>
      </c>
      <c r="CT11">
        <v>3.7139674548653701</v>
      </c>
      <c r="CU11">
        <v>3.61918131030041</v>
      </c>
      <c r="CV11">
        <v>3.79417980994402</v>
      </c>
      <c r="CW11">
        <v>3.6273216906105499</v>
      </c>
      <c r="CX11">
        <v>3.7035623748148598</v>
      </c>
      <c r="CY11">
        <v>3.49581779597042</v>
      </c>
      <c r="CZ11">
        <v>3.49978442254596</v>
      </c>
      <c r="DA11">
        <v>3.4328390804978501</v>
      </c>
      <c r="DB11">
        <v>3.3415814628842102</v>
      </c>
      <c r="DC11">
        <v>3.47933122034167</v>
      </c>
      <c r="DD11">
        <v>3.4619303331103999</v>
      </c>
      <c r="DE11">
        <v>3.6944104390391601</v>
      </c>
      <c r="DF11">
        <v>3.5664296792183698</v>
      </c>
      <c r="DG11">
        <v>3.74830213080521</v>
      </c>
      <c r="DH11">
        <v>3.66159392068265</v>
      </c>
      <c r="DI11">
        <v>3.7776529248892601</v>
      </c>
      <c r="DJ11">
        <v>3.7898712509515402</v>
      </c>
      <c r="DK11">
        <v>3.7064589413380902</v>
      </c>
      <c r="DL11">
        <v>3.6357165321478999</v>
      </c>
      <c r="DM11">
        <v>3.5584902690771298</v>
      </c>
      <c r="DN11">
        <v>3.7620837685296098</v>
      </c>
      <c r="DO11">
        <v>3.6922972281105002</v>
      </c>
      <c r="DP11">
        <v>3.5410860958979802</v>
      </c>
      <c r="DQ11">
        <v>3.1447309503546501</v>
      </c>
      <c r="DR11">
        <v>2.9578704153718101</v>
      </c>
      <c r="DS11">
        <v>2.99274041595574</v>
      </c>
      <c r="DT11">
        <v>2.9568446056722499</v>
      </c>
      <c r="DU11">
        <v>2.8222169784596698</v>
      </c>
      <c r="DV11">
        <v>2.8958415371510799</v>
      </c>
      <c r="DW11">
        <v>2.8766830457263</v>
      </c>
      <c r="DX11">
        <v>2.7979363603296799</v>
      </c>
      <c r="DY11">
        <v>2.8219566661452702</v>
      </c>
      <c r="DZ11">
        <v>2.6075953488156101</v>
      </c>
      <c r="EA11">
        <v>2.5807228145834999</v>
      </c>
      <c r="EB11">
        <v>2.4364175066139002</v>
      </c>
      <c r="EC11">
        <v>2.5257777076797101</v>
      </c>
      <c r="ED11">
        <v>2.4776640493013899</v>
      </c>
      <c r="EE11">
        <v>2.6330802369994002</v>
      </c>
      <c r="EF11">
        <v>2.5275460665894398</v>
      </c>
      <c r="EG11">
        <v>2.6095143440747601</v>
      </c>
      <c r="EH11">
        <v>2.5219299392178902</v>
      </c>
      <c r="EI11">
        <v>2.4942147716648102</v>
      </c>
      <c r="EJ11">
        <v>2.5584869155716001</v>
      </c>
      <c r="EK11">
        <v>2.5946736758862801</v>
      </c>
      <c r="EL11">
        <v>2.5969227060229598</v>
      </c>
      <c r="EM11">
        <v>2.85303521503302</v>
      </c>
      <c r="EN11">
        <v>2.8545096218119999</v>
      </c>
      <c r="EO11">
        <v>2.9651007671032099</v>
      </c>
      <c r="EP11">
        <v>2.8899549981841801</v>
      </c>
      <c r="EQ11">
        <v>3.149087365467</v>
      </c>
      <c r="ER11">
        <v>3.12009536773478</v>
      </c>
      <c r="ES11">
        <v>3.11614727498484</v>
      </c>
      <c r="ET11">
        <v>3.1557595107856402</v>
      </c>
      <c r="EU11">
        <v>3.1903762818074499</v>
      </c>
      <c r="EV11">
        <v>3.3278046014125899</v>
      </c>
      <c r="EW11">
        <v>3.4947029270998402</v>
      </c>
      <c r="EX11">
        <v>3.4567352344068301</v>
      </c>
      <c r="EY11">
        <v>3.47096237731422</v>
      </c>
      <c r="EZ11">
        <v>3.5903717574117402</v>
      </c>
      <c r="FA11">
        <v>3.7917418093125801</v>
      </c>
      <c r="FB11">
        <v>3.67370369407366</v>
      </c>
      <c r="FC11">
        <v>3.8603713897149898</v>
      </c>
      <c r="FD11">
        <v>3.6880462707181101</v>
      </c>
      <c r="FE11">
        <v>3.6892489966332298</v>
      </c>
      <c r="FF11">
        <v>3.5308547197115301</v>
      </c>
      <c r="FG11">
        <v>3.48599711327474</v>
      </c>
      <c r="FH11">
        <v>3.1584787247906698</v>
      </c>
      <c r="FI11">
        <v>3.1340069138151501</v>
      </c>
      <c r="FJ11">
        <v>3.0765087711539598</v>
      </c>
      <c r="FK11">
        <v>3.0661631479254998</v>
      </c>
      <c r="FL11">
        <v>2.9433196326839002</v>
      </c>
      <c r="FM11">
        <v>2.69646778217923</v>
      </c>
      <c r="FN11">
        <v>2.5891773600372598</v>
      </c>
      <c r="FO11">
        <v>2.5862426462159802</v>
      </c>
      <c r="FP11">
        <v>2.75820336163958</v>
      </c>
      <c r="FQ11">
        <v>2.7530883046397401</v>
      </c>
      <c r="FR11">
        <v>2.67106462702586</v>
      </c>
      <c r="FS11">
        <v>2.6533587397768801</v>
      </c>
      <c r="FT11">
        <v>2.5744685863654002</v>
      </c>
      <c r="FU11">
        <v>2.6347896455126101</v>
      </c>
      <c r="FV11">
        <v>2.7407975928483999</v>
      </c>
      <c r="FW11">
        <v>2.5778105390751</v>
      </c>
      <c r="FX11">
        <v>2.53519966853773</v>
      </c>
      <c r="FY11">
        <v>2.5820605994324901</v>
      </c>
      <c r="FZ11">
        <v>2.7204804255024402</v>
      </c>
      <c r="GA11">
        <v>2.6926164555315801</v>
      </c>
      <c r="GB11">
        <v>2.5324407033795699</v>
      </c>
      <c r="GC11">
        <v>2.5666281417629899</v>
      </c>
      <c r="GD11">
        <v>2.5773359398198901</v>
      </c>
      <c r="GE11">
        <v>2.5061529546394898</v>
      </c>
      <c r="GF11">
        <v>2.5223946380608999</v>
      </c>
      <c r="GG11">
        <v>2.6183935056656802</v>
      </c>
      <c r="GH11">
        <v>2.3367224374256699</v>
      </c>
      <c r="GI11">
        <v>2.3299834451251802</v>
      </c>
      <c r="GJ11">
        <v>2.0656422065461002</v>
      </c>
      <c r="GK11">
        <v>1.1970493445544901</v>
      </c>
      <c r="GL11">
        <v>0.88781386203141099</v>
      </c>
      <c r="GM11">
        <v>0.93525519831092396</v>
      </c>
      <c r="GN11">
        <v>0.93954502659922701</v>
      </c>
      <c r="GO11">
        <v>1.1973304506544</v>
      </c>
      <c r="GP11">
        <v>1.05602746822708</v>
      </c>
      <c r="GQ11">
        <v>1.06155746957837</v>
      </c>
      <c r="GR11">
        <v>0.97608186594777202</v>
      </c>
      <c r="GS11">
        <v>0.952169887031454</v>
      </c>
      <c r="GT11">
        <v>0.80787223230367</v>
      </c>
      <c r="GU11">
        <v>0.95761248730787896</v>
      </c>
      <c r="GV11">
        <v>0.80711809328552597</v>
      </c>
      <c r="GW11">
        <v>0.92055876208385301</v>
      </c>
      <c r="GX11">
        <v>1.04380406654097</v>
      </c>
      <c r="GY11">
        <v>0.914181430315673</v>
      </c>
      <c r="GZ11">
        <v>0.74880958765999495</v>
      </c>
      <c r="HA11">
        <v>0.70938819612078696</v>
      </c>
      <c r="HB11">
        <v>0.81619162494158404</v>
      </c>
      <c r="HC11">
        <v>0.691233730713816</v>
      </c>
      <c r="HD11">
        <v>0.80920148987242002</v>
      </c>
      <c r="HE11">
        <v>0.89165355257824497</v>
      </c>
      <c r="HF11">
        <v>0.63195952367386399</v>
      </c>
      <c r="HG11">
        <v>0.89487199119866501</v>
      </c>
      <c r="HH11">
        <v>1.00009792681822</v>
      </c>
      <c r="HI11">
        <v>0.89803734640293398</v>
      </c>
      <c r="HJ11">
        <v>0.90995261043068898</v>
      </c>
      <c r="HK11">
        <v>0.99591562526209199</v>
      </c>
      <c r="HL11">
        <v>0.92677925118651605</v>
      </c>
      <c r="HM11">
        <v>0.82859463650964005</v>
      </c>
      <c r="HN11">
        <v>0.92680053059121703</v>
      </c>
      <c r="HO11">
        <v>0.950647363326524</v>
      </c>
      <c r="HP11">
        <v>0.98573027612917397</v>
      </c>
      <c r="HQ11">
        <v>0.94932449373309702</v>
      </c>
      <c r="HR11">
        <v>0.96366238598836595</v>
      </c>
      <c r="HS11">
        <v>0.91690360923708303</v>
      </c>
      <c r="HT11">
        <v>0.94751049962761902</v>
      </c>
      <c r="HU11">
        <v>1.12170113207902</v>
      </c>
      <c r="HV11">
        <v>1.24411222496567</v>
      </c>
      <c r="HW11">
        <v>1.2181162799290299</v>
      </c>
      <c r="HX11">
        <v>1.1540743894809999</v>
      </c>
      <c r="HY11">
        <v>1.09717473891601</v>
      </c>
      <c r="HZ11">
        <v>1.1139938603482</v>
      </c>
      <c r="IA11">
        <v>1.19687774679945</v>
      </c>
      <c r="IB11">
        <v>1.3169537333839101</v>
      </c>
      <c r="IC11">
        <v>1.3004079443529499</v>
      </c>
      <c r="ID11">
        <v>1.33200924294983</v>
      </c>
      <c r="IE11">
        <v>1.3011784456865501</v>
      </c>
      <c r="IF11">
        <v>1.36749964078918</v>
      </c>
      <c r="IG11">
        <v>1.3475134619937701</v>
      </c>
      <c r="IH11">
        <v>1.4724246895348501</v>
      </c>
      <c r="II11">
        <v>1.53069230221818</v>
      </c>
      <c r="IJ11">
        <v>1.4905900625473201</v>
      </c>
      <c r="IK11">
        <v>1.74939340203099</v>
      </c>
      <c r="IL11">
        <v>1.4836419479335501</v>
      </c>
      <c r="IM11">
        <v>1.2774966502656999</v>
      </c>
      <c r="IN11">
        <v>1.36989069303325</v>
      </c>
      <c r="IO11">
        <v>1.3115461506544299</v>
      </c>
      <c r="IP11">
        <v>1.2723460008862799</v>
      </c>
      <c r="IQ11">
        <v>1.1607160965716199</v>
      </c>
      <c r="IR11">
        <v>1.1119046090985201</v>
      </c>
      <c r="IS11">
        <v>1.0142215649550901</v>
      </c>
      <c r="IT11">
        <v>0.98931613450571598</v>
      </c>
      <c r="IU11">
        <v>0.99499564804249996</v>
      </c>
      <c r="IV11">
        <v>0.970071998657831</v>
      </c>
      <c r="IW11">
        <v>0.919732861518192</v>
      </c>
      <c r="IX11">
        <v>0.83973783311642203</v>
      </c>
      <c r="IY11">
        <v>0.94842115300234597</v>
      </c>
      <c r="IZ11">
        <v>1.0835401670506799</v>
      </c>
    </row>
    <row r="12" spans="1:260">
      <c r="A12" t="s">
        <v>1811</v>
      </c>
      <c r="B12">
        <v>4.9791883394274601</v>
      </c>
      <c r="C12">
        <v>5.1804787137362798</v>
      </c>
      <c r="D12">
        <v>5.0846100120757702</v>
      </c>
      <c r="E12">
        <v>5.0535728094789301</v>
      </c>
      <c r="F12">
        <v>4.8742713645976297</v>
      </c>
      <c r="G12">
        <v>4.3900603989438496</v>
      </c>
      <c r="H12">
        <v>4.2910035947181697</v>
      </c>
      <c r="I12">
        <v>3.8952090154988599</v>
      </c>
      <c r="J12">
        <v>3.87657348048791</v>
      </c>
      <c r="K12">
        <v>3.84482274290764</v>
      </c>
      <c r="L12">
        <v>4.1357227641313603</v>
      </c>
      <c r="M12">
        <v>3.8876290332867001</v>
      </c>
      <c r="N12">
        <v>4.1623102165157304</v>
      </c>
      <c r="O12">
        <v>4.1027203168183997</v>
      </c>
      <c r="P12">
        <v>4.1997456421201598</v>
      </c>
      <c r="Q12">
        <v>3.9847854478821998</v>
      </c>
      <c r="R12">
        <v>4.3136766115690302</v>
      </c>
      <c r="S12">
        <v>4.2968156243010602</v>
      </c>
      <c r="T12">
        <v>4.5249981639416399</v>
      </c>
      <c r="U12">
        <v>4.7193121863918401</v>
      </c>
      <c r="V12">
        <v>4.9073454242260697</v>
      </c>
      <c r="W12">
        <v>4.642261858236</v>
      </c>
      <c r="X12">
        <v>4.6199331645227399</v>
      </c>
      <c r="Y12">
        <v>4.5944173397264301</v>
      </c>
      <c r="Z12">
        <v>4.6120978739093497</v>
      </c>
      <c r="AA12">
        <v>4.4213707068460302</v>
      </c>
      <c r="AB12">
        <v>4.4171980314233101</v>
      </c>
      <c r="AC12">
        <v>4.3377748082496801</v>
      </c>
      <c r="AD12">
        <v>4.5036034218333896</v>
      </c>
      <c r="AE12">
        <v>4.5490177109580401</v>
      </c>
      <c r="AF12">
        <v>4.4433865199821296</v>
      </c>
      <c r="AG12">
        <v>4.3117097472979102</v>
      </c>
      <c r="AH12">
        <v>4.4424111007623903</v>
      </c>
      <c r="AI12">
        <v>4.2727060933621797</v>
      </c>
      <c r="AJ12">
        <v>4.2470405434806597</v>
      </c>
      <c r="AK12">
        <v>4.0112809152860098</v>
      </c>
      <c r="AL12">
        <v>3.90935538425747</v>
      </c>
      <c r="AM12">
        <v>3.8448503113433499</v>
      </c>
      <c r="AN12">
        <v>3.9029449306938502</v>
      </c>
      <c r="AO12">
        <v>3.4962688325345099</v>
      </c>
      <c r="AP12">
        <v>3.9020449768906098</v>
      </c>
      <c r="AQ12">
        <v>3.7136416226846101</v>
      </c>
      <c r="AR12">
        <v>3.6412215746719099</v>
      </c>
      <c r="AS12">
        <v>3.4905213424774102</v>
      </c>
      <c r="AT12">
        <v>3.6305940925463398</v>
      </c>
      <c r="AU12">
        <v>3.8207779099396699</v>
      </c>
      <c r="AV12">
        <v>3.7056446586313498</v>
      </c>
      <c r="AW12">
        <v>3.81230617936746</v>
      </c>
      <c r="AX12">
        <v>4.0496892394803004</v>
      </c>
      <c r="AY12">
        <v>3.95441021399294</v>
      </c>
      <c r="AZ12">
        <v>3.6771473237280001</v>
      </c>
      <c r="BA12">
        <v>3.7978988081638598</v>
      </c>
      <c r="BB12">
        <v>3.5202807854140001</v>
      </c>
      <c r="BC12">
        <v>3.4744836262197598</v>
      </c>
      <c r="BD12">
        <v>3.1794578484846099</v>
      </c>
      <c r="BE12">
        <v>3.1014908529503602</v>
      </c>
      <c r="BF12">
        <v>2.8384766210015</v>
      </c>
      <c r="BG12">
        <v>2.9233957666558701</v>
      </c>
      <c r="BH12">
        <v>3.0402164403266099</v>
      </c>
      <c r="BI12">
        <v>3.0036726960845499</v>
      </c>
      <c r="BJ12">
        <v>3.17088174345339</v>
      </c>
      <c r="BK12">
        <v>3.0378613712437001</v>
      </c>
      <c r="BL12">
        <v>2.8994020249098602</v>
      </c>
      <c r="BM12">
        <v>2.85412350603452</v>
      </c>
      <c r="BN12">
        <v>2.8930615896120502</v>
      </c>
      <c r="BO12">
        <v>3.0700450096174698</v>
      </c>
      <c r="BP12">
        <v>3.1658110150245302</v>
      </c>
      <c r="BQ12">
        <v>2.95052489864511</v>
      </c>
      <c r="BR12">
        <v>2.87798952234479</v>
      </c>
      <c r="BS12">
        <v>3.47750351550973</v>
      </c>
      <c r="BT12">
        <v>3.39394571621636</v>
      </c>
      <c r="BU12">
        <v>3.4710657759388202</v>
      </c>
      <c r="BV12">
        <v>3.3919965828980998</v>
      </c>
      <c r="BW12">
        <v>3.28165844254849</v>
      </c>
      <c r="BX12">
        <v>3.38851888663828</v>
      </c>
      <c r="BY12">
        <v>3.3333288177093898</v>
      </c>
      <c r="BZ12">
        <v>3.3131929978514201</v>
      </c>
      <c r="CA12">
        <v>2.9026194625712902</v>
      </c>
      <c r="CB12">
        <v>2.9560869762807198</v>
      </c>
      <c r="CC12">
        <v>3.2449925277211298</v>
      </c>
      <c r="CD12">
        <v>3.4703623112914399</v>
      </c>
      <c r="CE12">
        <v>3.20754920502449</v>
      </c>
      <c r="CF12">
        <v>3.4429065503631899</v>
      </c>
      <c r="CG12">
        <v>3.18343228440752</v>
      </c>
      <c r="CH12">
        <v>2.9123391244903898</v>
      </c>
      <c r="CI12">
        <v>3.0234020258580898</v>
      </c>
      <c r="CJ12">
        <v>2.85707614592781</v>
      </c>
      <c r="CK12">
        <v>2.7955313311358001</v>
      </c>
      <c r="CL12">
        <v>2.9109776432160102</v>
      </c>
      <c r="CM12">
        <v>3.1540424339130499</v>
      </c>
      <c r="CN12">
        <v>3.18832439572473</v>
      </c>
      <c r="CO12">
        <v>3.3530235779353998</v>
      </c>
      <c r="CP12">
        <v>3.4470141283303901</v>
      </c>
      <c r="CQ12">
        <v>3.5169642118634199</v>
      </c>
      <c r="CR12">
        <v>3.5032527960165898</v>
      </c>
      <c r="CS12">
        <v>3.5199227080441999</v>
      </c>
      <c r="CT12">
        <v>3.5147680589158301</v>
      </c>
      <c r="CU12">
        <v>3.5449038346578301</v>
      </c>
      <c r="CV12">
        <v>3.6413705535718899</v>
      </c>
      <c r="CW12">
        <v>3.5876108601219499</v>
      </c>
      <c r="CX12">
        <v>3.5551950278235802</v>
      </c>
      <c r="CY12">
        <v>3.4830406742719102</v>
      </c>
      <c r="CZ12">
        <v>3.5021491288888198</v>
      </c>
      <c r="DA12">
        <v>3.4013328507034299</v>
      </c>
      <c r="DB12">
        <v>3.3761083558566001</v>
      </c>
      <c r="DC12">
        <v>3.3717409994662799</v>
      </c>
      <c r="DD12">
        <v>3.3464474492585201</v>
      </c>
      <c r="DE12">
        <v>3.48004258894249</v>
      </c>
      <c r="DF12">
        <v>3.3647071301642999</v>
      </c>
      <c r="DG12">
        <v>3.42715036458794</v>
      </c>
      <c r="DH12">
        <v>3.3471297704669198</v>
      </c>
      <c r="DI12">
        <v>3.4452900198612402</v>
      </c>
      <c r="DJ12">
        <v>3.46591518208642</v>
      </c>
      <c r="DK12">
        <v>3.4709127404797702</v>
      </c>
      <c r="DL12">
        <v>3.49625247770987</v>
      </c>
      <c r="DM12">
        <v>3.39594371303403</v>
      </c>
      <c r="DN12">
        <v>3.4757385354292101</v>
      </c>
      <c r="DO12">
        <v>3.3896482993904602</v>
      </c>
      <c r="DP12">
        <v>3.2755282925420399</v>
      </c>
      <c r="DQ12">
        <v>2.9990947711762099</v>
      </c>
      <c r="DR12">
        <v>2.8399751821750701</v>
      </c>
      <c r="DS12">
        <v>2.90590766519975</v>
      </c>
      <c r="DT12">
        <v>2.8244555059126402</v>
      </c>
      <c r="DU12">
        <v>2.7234371608500498</v>
      </c>
      <c r="DV12">
        <v>2.7834674367725998</v>
      </c>
      <c r="DW12">
        <v>2.7790531523087898</v>
      </c>
      <c r="DX12">
        <v>2.7559021089225699</v>
      </c>
      <c r="DY12">
        <v>2.72883511143641</v>
      </c>
      <c r="DZ12">
        <v>2.5513960605531301</v>
      </c>
      <c r="EA12">
        <v>2.4941170240670298</v>
      </c>
      <c r="EB12">
        <v>2.43615375455362</v>
      </c>
      <c r="EC12">
        <v>2.5442581874832499</v>
      </c>
      <c r="ED12">
        <v>2.5431629401384002</v>
      </c>
      <c r="EE12">
        <v>2.6085516252064598</v>
      </c>
      <c r="EF12">
        <v>2.5483961066794798</v>
      </c>
      <c r="EG12">
        <v>2.640236620364</v>
      </c>
      <c r="EH12">
        <v>2.5721386433387501</v>
      </c>
      <c r="EI12">
        <v>2.53417427509615</v>
      </c>
      <c r="EJ12">
        <v>2.6315276651072899</v>
      </c>
      <c r="EK12">
        <v>2.6609454533749801</v>
      </c>
      <c r="EL12">
        <v>2.7110748028358298</v>
      </c>
      <c r="EM12">
        <v>2.9100105377219601</v>
      </c>
      <c r="EN12">
        <v>2.9185095728990502</v>
      </c>
      <c r="EO12">
        <v>2.96663547631172</v>
      </c>
      <c r="EP12">
        <v>2.96159177119487</v>
      </c>
      <c r="EQ12">
        <v>3.1439179250670999</v>
      </c>
      <c r="ER12">
        <v>3.2337541171283699</v>
      </c>
      <c r="ES12">
        <v>3.2321380303813001</v>
      </c>
      <c r="ET12">
        <v>3.2860835997290199</v>
      </c>
      <c r="EU12">
        <v>3.3206699824955099</v>
      </c>
      <c r="EV12">
        <v>3.4159270272639999</v>
      </c>
      <c r="EW12">
        <v>3.56649654620221</v>
      </c>
      <c r="EX12">
        <v>3.5660575900174201</v>
      </c>
      <c r="EY12">
        <v>3.5519825553573199</v>
      </c>
      <c r="EZ12">
        <v>3.643229031408</v>
      </c>
      <c r="FA12">
        <v>3.7653877625517298</v>
      </c>
      <c r="FB12">
        <v>3.6322312309965001</v>
      </c>
      <c r="FC12">
        <v>3.8521933935183101</v>
      </c>
      <c r="FD12">
        <v>3.6732415656214799</v>
      </c>
      <c r="FE12">
        <v>3.6689080635662901</v>
      </c>
      <c r="FF12">
        <v>3.4700155125956602</v>
      </c>
      <c r="FG12">
        <v>3.5181963053285399</v>
      </c>
      <c r="FH12">
        <v>3.3078712778171702</v>
      </c>
      <c r="FI12">
        <v>3.2207059422270699</v>
      </c>
      <c r="FJ12">
        <v>3.2272915007659102</v>
      </c>
      <c r="FK12">
        <v>3.1145703081209102</v>
      </c>
      <c r="FL12">
        <v>2.98573129959428</v>
      </c>
      <c r="FM12">
        <v>2.83467993403911</v>
      </c>
      <c r="FN12">
        <v>2.77274136082328</v>
      </c>
      <c r="FO12">
        <v>2.75740473632335</v>
      </c>
      <c r="FP12">
        <v>2.8684925141932598</v>
      </c>
      <c r="FQ12">
        <v>2.8538997786333802</v>
      </c>
      <c r="FR12">
        <v>2.7393407529062399</v>
      </c>
      <c r="FS12">
        <v>2.7087892911460201</v>
      </c>
      <c r="FT12">
        <v>2.7332535722729898</v>
      </c>
      <c r="FU12">
        <v>2.7388818908628698</v>
      </c>
      <c r="FV12">
        <v>2.7644979232998801</v>
      </c>
      <c r="FW12">
        <v>2.7089346049244099</v>
      </c>
      <c r="FX12">
        <v>2.74228692140698</v>
      </c>
      <c r="FY12">
        <v>2.7044272876954398</v>
      </c>
      <c r="FZ12">
        <v>2.8574576354877701</v>
      </c>
      <c r="GA12">
        <v>2.7520128869113898</v>
      </c>
      <c r="GB12">
        <v>2.7125944770128201</v>
      </c>
      <c r="GC12">
        <v>2.8188218603702899</v>
      </c>
      <c r="GD12">
        <v>2.75684880076698</v>
      </c>
      <c r="GE12">
        <v>2.8090560966747602</v>
      </c>
      <c r="GF12">
        <v>2.81578708981518</v>
      </c>
      <c r="GG12">
        <v>2.8158905731061599</v>
      </c>
      <c r="GH12">
        <v>2.6324360785972098</v>
      </c>
      <c r="GI12">
        <v>2.6752001256725602</v>
      </c>
      <c r="GJ12">
        <v>2.4328808704192699</v>
      </c>
      <c r="GK12">
        <v>1.9583531992599099</v>
      </c>
      <c r="GL12">
        <v>1.7263182837809099</v>
      </c>
      <c r="GM12">
        <v>1.61208993558755</v>
      </c>
      <c r="GN12">
        <v>1.5760073248364099</v>
      </c>
      <c r="GO12">
        <v>1.6203989730736801</v>
      </c>
      <c r="GP12">
        <v>1.55907021546584</v>
      </c>
      <c r="GQ12">
        <v>1.6002904453554001</v>
      </c>
      <c r="GR12">
        <v>1.59445557526419</v>
      </c>
      <c r="GS12">
        <v>1.5334699504387499</v>
      </c>
      <c r="GT12">
        <v>1.34933883416825</v>
      </c>
      <c r="GU12">
        <v>1.3856351965232101</v>
      </c>
      <c r="GV12">
        <v>1.2813107183736301</v>
      </c>
      <c r="GW12">
        <v>1.42173787709586</v>
      </c>
      <c r="GX12">
        <v>1.4302604787241999</v>
      </c>
      <c r="GY12">
        <v>1.4047424736907199</v>
      </c>
      <c r="GZ12">
        <v>1.34154825483105</v>
      </c>
      <c r="HA12">
        <v>1.27614312057174</v>
      </c>
      <c r="HB12">
        <v>1.40006922061397</v>
      </c>
      <c r="HC12">
        <v>1.3536256817378101</v>
      </c>
      <c r="HD12">
        <v>1.4291927329521601</v>
      </c>
      <c r="HE12">
        <v>1.4924803428677</v>
      </c>
      <c r="HF12">
        <v>1.3311757402372699</v>
      </c>
      <c r="HG12">
        <v>1.5219813440782901</v>
      </c>
      <c r="HH12">
        <v>1.6465350636203699</v>
      </c>
      <c r="HI12">
        <v>1.62823974426114</v>
      </c>
      <c r="HJ12">
        <v>1.7182764528393699</v>
      </c>
      <c r="HK12">
        <v>1.71492280885825</v>
      </c>
      <c r="HL12">
        <v>1.71021081548414</v>
      </c>
      <c r="HM12">
        <v>1.6767288169772101</v>
      </c>
      <c r="HN12">
        <v>1.7132521587292699</v>
      </c>
      <c r="HO12">
        <v>1.6857178883823101</v>
      </c>
      <c r="HP12">
        <v>1.75745248032551</v>
      </c>
      <c r="HQ12">
        <v>1.7817449376769501</v>
      </c>
      <c r="HR12">
        <v>1.7798702212028901</v>
      </c>
      <c r="HS12">
        <v>1.8135410619810799</v>
      </c>
      <c r="HT12">
        <v>1.8844992894541499</v>
      </c>
      <c r="HU12">
        <v>1.99615971389811</v>
      </c>
      <c r="HV12">
        <v>2.02496924009743</v>
      </c>
      <c r="HW12">
        <v>2.0327255873641299</v>
      </c>
      <c r="HX12">
        <v>2.0889107843735499</v>
      </c>
      <c r="HY12">
        <v>2.0262659936359699</v>
      </c>
      <c r="HZ12">
        <v>2.09348293607981</v>
      </c>
      <c r="IA12">
        <v>2.1762486033771502</v>
      </c>
      <c r="IB12">
        <v>2.3123127914917201</v>
      </c>
      <c r="IC12">
        <v>2.33129535246493</v>
      </c>
      <c r="ID12">
        <v>2.3382170372328601</v>
      </c>
      <c r="IE12">
        <v>2.3171455650584698</v>
      </c>
      <c r="IF12">
        <v>2.3681769679112801</v>
      </c>
      <c r="IG12">
        <v>2.3526435356676001</v>
      </c>
      <c r="IH12">
        <v>2.3948150008483</v>
      </c>
      <c r="II12">
        <v>2.32006476796156</v>
      </c>
      <c r="IJ12">
        <v>2.3178629978786298</v>
      </c>
      <c r="IK12">
        <v>2.5275464362856401</v>
      </c>
      <c r="IL12">
        <v>2.28502351762079</v>
      </c>
      <c r="IM12">
        <v>2.1572472872502599</v>
      </c>
      <c r="IN12">
        <v>2.2483350044978101</v>
      </c>
      <c r="IO12">
        <v>2.22676142800406</v>
      </c>
      <c r="IP12">
        <v>2.2623749321411899</v>
      </c>
      <c r="IQ12">
        <v>2.2987212660940299</v>
      </c>
      <c r="IR12">
        <v>2.50060914163315</v>
      </c>
      <c r="IS12">
        <v>2.5342488434805501</v>
      </c>
      <c r="IT12">
        <v>2.37526270025967</v>
      </c>
      <c r="IU12">
        <v>2.4722713164997701</v>
      </c>
      <c r="IV12">
        <v>2.5138547499277202</v>
      </c>
      <c r="IW12">
        <v>2.4565513994764401</v>
      </c>
      <c r="IX12">
        <v>2.3479843644265301</v>
      </c>
      <c r="IY12">
        <v>2.4797648039952902</v>
      </c>
      <c r="IZ12">
        <v>2.5624980823475498</v>
      </c>
    </row>
    <row r="14" spans="1:260">
      <c r="A14" t="s">
        <v>1812</v>
      </c>
    </row>
    <row r="15" spans="1:260">
      <c r="B15" s="30">
        <v>22555</v>
      </c>
      <c r="C15" s="30">
        <v>22920</v>
      </c>
      <c r="D15" s="30">
        <v>23285</v>
      </c>
      <c r="E15" s="30">
        <v>23651</v>
      </c>
      <c r="F15" s="30">
        <v>24016</v>
      </c>
      <c r="G15" s="30">
        <v>24381</v>
      </c>
      <c r="H15" s="30">
        <v>24746</v>
      </c>
      <c r="I15" s="30">
        <v>25112</v>
      </c>
      <c r="J15" s="30">
        <v>25477</v>
      </c>
      <c r="K15" s="30">
        <v>25842</v>
      </c>
      <c r="L15" s="30">
        <v>26207</v>
      </c>
      <c r="M15" s="30">
        <v>26573</v>
      </c>
      <c r="N15" s="30">
        <v>26938</v>
      </c>
      <c r="O15" s="30">
        <v>27303</v>
      </c>
      <c r="P15" s="30">
        <v>27668</v>
      </c>
      <c r="Q15" s="30">
        <v>28034</v>
      </c>
      <c r="R15" s="30">
        <v>28399</v>
      </c>
      <c r="S15" s="30">
        <v>28764</v>
      </c>
      <c r="T15" s="30">
        <v>29129</v>
      </c>
      <c r="U15" s="30">
        <v>29495</v>
      </c>
      <c r="V15" s="30">
        <v>29860</v>
      </c>
      <c r="W15" s="30">
        <v>30225</v>
      </c>
      <c r="X15" s="30">
        <v>30590</v>
      </c>
      <c r="Y15" s="30">
        <v>30956</v>
      </c>
      <c r="Z15" s="30">
        <v>31321</v>
      </c>
      <c r="AA15" s="30">
        <v>31686</v>
      </c>
      <c r="AB15" s="30">
        <v>32051</v>
      </c>
      <c r="AC15" s="30">
        <v>32417</v>
      </c>
      <c r="AD15" s="30">
        <v>32782</v>
      </c>
      <c r="AE15" s="30">
        <v>33147</v>
      </c>
      <c r="AF15" s="30">
        <v>33512</v>
      </c>
      <c r="AG15" s="30">
        <v>33878</v>
      </c>
      <c r="AH15" s="30">
        <v>34243</v>
      </c>
      <c r="AI15" s="30">
        <v>34608</v>
      </c>
      <c r="AJ15" s="30">
        <v>34973</v>
      </c>
      <c r="AK15" s="30">
        <v>35339</v>
      </c>
      <c r="AL15" s="30">
        <v>35704</v>
      </c>
      <c r="AM15" s="30">
        <v>36069</v>
      </c>
      <c r="AN15" s="30">
        <v>36434</v>
      </c>
      <c r="AO15" s="30">
        <v>36800</v>
      </c>
      <c r="AP15" s="30">
        <v>37165</v>
      </c>
      <c r="AQ15" s="30">
        <v>37530</v>
      </c>
      <c r="AR15" s="30">
        <v>37895</v>
      </c>
      <c r="AS15" s="30">
        <v>38261</v>
      </c>
      <c r="AT15" s="30">
        <v>38626</v>
      </c>
      <c r="AU15" s="30">
        <v>38991</v>
      </c>
      <c r="AV15" s="30">
        <v>39356</v>
      </c>
      <c r="AW15" s="30">
        <v>39722</v>
      </c>
      <c r="AX15" s="30">
        <v>40087</v>
      </c>
      <c r="AY15" s="30">
        <v>40452</v>
      </c>
      <c r="AZ15" s="30">
        <v>40817</v>
      </c>
      <c r="BA15" s="30">
        <v>41183</v>
      </c>
      <c r="BB15" s="30">
        <v>41548</v>
      </c>
      <c r="BC15" s="30">
        <v>41913</v>
      </c>
      <c r="BD15" s="30">
        <v>42278</v>
      </c>
      <c r="BE15" s="30">
        <v>42644</v>
      </c>
      <c r="BF15" s="30">
        <v>43009</v>
      </c>
      <c r="BG15" s="30">
        <v>43374</v>
      </c>
      <c r="BH15" s="30">
        <v>43739</v>
      </c>
      <c r="BI15" s="30">
        <v>44105</v>
      </c>
      <c r="BJ15" s="30">
        <v>44470</v>
      </c>
      <c r="BK15" s="30">
        <v>44835</v>
      </c>
      <c r="BL15" s="30">
        <v>45200</v>
      </c>
      <c r="BM15" s="30">
        <v>45566</v>
      </c>
    </row>
    <row r="16" spans="1:260">
      <c r="A16" t="s">
        <v>1807</v>
      </c>
    </row>
    <row r="17" spans="1:98">
      <c r="A17" t="s">
        <v>1810</v>
      </c>
      <c r="B17" s="45">
        <v>4.32291161789699</v>
      </c>
      <c r="C17" s="45">
        <v>4.2908936020431403</v>
      </c>
      <c r="D17" s="45">
        <v>4.3107039760586598</v>
      </c>
      <c r="E17" s="45">
        <v>4.3132789768356901</v>
      </c>
      <c r="F17" s="45">
        <v>4.2307805371525999</v>
      </c>
      <c r="G17" s="45">
        <v>4.0618104190517297</v>
      </c>
      <c r="H17" s="45">
        <v>3.9081264144554999</v>
      </c>
      <c r="I17" s="45">
        <v>3.68767838803041</v>
      </c>
      <c r="J17" s="45">
        <v>3.4753402204735502</v>
      </c>
      <c r="K17" s="45">
        <v>3.3581848012512698</v>
      </c>
      <c r="L17" s="45">
        <v>3.26141648140523</v>
      </c>
      <c r="M17" s="45">
        <v>3.13014221285647</v>
      </c>
      <c r="N17" s="45">
        <v>2.9286591064243499</v>
      </c>
      <c r="O17" s="45">
        <v>2.84253360371113</v>
      </c>
      <c r="P17" s="45">
        <v>2.8847741258392099</v>
      </c>
      <c r="Q17" s="45">
        <v>2.9191720500017202</v>
      </c>
      <c r="R17" s="45">
        <v>2.96244175332146</v>
      </c>
      <c r="S17" s="45">
        <v>2.9386115478106198</v>
      </c>
      <c r="T17" s="45">
        <v>2.9040045129338701</v>
      </c>
      <c r="U17" s="45">
        <v>2.9262727627796701</v>
      </c>
      <c r="V17" s="45">
        <v>2.8884076079146599</v>
      </c>
      <c r="W17" s="45">
        <v>2.9572896749835902</v>
      </c>
      <c r="X17" s="45">
        <v>2.97297050196241</v>
      </c>
      <c r="Y17" s="45">
        <v>2.9121425609429799</v>
      </c>
      <c r="Z17" s="45">
        <v>2.8287340269047498</v>
      </c>
      <c r="AA17" s="45">
        <v>2.75199060079267</v>
      </c>
      <c r="AB17" s="45">
        <v>2.67165128954802</v>
      </c>
      <c r="AC17" s="45">
        <v>2.5625936421285802</v>
      </c>
      <c r="AD17" s="45">
        <v>2.4133136051144199</v>
      </c>
      <c r="AE17" s="45">
        <v>2.2754334131481602</v>
      </c>
      <c r="AF17" s="45">
        <v>2.2457641647139801</v>
      </c>
      <c r="AG17" s="45">
        <v>2.2357247457728802</v>
      </c>
      <c r="AH17" s="45">
        <v>2.3151296268875301</v>
      </c>
      <c r="AI17" s="45">
        <v>2.41196787363537</v>
      </c>
      <c r="AJ17" s="45">
        <v>2.5397385015173701</v>
      </c>
      <c r="AK17" s="45">
        <v>2.6194009736088799</v>
      </c>
      <c r="AL17" s="45">
        <v>2.6364547813854999</v>
      </c>
      <c r="AM17" s="45">
        <v>2.5722024710290698</v>
      </c>
      <c r="AN17" s="45">
        <v>2.4069748024276501</v>
      </c>
      <c r="AO17" s="45">
        <v>2.1667728115467901</v>
      </c>
      <c r="AP17" s="45">
        <v>1.96243146492508</v>
      </c>
      <c r="AQ17" s="45">
        <v>1.8084106130231501</v>
      </c>
      <c r="AR17" s="45">
        <v>1.6853996946507901</v>
      </c>
      <c r="AS17" s="45">
        <v>1.55553491571945</v>
      </c>
      <c r="AT17" s="45">
        <v>1.39486717338226</v>
      </c>
      <c r="AU17" s="45">
        <v>1.17674701728674</v>
      </c>
      <c r="AV17" s="45">
        <v>0.89673685914857604</v>
      </c>
      <c r="AW17" s="45">
        <v>0.67048634690709497</v>
      </c>
      <c r="AX17" s="45">
        <v>0.638230265782325</v>
      </c>
      <c r="AY17" s="45">
        <v>0.62722521886114002</v>
      </c>
      <c r="AZ17" s="45">
        <v>0.68225311692363599</v>
      </c>
      <c r="BA17" s="45">
        <v>0.763547010194085</v>
      </c>
      <c r="BB17" s="45">
        <v>0.866350591467135</v>
      </c>
      <c r="BC17" s="45">
        <v>0.97176758048706802</v>
      </c>
      <c r="BD17" s="45">
        <v>1.0667388372025599</v>
      </c>
      <c r="BE17" s="45">
        <v>1.1812292558239501</v>
      </c>
      <c r="BF17" s="45">
        <v>1.2855277958779601</v>
      </c>
      <c r="BG17" s="45">
        <v>1.35963755418008</v>
      </c>
      <c r="BH17" s="45">
        <v>1.3952379917375799</v>
      </c>
      <c r="BI17" s="45">
        <v>1.4182864539962301</v>
      </c>
      <c r="BJ17" s="45">
        <v>1.41600664379069</v>
      </c>
      <c r="BK17" s="45">
        <v>1.46291408417594</v>
      </c>
      <c r="BL17" s="45">
        <v>1.51132579737446</v>
      </c>
      <c r="BM17" s="45">
        <v>1.54453834414091</v>
      </c>
    </row>
    <row r="18" spans="1:98">
      <c r="A18" t="s">
        <v>1811</v>
      </c>
      <c r="B18" s="45">
        <v>4.1725931603901198</v>
      </c>
      <c r="C18" s="45">
        <v>4.1548837663096601</v>
      </c>
      <c r="D18" s="45">
        <v>4.17531248010705</v>
      </c>
      <c r="E18" s="45">
        <v>4.1786130190043398</v>
      </c>
      <c r="F18" s="45">
        <v>4.12377792350396</v>
      </c>
      <c r="G18" s="45">
        <v>4.00265941544271</v>
      </c>
      <c r="H18" s="45">
        <v>3.8970206188254202</v>
      </c>
      <c r="I18" s="45">
        <v>3.7447466155448201</v>
      </c>
      <c r="J18" s="45">
        <v>3.5948963103277198</v>
      </c>
      <c r="K18" s="45">
        <v>3.5164798232794801</v>
      </c>
      <c r="L18" s="45">
        <v>3.4478738204844399</v>
      </c>
      <c r="M18" s="45">
        <v>3.36329535574726</v>
      </c>
      <c r="N18" s="45">
        <v>3.2298258346597901</v>
      </c>
      <c r="O18" s="45">
        <v>3.17844355999262</v>
      </c>
      <c r="P18" s="45">
        <v>3.2247056103599001</v>
      </c>
      <c r="Q18" s="45">
        <v>3.2584809272220898</v>
      </c>
      <c r="R18" s="45">
        <v>3.2982104739416398</v>
      </c>
      <c r="S18" s="45">
        <v>3.2930259927394498</v>
      </c>
      <c r="T18" s="45">
        <v>3.27718915565984</v>
      </c>
      <c r="U18" s="45">
        <v>3.30189286729316</v>
      </c>
      <c r="V18" s="45">
        <v>3.2743507001938799</v>
      </c>
      <c r="W18" s="45">
        <v>3.3239314583626598</v>
      </c>
      <c r="X18" s="45">
        <v>3.3360485343672899</v>
      </c>
      <c r="Y18" s="45">
        <v>3.2897369271943302</v>
      </c>
      <c r="Z18" s="45">
        <v>3.2277489794750802</v>
      </c>
      <c r="AA18" s="45">
        <v>3.1707334614040299</v>
      </c>
      <c r="AB18" s="45">
        <v>3.1155028125157598</v>
      </c>
      <c r="AC18" s="45">
        <v>3.0429817380752899</v>
      </c>
      <c r="AD18" s="45">
        <v>2.9458719837746301</v>
      </c>
      <c r="AE18" s="45">
        <v>2.8561063047970099</v>
      </c>
      <c r="AF18" s="45">
        <v>2.8512798667109398</v>
      </c>
      <c r="AG18" s="45">
        <v>2.8588310976381801</v>
      </c>
      <c r="AH18" s="45">
        <v>2.9291351369623602</v>
      </c>
      <c r="AI18" s="45">
        <v>3.0065836747718699</v>
      </c>
      <c r="AJ18" s="45">
        <v>3.1002782174661201</v>
      </c>
      <c r="AK18" s="45">
        <v>3.1530671886678698</v>
      </c>
      <c r="AL18" s="45">
        <v>3.15526577674036</v>
      </c>
      <c r="AM18" s="45">
        <v>3.09594052388826</v>
      </c>
      <c r="AN18" s="45">
        <v>2.96314184385627</v>
      </c>
      <c r="AO18" s="45">
        <v>2.77759407508576</v>
      </c>
      <c r="AP18" s="45">
        <v>2.62057020369011</v>
      </c>
      <c r="AQ18" s="45">
        <v>2.4993244900031999</v>
      </c>
      <c r="AR18" s="45">
        <v>2.4033528835205402</v>
      </c>
      <c r="AS18" s="45">
        <v>2.3019010670675599</v>
      </c>
      <c r="AT18" s="45">
        <v>2.1796764697320401</v>
      </c>
      <c r="AU18" s="45">
        <v>2.0190007001828199</v>
      </c>
      <c r="AV18" s="45">
        <v>1.8222664104296999</v>
      </c>
      <c r="AW18" s="45">
        <v>1.66716866973346</v>
      </c>
      <c r="AX18" s="45">
        <v>1.6659726622639299</v>
      </c>
      <c r="AY18" s="45">
        <v>1.6831460746296301</v>
      </c>
      <c r="AZ18" s="45">
        <v>1.75258442776672</v>
      </c>
      <c r="BA18" s="45">
        <v>1.8401786720215001</v>
      </c>
      <c r="BB18" s="45">
        <v>1.9428407756639301</v>
      </c>
      <c r="BC18" s="45">
        <v>2.0500368903489101</v>
      </c>
      <c r="BD18" s="45">
        <v>2.1460559977382498</v>
      </c>
      <c r="BE18" s="45">
        <v>2.2531727899341201</v>
      </c>
      <c r="BF18" s="45">
        <v>2.35061586698068</v>
      </c>
      <c r="BG18" s="45">
        <v>2.4215182918511799</v>
      </c>
      <c r="BH18" s="45">
        <v>2.4638372315563699</v>
      </c>
      <c r="BI18" s="45">
        <v>2.49545392601078</v>
      </c>
      <c r="BJ18" s="45">
        <v>2.5054282515986102</v>
      </c>
      <c r="BK18" s="45">
        <v>2.5456978590172499</v>
      </c>
      <c r="BL18" s="45">
        <v>2.5834523453462301</v>
      </c>
      <c r="BM18" s="45">
        <v>2.6080378365481098</v>
      </c>
    </row>
    <row r="20" spans="1:98">
      <c r="A20" t="s">
        <v>1808</v>
      </c>
    </row>
    <row r="21" spans="1:98">
      <c r="A21" t="s">
        <v>1810</v>
      </c>
      <c r="B21">
        <v>5.5022071811847599</v>
      </c>
      <c r="C21">
        <v>4.2230009794701502</v>
      </c>
      <c r="D21">
        <v>4.2365271164291398</v>
      </c>
      <c r="E21">
        <v>4.30533773402124</v>
      </c>
      <c r="F21">
        <v>5.1099438996709701</v>
      </c>
      <c r="G21">
        <v>5.0467335310548398</v>
      </c>
      <c r="H21">
        <v>4.7519318262610604</v>
      </c>
      <c r="I21">
        <v>4.74829592708981</v>
      </c>
      <c r="J21">
        <v>4.3699331716104801</v>
      </c>
      <c r="K21">
        <v>3.81737157256793</v>
      </c>
      <c r="L21">
        <v>3.6078742566412498</v>
      </c>
      <c r="M21">
        <v>3.9316280323741601</v>
      </c>
      <c r="N21">
        <v>4.1461464793143801</v>
      </c>
      <c r="O21">
        <v>3.8116968552363502</v>
      </c>
      <c r="P21">
        <v>3.3057888405406799</v>
      </c>
      <c r="Q21">
        <v>3.07471160359357</v>
      </c>
      <c r="R21">
        <v>3.13240793117664</v>
      </c>
      <c r="S21">
        <v>3.7782543392912702</v>
      </c>
      <c r="T21">
        <v>3.6632742675588199</v>
      </c>
      <c r="U21">
        <v>3.72237350095459</v>
      </c>
      <c r="V21">
        <v>3.34829428326284</v>
      </c>
      <c r="W21">
        <v>2.7769848514747801</v>
      </c>
      <c r="X21">
        <v>3.2970259927132899</v>
      </c>
      <c r="Y21">
        <v>3.4856473068434402</v>
      </c>
      <c r="Z21">
        <v>3.6273216906105499</v>
      </c>
      <c r="AA21">
        <v>3.4328390804978501</v>
      </c>
      <c r="AB21">
        <v>3.6944104390391601</v>
      </c>
      <c r="AC21">
        <v>3.7776529248892601</v>
      </c>
      <c r="AD21">
        <v>3.5584902690771298</v>
      </c>
      <c r="AE21">
        <v>3.1447309503546501</v>
      </c>
      <c r="AF21">
        <v>2.8222169784596698</v>
      </c>
      <c r="AG21">
        <v>2.8219566661452702</v>
      </c>
      <c r="AH21">
        <v>2.5257777076797101</v>
      </c>
      <c r="AI21">
        <v>2.6095143440747601</v>
      </c>
      <c r="AJ21">
        <v>2.5946736758862801</v>
      </c>
      <c r="AK21">
        <v>2.9651007671032099</v>
      </c>
      <c r="AL21">
        <v>3.11614727498484</v>
      </c>
      <c r="AM21">
        <v>3.4947029270998402</v>
      </c>
      <c r="AN21">
        <v>3.7917418093125801</v>
      </c>
      <c r="AO21">
        <v>3.6892489966332298</v>
      </c>
      <c r="AP21">
        <v>3.1340069138151501</v>
      </c>
      <c r="AQ21">
        <v>2.69646778217923</v>
      </c>
      <c r="AR21">
        <v>2.7530883046397401</v>
      </c>
      <c r="AS21">
        <v>2.6347896455126101</v>
      </c>
      <c r="AT21">
        <v>2.5820605994324901</v>
      </c>
      <c r="AU21">
        <v>2.5666281417629899</v>
      </c>
      <c r="AV21">
        <v>2.6183935056656802</v>
      </c>
      <c r="AW21">
        <v>1.1970493445544901</v>
      </c>
      <c r="AX21">
        <v>1.1973304506544</v>
      </c>
      <c r="AY21">
        <v>0.952169887031454</v>
      </c>
      <c r="AZ21">
        <v>0.92055876208385301</v>
      </c>
      <c r="BA21">
        <v>0.70938819612078696</v>
      </c>
      <c r="BB21">
        <v>0.89165355257824497</v>
      </c>
      <c r="BC21">
        <v>0.89803734640293398</v>
      </c>
      <c r="BD21">
        <v>0.82859463650964005</v>
      </c>
      <c r="BE21">
        <v>0.94932449373309702</v>
      </c>
      <c r="BF21">
        <v>1.12170113207902</v>
      </c>
      <c r="BG21">
        <v>1.09717473891601</v>
      </c>
      <c r="BH21">
        <v>1.3004079443529499</v>
      </c>
      <c r="BI21">
        <v>1.3475134619937701</v>
      </c>
      <c r="BJ21">
        <v>1.74939340203099</v>
      </c>
      <c r="BK21">
        <v>1.3115461506544299</v>
      </c>
      <c r="BL21">
        <v>1.0142215649550901</v>
      </c>
      <c r="BM21">
        <v>0.919732861518192</v>
      </c>
    </row>
    <row r="22" spans="1:98">
      <c r="A22" t="s">
        <v>1811</v>
      </c>
      <c r="B22">
        <v>5.0535728094789301</v>
      </c>
      <c r="C22">
        <v>3.8952090154988599</v>
      </c>
      <c r="D22">
        <v>3.8876290332867001</v>
      </c>
      <c r="E22">
        <v>3.9847854478821998</v>
      </c>
      <c r="F22">
        <v>4.7193121863918401</v>
      </c>
      <c r="G22">
        <v>4.5944173397264301</v>
      </c>
      <c r="H22">
        <v>4.3377748082496801</v>
      </c>
      <c r="I22">
        <v>4.3117097472979102</v>
      </c>
      <c r="J22">
        <v>4.0112809152860098</v>
      </c>
      <c r="K22">
        <v>3.4962688325345099</v>
      </c>
      <c r="L22">
        <v>3.4905213424774102</v>
      </c>
      <c r="M22">
        <v>3.81230617936746</v>
      </c>
      <c r="N22">
        <v>3.7978988081638598</v>
      </c>
      <c r="O22">
        <v>3.1014908529503602</v>
      </c>
      <c r="P22">
        <v>3.0036726960845499</v>
      </c>
      <c r="Q22">
        <v>2.85412350603452</v>
      </c>
      <c r="R22">
        <v>2.95052489864511</v>
      </c>
      <c r="S22">
        <v>3.4710657759388202</v>
      </c>
      <c r="T22">
        <v>3.3333288177093898</v>
      </c>
      <c r="U22">
        <v>3.2449925277211298</v>
      </c>
      <c r="V22">
        <v>3.18343228440752</v>
      </c>
      <c r="W22">
        <v>2.7955313311358001</v>
      </c>
      <c r="X22">
        <v>3.3530235779353998</v>
      </c>
      <c r="Y22">
        <v>3.5199227080441999</v>
      </c>
      <c r="Z22">
        <v>3.5876108601219499</v>
      </c>
      <c r="AA22">
        <v>3.4013328507034299</v>
      </c>
      <c r="AB22">
        <v>3.48004258894249</v>
      </c>
      <c r="AC22">
        <v>3.4452900198612402</v>
      </c>
      <c r="AD22">
        <v>3.39594371303403</v>
      </c>
      <c r="AE22">
        <v>2.9990947711762099</v>
      </c>
      <c r="AF22">
        <v>2.7234371608500498</v>
      </c>
      <c r="AG22">
        <v>2.72883511143641</v>
      </c>
      <c r="AH22">
        <v>2.5442581874832499</v>
      </c>
      <c r="AI22">
        <v>2.640236620364</v>
      </c>
      <c r="AJ22">
        <v>2.6609454533749801</v>
      </c>
      <c r="AK22">
        <v>2.96663547631172</v>
      </c>
      <c r="AL22">
        <v>3.2321380303813001</v>
      </c>
      <c r="AM22">
        <v>3.56649654620221</v>
      </c>
      <c r="AN22">
        <v>3.7653877625517298</v>
      </c>
      <c r="AO22">
        <v>3.6689080635662901</v>
      </c>
      <c r="AP22">
        <v>3.2207059422270699</v>
      </c>
      <c r="AQ22">
        <v>2.83467993403911</v>
      </c>
      <c r="AR22">
        <v>2.8538997786333802</v>
      </c>
      <c r="AS22">
        <v>2.7388818908628698</v>
      </c>
      <c r="AT22">
        <v>2.7044272876954398</v>
      </c>
      <c r="AU22">
        <v>2.8188218603702899</v>
      </c>
      <c r="AV22">
        <v>2.8158905731061599</v>
      </c>
      <c r="AW22">
        <v>1.9583531992599099</v>
      </c>
      <c r="AX22">
        <v>1.6203989730736801</v>
      </c>
      <c r="AY22">
        <v>1.5334699504387499</v>
      </c>
      <c r="AZ22">
        <v>1.42173787709586</v>
      </c>
      <c r="BA22">
        <v>1.27614312057174</v>
      </c>
      <c r="BB22">
        <v>1.4924803428677</v>
      </c>
      <c r="BC22">
        <v>1.62823974426114</v>
      </c>
      <c r="BD22">
        <v>1.6767288169772101</v>
      </c>
      <c r="BE22">
        <v>1.7817449376769501</v>
      </c>
      <c r="BF22">
        <v>1.99615971389811</v>
      </c>
      <c r="BG22">
        <v>2.0262659936359699</v>
      </c>
      <c r="BH22">
        <v>2.33129535246493</v>
      </c>
      <c r="BI22">
        <v>2.3526435356676001</v>
      </c>
      <c r="BJ22">
        <v>2.5275464362856401</v>
      </c>
      <c r="BK22">
        <v>2.22676142800406</v>
      </c>
      <c r="BL22">
        <v>2.5342488434805501</v>
      </c>
      <c r="BM22">
        <v>2.4565513994764401</v>
      </c>
    </row>
    <row r="25" spans="1:98">
      <c r="A25" t="s">
        <v>1815</v>
      </c>
    </row>
    <row r="26" spans="1:98">
      <c r="A26" t="s">
        <v>1816</v>
      </c>
    </row>
    <row r="28" spans="1:98">
      <c r="B28">
        <v>1928</v>
      </c>
      <c r="C28">
        <v>1929</v>
      </c>
      <c r="D28">
        <v>1930</v>
      </c>
      <c r="E28">
        <v>1931</v>
      </c>
      <c r="F28">
        <v>1932</v>
      </c>
      <c r="G28">
        <v>1933</v>
      </c>
      <c r="H28">
        <v>1934</v>
      </c>
      <c r="I28">
        <v>1935</v>
      </c>
      <c r="J28">
        <v>1936</v>
      </c>
      <c r="K28">
        <v>1937</v>
      </c>
      <c r="L28">
        <v>1938</v>
      </c>
      <c r="M28">
        <v>1939</v>
      </c>
      <c r="N28">
        <v>1940</v>
      </c>
      <c r="O28">
        <v>1941</v>
      </c>
      <c r="P28">
        <v>1942</v>
      </c>
      <c r="Q28">
        <v>1943</v>
      </c>
      <c r="R28">
        <v>1944</v>
      </c>
      <c r="S28">
        <v>1945</v>
      </c>
      <c r="T28">
        <v>1946</v>
      </c>
      <c r="U28">
        <v>1947</v>
      </c>
      <c r="V28">
        <v>1948</v>
      </c>
      <c r="W28">
        <v>1949</v>
      </c>
      <c r="X28">
        <v>1950</v>
      </c>
      <c r="Y28">
        <v>1951</v>
      </c>
      <c r="Z28">
        <v>1952</v>
      </c>
      <c r="AA28">
        <v>1953</v>
      </c>
      <c r="AB28">
        <v>1954</v>
      </c>
      <c r="AC28">
        <v>1955</v>
      </c>
      <c r="AD28">
        <v>1956</v>
      </c>
      <c r="AE28">
        <v>1957</v>
      </c>
      <c r="AF28">
        <v>1958</v>
      </c>
      <c r="AG28">
        <v>1959</v>
      </c>
      <c r="AH28">
        <v>1960</v>
      </c>
      <c r="AI28">
        <v>1961</v>
      </c>
      <c r="AJ28">
        <v>1962</v>
      </c>
      <c r="AK28">
        <v>1963</v>
      </c>
      <c r="AL28">
        <v>1964</v>
      </c>
      <c r="AM28">
        <v>1965</v>
      </c>
      <c r="AN28">
        <v>1966</v>
      </c>
      <c r="AO28">
        <v>1967</v>
      </c>
      <c r="AP28">
        <v>1968</v>
      </c>
      <c r="AQ28">
        <v>1969</v>
      </c>
      <c r="AR28">
        <v>1970</v>
      </c>
      <c r="AS28">
        <v>1971</v>
      </c>
      <c r="AT28">
        <v>1972</v>
      </c>
      <c r="AU28">
        <v>1973</v>
      </c>
      <c r="AV28">
        <v>1974</v>
      </c>
      <c r="AW28">
        <v>1975</v>
      </c>
      <c r="AX28">
        <v>1976</v>
      </c>
      <c r="AY28">
        <v>1977</v>
      </c>
      <c r="AZ28">
        <v>1978</v>
      </c>
      <c r="BA28">
        <v>1979</v>
      </c>
      <c r="BB28">
        <v>1980</v>
      </c>
      <c r="BC28">
        <v>1981</v>
      </c>
      <c r="BD28">
        <v>1982</v>
      </c>
      <c r="BE28">
        <v>1983</v>
      </c>
      <c r="BF28">
        <v>1984</v>
      </c>
      <c r="BG28">
        <v>1985</v>
      </c>
      <c r="BH28">
        <v>1986</v>
      </c>
      <c r="BI28">
        <v>1987</v>
      </c>
      <c r="BJ28">
        <v>1988</v>
      </c>
      <c r="BK28">
        <v>1989</v>
      </c>
      <c r="BL28">
        <v>1990</v>
      </c>
      <c r="BM28">
        <v>1991</v>
      </c>
      <c r="BN28">
        <v>1992</v>
      </c>
      <c r="BO28">
        <v>1993</v>
      </c>
      <c r="BP28">
        <v>1994</v>
      </c>
      <c r="BQ28">
        <v>1995</v>
      </c>
      <c r="BR28">
        <v>1996</v>
      </c>
      <c r="BS28">
        <v>1997</v>
      </c>
      <c r="BT28">
        <v>1998</v>
      </c>
      <c r="BU28">
        <v>1999</v>
      </c>
      <c r="BV28">
        <v>2000</v>
      </c>
      <c r="BW28">
        <v>2001</v>
      </c>
      <c r="BX28">
        <v>2002</v>
      </c>
      <c r="BY28">
        <v>2003</v>
      </c>
      <c r="BZ28">
        <v>2004</v>
      </c>
      <c r="CA28">
        <v>2005</v>
      </c>
      <c r="CB28">
        <v>2006</v>
      </c>
      <c r="CC28">
        <v>2007</v>
      </c>
      <c r="CD28">
        <v>2008</v>
      </c>
      <c r="CE28">
        <v>2009</v>
      </c>
      <c r="CF28">
        <v>2010</v>
      </c>
      <c r="CG28">
        <v>2011</v>
      </c>
      <c r="CH28">
        <v>2012</v>
      </c>
      <c r="CI28">
        <v>2013</v>
      </c>
      <c r="CJ28">
        <v>2014</v>
      </c>
      <c r="CK28">
        <v>2015</v>
      </c>
      <c r="CL28">
        <v>2016</v>
      </c>
      <c r="CM28">
        <v>2017</v>
      </c>
      <c r="CN28">
        <v>2018</v>
      </c>
      <c r="CO28">
        <v>2019</v>
      </c>
      <c r="CP28">
        <v>2020</v>
      </c>
      <c r="CQ28">
        <v>2021</v>
      </c>
      <c r="CR28">
        <v>2022</v>
      </c>
      <c r="CS28">
        <v>2023</v>
      </c>
      <c r="CT28">
        <v>2024</v>
      </c>
    </row>
    <row r="29" spans="1:98">
      <c r="B29" s="32">
        <v>1.7683694851358362</v>
      </c>
      <c r="C29" s="32">
        <v>1.7253975255983274</v>
      </c>
      <c r="D29" s="32">
        <v>1.6538956197615269</v>
      </c>
      <c r="E29" s="32">
        <v>1.6858968265621448</v>
      </c>
      <c r="F29" s="32">
        <v>1.66867104670766</v>
      </c>
      <c r="G29" s="32">
        <v>1.6165771914235652</v>
      </c>
      <c r="H29" s="32">
        <v>1.5381354735871837</v>
      </c>
      <c r="I29" s="32">
        <v>1.4950429057742092</v>
      </c>
      <c r="J29" s="32">
        <v>1.5048374090931791</v>
      </c>
      <c r="K29" s="32">
        <v>1.4497952308712707</v>
      </c>
      <c r="L29" s="32">
        <v>1.3861931262536129</v>
      </c>
      <c r="M29" s="32">
        <v>1.3599913559809074</v>
      </c>
      <c r="N29" s="32">
        <v>1.2581156316325033</v>
      </c>
      <c r="O29" s="32">
        <v>1.2102490014600433</v>
      </c>
      <c r="P29" s="32">
        <v>1.2053401219248687</v>
      </c>
      <c r="Q29" s="32">
        <v>1.2361496924587021</v>
      </c>
      <c r="R29" s="32">
        <v>1.1944227144572581</v>
      </c>
      <c r="S29" s="32">
        <v>1.1455021563536363</v>
      </c>
      <c r="T29" s="32">
        <v>1.089496531383213</v>
      </c>
      <c r="U29" s="32">
        <v>1.0467249314685452</v>
      </c>
      <c r="V29" s="32">
        <v>1.0724223413986367</v>
      </c>
      <c r="W29" s="32">
        <v>1.0108884384157175</v>
      </c>
      <c r="X29" s="32">
        <v>1.0111616586838665</v>
      </c>
      <c r="Y29" s="32">
        <v>1.0171649203986877</v>
      </c>
      <c r="Z29" s="32">
        <v>1.0495099900979019</v>
      </c>
      <c r="AA29" s="32">
        <v>1.074472305439496</v>
      </c>
      <c r="AB29" s="32">
        <v>1.0477965753406662</v>
      </c>
      <c r="AC29" s="32">
        <v>1.1026532294990044</v>
      </c>
      <c r="AD29" s="32">
        <v>1.1822549749424949</v>
      </c>
      <c r="AE29" s="32">
        <v>1.2750725217625913</v>
      </c>
      <c r="AF29" s="32">
        <v>1.3083611390386944</v>
      </c>
      <c r="AG29" s="32">
        <v>1.3557523914736846</v>
      </c>
      <c r="AH29" s="32">
        <v>1.387572049361814</v>
      </c>
      <c r="AI29" s="32">
        <v>1.3859933495125198</v>
      </c>
      <c r="AJ29" s="32">
        <v>1.3843010398458333</v>
      </c>
      <c r="AK29" s="32">
        <v>1.3909770603313243</v>
      </c>
      <c r="AL29" s="32">
        <v>1.4941208144912217</v>
      </c>
      <c r="AM29" s="32">
        <v>1.5473570216077026</v>
      </c>
      <c r="AN29" s="32">
        <v>1.6447821170149919</v>
      </c>
      <c r="AO29" s="32">
        <v>1.7333051281405452</v>
      </c>
      <c r="AP29" s="32">
        <v>1.8896142912233223</v>
      </c>
      <c r="AQ29" s="32">
        <v>2.0546898727558225</v>
      </c>
      <c r="AR29" s="32">
        <v>2.1661038798177827</v>
      </c>
      <c r="AS29" s="32">
        <v>2.0639957716292474</v>
      </c>
      <c r="AT29" s="32">
        <v>2.0994699224748095</v>
      </c>
      <c r="AU29" s="32">
        <v>2.2270374408154363</v>
      </c>
      <c r="AV29" s="32">
        <v>2.4538635292855759</v>
      </c>
      <c r="AW29" s="32">
        <v>2.46117913407135</v>
      </c>
      <c r="AX29" s="32">
        <v>2.5002134112696259</v>
      </c>
      <c r="AY29" s="32">
        <v>2.4984319381747708</v>
      </c>
      <c r="AZ29" s="32">
        <v>2.6252976457562376</v>
      </c>
      <c r="BA29" s="32">
        <v>2.8131428584583986</v>
      </c>
      <c r="BB29" s="32">
        <v>3.1491534751966568</v>
      </c>
      <c r="BC29" s="32">
        <v>3.4938733731847114</v>
      </c>
      <c r="BD29" s="32">
        <v>3.4583973889448263</v>
      </c>
      <c r="BE29" s="32">
        <v>3.2459216214034861</v>
      </c>
      <c r="BF29" s="32">
        <v>3.2366289371082861</v>
      </c>
      <c r="BG29" s="32">
        <v>2.9396340089522588</v>
      </c>
      <c r="BH29" s="32">
        <v>2.4464085044004182</v>
      </c>
      <c r="BI29" s="32">
        <v>2.4081127084650338</v>
      </c>
      <c r="BJ29" s="32">
        <v>2.3907058904649054</v>
      </c>
      <c r="BK29" s="32">
        <v>2.3419347350807245</v>
      </c>
      <c r="BL29" s="32">
        <v>2.3035904733019876</v>
      </c>
      <c r="BM29" s="32">
        <v>2.1278223104579634</v>
      </c>
      <c r="BN29" s="32">
        <v>1.9865078696993759</v>
      </c>
      <c r="BO29" s="32">
        <v>1.7556260399634458</v>
      </c>
      <c r="BP29" s="32">
        <v>1.8431284887568204</v>
      </c>
      <c r="BQ29" s="32">
        <v>1.8728930694075157</v>
      </c>
      <c r="BR29" s="32">
        <v>1.7885398058351221</v>
      </c>
      <c r="BS29" s="32">
        <v>1.6900700397963364</v>
      </c>
      <c r="BT29" s="32">
        <v>1.4416084973471461</v>
      </c>
      <c r="BU29" s="32">
        <v>1.3732262042907459</v>
      </c>
      <c r="BV29" s="32">
        <v>1.3886926608165178</v>
      </c>
      <c r="BW29" s="32">
        <v>1.2071186292290934</v>
      </c>
      <c r="BX29" s="32">
        <v>1.1007830899075199</v>
      </c>
      <c r="BY29" s="32">
        <v>0.97556980641451663</v>
      </c>
      <c r="BZ29" s="32">
        <v>0.99821675064416437</v>
      </c>
      <c r="CA29" s="32">
        <v>0.93971701093173254</v>
      </c>
      <c r="CB29" s="32">
        <v>0.92324505060327344</v>
      </c>
      <c r="CC29" s="32">
        <v>0.85469467579258041</v>
      </c>
      <c r="CD29" s="32">
        <v>0.66197022527112481</v>
      </c>
      <c r="CE29" s="32">
        <v>0.51025302197866496</v>
      </c>
      <c r="CF29" s="32">
        <v>0.42090571712424685</v>
      </c>
      <c r="CG29" s="32">
        <v>0.33221005276642557</v>
      </c>
      <c r="CH29" s="32">
        <v>0.18505258012491832</v>
      </c>
      <c r="CI29" s="32">
        <v>0.21066974794796689</v>
      </c>
      <c r="CJ29" s="32">
        <v>0.21572115505390796</v>
      </c>
      <c r="CK29" s="32">
        <v>0.15462246073488217</v>
      </c>
      <c r="CL29" s="32">
        <v>0.10103438250180191</v>
      </c>
      <c r="CM29" t="s">
        <v>1448</v>
      </c>
      <c r="CN29" t="s">
        <v>1448</v>
      </c>
      <c r="CO29" t="s">
        <v>1448</v>
      </c>
      <c r="CP29" t="s">
        <v>1448</v>
      </c>
      <c r="CQ29" t="s">
        <v>1448</v>
      </c>
      <c r="CR29" t="s">
        <v>1448</v>
      </c>
      <c r="CS29" t="s">
        <v>1448</v>
      </c>
      <c r="CT29" t="s">
        <v>1448</v>
      </c>
    </row>
    <row r="34" spans="1:4">
      <c r="A34" t="s">
        <v>1822</v>
      </c>
    </row>
    <row r="37" spans="1:4">
      <c r="B37" s="48" t="s">
        <v>1823</v>
      </c>
      <c r="C37" s="48" t="s">
        <v>1824</v>
      </c>
      <c r="D37" s="12" t="s">
        <v>1825</v>
      </c>
    </row>
    <row r="38" spans="1:4">
      <c r="B38" s="49">
        <v>26298</v>
      </c>
      <c r="C38" s="50">
        <v>2.1150069999999999</v>
      </c>
      <c r="D38" s="50">
        <v>2.1150069999999999</v>
      </c>
    </row>
    <row r="39" spans="1:4">
      <c r="B39" s="49">
        <v>26388</v>
      </c>
      <c r="C39" s="50">
        <v>2.049855</v>
      </c>
      <c r="D39" s="50">
        <v>2.1349670000000001</v>
      </c>
    </row>
    <row r="40" spans="1:4">
      <c r="B40" s="49">
        <v>26480</v>
      </c>
      <c r="C40" s="50">
        <v>2.1310760000000002</v>
      </c>
      <c r="D40" s="50">
        <v>2.1929509999999999</v>
      </c>
    </row>
    <row r="41" spans="1:4">
      <c r="B41" s="49">
        <v>26571</v>
      </c>
      <c r="C41" s="50">
        <v>2.1075370000000002</v>
      </c>
      <c r="D41" s="50">
        <v>1.7969599999999999</v>
      </c>
    </row>
    <row r="42" spans="1:4">
      <c r="B42" s="49">
        <v>26662</v>
      </c>
      <c r="C42" s="50">
        <v>2.1349670000000001</v>
      </c>
      <c r="D42" s="50">
        <v>1.761107</v>
      </c>
    </row>
    <row r="43" spans="1:4">
      <c r="B43" s="49">
        <v>26753</v>
      </c>
      <c r="C43" s="50">
        <v>2.2332869999999998</v>
      </c>
      <c r="D43" s="50">
        <v>1.624495</v>
      </c>
    </row>
    <row r="44" spans="1:4">
      <c r="B44" s="49">
        <v>26844</v>
      </c>
      <c r="C44" s="50">
        <v>2.247455</v>
      </c>
      <c r="D44" s="50">
        <v>1.5726899999999999</v>
      </c>
    </row>
    <row r="45" spans="1:4">
      <c r="B45" s="49">
        <v>26935</v>
      </c>
      <c r="C45" s="50">
        <v>2.2658510000000001</v>
      </c>
      <c r="D45" s="50">
        <v>1.794457</v>
      </c>
    </row>
    <row r="46" spans="1:4">
      <c r="B46" s="49">
        <v>27029</v>
      </c>
      <c r="C46" s="50">
        <v>2.1929509999999999</v>
      </c>
      <c r="D46" s="50">
        <v>1.893994</v>
      </c>
    </row>
    <row r="47" spans="1:4">
      <c r="B47" s="49">
        <v>27117</v>
      </c>
      <c r="C47" s="50">
        <v>2.102363</v>
      </c>
      <c r="D47" s="50">
        <v>2.0258099999999999</v>
      </c>
    </row>
    <row r="48" spans="1:4">
      <c r="B48" s="49">
        <v>27208</v>
      </c>
      <c r="C48" s="50">
        <v>2.1568860000000001</v>
      </c>
      <c r="D48" s="50">
        <v>2.0749040000000001</v>
      </c>
    </row>
    <row r="49" spans="2:4">
      <c r="B49" s="49">
        <v>27302</v>
      </c>
      <c r="C49" s="50">
        <v>2.0724900000000002</v>
      </c>
      <c r="D49" s="50">
        <v>1.9782420000000001</v>
      </c>
    </row>
    <row r="50" spans="2:4">
      <c r="B50" s="49">
        <v>27394</v>
      </c>
      <c r="C50" s="50">
        <v>1.7969599999999999</v>
      </c>
      <c r="D50" s="50">
        <v>2.2455669999999999</v>
      </c>
    </row>
    <row r="51" spans="2:4">
      <c r="B51" s="49">
        <v>27484</v>
      </c>
      <c r="C51" s="50">
        <v>1.5246550000000001</v>
      </c>
      <c r="D51" s="50">
        <v>2.4474309999999999</v>
      </c>
    </row>
    <row r="52" spans="2:4">
      <c r="B52" s="49">
        <v>27575</v>
      </c>
      <c r="C52" s="50">
        <v>1.612419</v>
      </c>
      <c r="D52" s="50">
        <v>2.4583930000000001</v>
      </c>
    </row>
    <row r="53" spans="2:4">
      <c r="B53" s="49">
        <v>27667</v>
      </c>
      <c r="C53" s="50">
        <v>1.794216</v>
      </c>
      <c r="D53" s="50">
        <v>2.3796119999999998</v>
      </c>
    </row>
    <row r="54" spans="2:4">
      <c r="B54" s="49">
        <v>27759</v>
      </c>
      <c r="C54" s="50">
        <v>1.761107</v>
      </c>
      <c r="D54" s="50">
        <v>2.4438089999999999</v>
      </c>
    </row>
    <row r="55" spans="2:4">
      <c r="B55" s="49">
        <v>27850</v>
      </c>
      <c r="C55" s="50">
        <v>1.7558419999999999</v>
      </c>
      <c r="D55" s="50">
        <v>2.606328</v>
      </c>
    </row>
    <row r="56" spans="2:4">
      <c r="B56" s="49">
        <v>27941</v>
      </c>
      <c r="C56" s="50">
        <v>1.705489</v>
      </c>
      <c r="D56" s="50">
        <v>2.6222989999999999</v>
      </c>
    </row>
    <row r="57" spans="2:4">
      <c r="B57" s="49">
        <v>28033</v>
      </c>
      <c r="C57" s="50">
        <v>1.6774</v>
      </c>
      <c r="D57" s="50">
        <v>2.4927709999999998</v>
      </c>
    </row>
    <row r="58" spans="2:4">
      <c r="B58" s="49">
        <v>28125</v>
      </c>
      <c r="C58" s="50">
        <v>1.624495</v>
      </c>
      <c r="D58" s="50">
        <v>2.3812129999999998</v>
      </c>
    </row>
    <row r="59" spans="2:4">
      <c r="B59" s="49">
        <v>28215</v>
      </c>
      <c r="C59" s="50">
        <v>1.5876349999999999</v>
      </c>
      <c r="D59" s="50">
        <v>2.196612</v>
      </c>
    </row>
    <row r="60" spans="2:4">
      <c r="B60" s="49">
        <v>28306</v>
      </c>
      <c r="C60" s="50">
        <v>1.542008</v>
      </c>
      <c r="D60" s="50">
        <v>2.048737</v>
      </c>
    </row>
    <row r="61" spans="2:4">
      <c r="B61" s="49">
        <v>28398</v>
      </c>
      <c r="C61" s="50">
        <v>1.6133010000000001</v>
      </c>
      <c r="D61" s="50">
        <v>2.1657989999999998</v>
      </c>
    </row>
    <row r="62" spans="2:4">
      <c r="B62" s="49">
        <v>28489</v>
      </c>
      <c r="C62" s="50">
        <v>1.5726899999999999</v>
      </c>
      <c r="D62" s="50">
        <v>2.1921599999999999</v>
      </c>
    </row>
    <row r="63" spans="2:4">
      <c r="B63" s="49">
        <v>28580</v>
      </c>
      <c r="C63" s="50">
        <v>1.5771630000000001</v>
      </c>
      <c r="D63" s="50">
        <v>2.2692100000000002</v>
      </c>
    </row>
    <row r="64" spans="2:4">
      <c r="B64" s="49">
        <v>28671</v>
      </c>
      <c r="C64" s="50">
        <v>1.7042250000000001</v>
      </c>
      <c r="D64" s="50">
        <v>2.3776839999999999</v>
      </c>
    </row>
    <row r="65" spans="2:4">
      <c r="B65" s="49">
        <v>28762</v>
      </c>
      <c r="C65" s="50">
        <v>1.7007209999999999</v>
      </c>
      <c r="D65" s="50">
        <v>2.503288</v>
      </c>
    </row>
    <row r="66" spans="2:4">
      <c r="B66" s="49">
        <v>28853</v>
      </c>
      <c r="C66" s="50">
        <v>1.794457</v>
      </c>
      <c r="D66" s="50">
        <v>2.6051739999999999</v>
      </c>
    </row>
    <row r="67" spans="2:4">
      <c r="B67" s="49">
        <v>28944</v>
      </c>
      <c r="C67" s="50">
        <v>1.7247729999999999</v>
      </c>
      <c r="D67" s="50">
        <v>2.6927270000000001</v>
      </c>
    </row>
    <row r="68" spans="2:4">
      <c r="B68" s="49">
        <v>29035</v>
      </c>
      <c r="C68" s="50">
        <v>1.786643</v>
      </c>
      <c r="D68" s="50">
        <v>2.4086590000000001</v>
      </c>
    </row>
    <row r="69" spans="2:4">
      <c r="B69" s="49">
        <v>29126</v>
      </c>
      <c r="C69" s="50">
        <v>1.7484930000000001</v>
      </c>
      <c r="D69" s="50">
        <v>2.1730290000000001</v>
      </c>
    </row>
    <row r="70" spans="2:4">
      <c r="B70" s="49">
        <v>29220</v>
      </c>
      <c r="C70" s="50">
        <v>1.893994</v>
      </c>
      <c r="D70" s="50">
        <v>2.031901</v>
      </c>
    </row>
    <row r="71" spans="2:4">
      <c r="B71" s="49">
        <v>29311</v>
      </c>
      <c r="C71" s="50">
        <v>1.98943</v>
      </c>
      <c r="D71" s="50">
        <v>1.8900349999999999</v>
      </c>
    </row>
    <row r="72" spans="2:4">
      <c r="B72" s="49">
        <v>29402</v>
      </c>
      <c r="C72" s="50">
        <v>1.730917</v>
      </c>
      <c r="D72" s="50">
        <v>1.9121790000000001</v>
      </c>
    </row>
    <row r="73" spans="2:4">
      <c r="B73" s="49">
        <v>29494</v>
      </c>
      <c r="C73" s="50">
        <v>1.741876</v>
      </c>
      <c r="D73" s="50">
        <v>1.9892259999999999</v>
      </c>
    </row>
    <row r="74" spans="2:4">
      <c r="B74" s="49">
        <v>29586</v>
      </c>
      <c r="C74" s="50">
        <v>2.0258099999999999</v>
      </c>
      <c r="D74" s="50">
        <v>1.8565940000000001</v>
      </c>
    </row>
    <row r="75" spans="2:4">
      <c r="B75" s="49">
        <v>29676</v>
      </c>
      <c r="C75" s="50">
        <v>2.122811</v>
      </c>
      <c r="D75" s="50">
        <v>1.1940390000000001</v>
      </c>
    </row>
    <row r="76" spans="2:4">
      <c r="B76" s="49">
        <v>29767</v>
      </c>
      <c r="C76" s="50">
        <v>2.1147109999999998</v>
      </c>
      <c r="D76" s="50">
        <v>1.1300650000000001</v>
      </c>
    </row>
    <row r="77" spans="2:4">
      <c r="B77" s="49">
        <v>29859</v>
      </c>
      <c r="C77" s="50">
        <v>2.273244</v>
      </c>
      <c r="D77" s="50">
        <v>0.91496599999999995</v>
      </c>
    </row>
    <row r="78" spans="2:4">
      <c r="B78" s="49">
        <v>29951</v>
      </c>
      <c r="C78" s="50">
        <v>2.0749040000000001</v>
      </c>
      <c r="D78" s="50">
        <v>0.84017299999999995</v>
      </c>
    </row>
    <row r="79" spans="2:4">
      <c r="B79" s="49">
        <v>30041</v>
      </c>
      <c r="C79" s="50">
        <v>2.0843600000000002</v>
      </c>
      <c r="D79" s="50">
        <v>0.689724</v>
      </c>
    </row>
    <row r="80" spans="2:4">
      <c r="B80" s="49">
        <v>30132</v>
      </c>
      <c r="C80" s="50">
        <v>2.1925919999999999</v>
      </c>
      <c r="D80" s="50">
        <v>0.68480399999999997</v>
      </c>
    </row>
    <row r="81" spans="2:4">
      <c r="B81" s="49">
        <v>30224</v>
      </c>
      <c r="C81" s="50">
        <v>2.0305430000000002</v>
      </c>
      <c r="D81" s="50">
        <v>0.62334000000000001</v>
      </c>
    </row>
    <row r="82" spans="2:4">
      <c r="B82" s="49">
        <v>30316</v>
      </c>
      <c r="C82" s="50">
        <v>1.9782420000000001</v>
      </c>
      <c r="D82" s="50">
        <v>0.59253800000000001</v>
      </c>
    </row>
    <row r="83" spans="2:4">
      <c r="B83" s="49">
        <v>30406</v>
      </c>
      <c r="C83" s="50">
        <v>2.0713550000000001</v>
      </c>
      <c r="D83" s="50">
        <v>0.52135299999999996</v>
      </c>
    </row>
    <row r="84" spans="2:4">
      <c r="B84" s="49">
        <v>30497</v>
      </c>
      <c r="C84" s="50">
        <v>2.036063</v>
      </c>
      <c r="D84" s="50">
        <v>0.53593299999999999</v>
      </c>
    </row>
    <row r="85" spans="2:4">
      <c r="B85" s="49">
        <v>30589</v>
      </c>
      <c r="C85" s="50">
        <v>2.2651849999999998</v>
      </c>
      <c r="D85" s="50"/>
    </row>
    <row r="86" spans="2:4">
      <c r="B86" s="49">
        <v>30680</v>
      </c>
      <c r="C86" s="50">
        <v>2.2455669999999999</v>
      </c>
      <c r="D86" s="50"/>
    </row>
    <row r="87" spans="2:4">
      <c r="B87" s="49">
        <v>30771</v>
      </c>
      <c r="C87" s="50">
        <v>2.388557</v>
      </c>
      <c r="D87" s="50"/>
    </row>
    <row r="88" spans="2:4">
      <c r="B88" s="49">
        <v>30862</v>
      </c>
      <c r="C88" s="50">
        <v>2.49356</v>
      </c>
      <c r="D88" s="50"/>
    </row>
    <row r="89" spans="2:4">
      <c r="B89" s="49">
        <v>30953</v>
      </c>
      <c r="C89" s="50">
        <v>2.5413060000000001</v>
      </c>
      <c r="D89" s="50"/>
    </row>
    <row r="90" spans="2:4">
      <c r="B90" s="49">
        <v>31047</v>
      </c>
      <c r="C90" s="50">
        <v>2.4474309999999999</v>
      </c>
      <c r="D90" s="50"/>
    </row>
    <row r="91" spans="2:4">
      <c r="B91" s="49">
        <v>31135</v>
      </c>
      <c r="C91" s="50">
        <v>2.5642</v>
      </c>
      <c r="D91" s="50"/>
    </row>
    <row r="92" spans="2:4">
      <c r="B92" s="49">
        <v>31226</v>
      </c>
      <c r="C92" s="50">
        <v>2.4871750000000001</v>
      </c>
      <c r="D92" s="50"/>
    </row>
    <row r="93" spans="2:4">
      <c r="B93" s="49">
        <v>31320</v>
      </c>
      <c r="C93" s="50">
        <v>2.5745800000000001</v>
      </c>
      <c r="D93" s="50"/>
    </row>
    <row r="94" spans="2:4">
      <c r="B94" s="49">
        <v>31412</v>
      </c>
      <c r="C94" s="50">
        <v>2.4583930000000001</v>
      </c>
      <c r="D94" s="50"/>
    </row>
    <row r="95" spans="2:4">
      <c r="B95" s="49">
        <v>31502</v>
      </c>
      <c r="C95" s="50">
        <v>2.5002550000000001</v>
      </c>
      <c r="D95" s="50"/>
    </row>
    <row r="96" spans="2:4">
      <c r="B96" s="49">
        <v>31593</v>
      </c>
      <c r="C96" s="50">
        <v>2.399025</v>
      </c>
      <c r="D96" s="50"/>
    </row>
    <row r="97" spans="2:4">
      <c r="B97" s="49">
        <v>31685</v>
      </c>
      <c r="C97" s="50">
        <v>2.3858130000000002</v>
      </c>
      <c r="D97" s="50"/>
    </row>
    <row r="98" spans="2:4">
      <c r="B98" s="49">
        <v>31777</v>
      </c>
      <c r="C98" s="50">
        <v>2.3796119999999998</v>
      </c>
      <c r="D98" s="50"/>
    </row>
    <row r="99" spans="2:4">
      <c r="B99" s="49">
        <v>31867</v>
      </c>
      <c r="C99" s="50">
        <v>2.337053</v>
      </c>
      <c r="D99" s="50"/>
    </row>
    <row r="100" spans="2:4">
      <c r="B100" s="49">
        <v>31958</v>
      </c>
      <c r="C100" s="50">
        <v>2.3980709999999998</v>
      </c>
      <c r="D100" s="50"/>
    </row>
    <row r="101" spans="2:4">
      <c r="B101" s="49">
        <v>32050</v>
      </c>
      <c r="C101" s="50">
        <v>2.3753600000000001</v>
      </c>
      <c r="D101" s="50"/>
    </row>
    <row r="102" spans="2:4">
      <c r="B102" s="49">
        <v>32142</v>
      </c>
      <c r="C102" s="50">
        <v>2.4438089999999999</v>
      </c>
      <c r="D102" s="50"/>
    </row>
    <row r="103" spans="2:4">
      <c r="B103" s="49">
        <v>32233</v>
      </c>
      <c r="C103" s="50">
        <v>2.4089160000000001</v>
      </c>
      <c r="D103" s="50"/>
    </row>
    <row r="104" spans="2:4">
      <c r="B104" s="49">
        <v>32324</v>
      </c>
      <c r="C104" s="50">
        <v>2.5033859999999999</v>
      </c>
      <c r="D104" s="50"/>
    </row>
    <row r="105" spans="2:4">
      <c r="B105" s="49">
        <v>32416</v>
      </c>
      <c r="C105" s="50">
        <v>2.5207679999999999</v>
      </c>
      <c r="D105" s="50"/>
    </row>
    <row r="106" spans="2:4">
      <c r="B106" s="49">
        <v>32507</v>
      </c>
      <c r="C106" s="50">
        <v>2.606328</v>
      </c>
      <c r="D106" s="50"/>
    </row>
    <row r="107" spans="2:4">
      <c r="B107" s="49">
        <v>32598</v>
      </c>
      <c r="C107" s="50">
        <v>2.6682679999999999</v>
      </c>
      <c r="D107" s="50"/>
    </row>
    <row r="108" spans="2:4">
      <c r="B108" s="49">
        <v>32689</v>
      </c>
      <c r="C108" s="50">
        <v>2.6330040000000001</v>
      </c>
      <c r="D108" s="50"/>
    </row>
    <row r="109" spans="2:4">
      <c r="B109" s="49">
        <v>32780</v>
      </c>
      <c r="C109" s="50">
        <v>2.59796</v>
      </c>
      <c r="D109" s="50"/>
    </row>
    <row r="110" spans="2:4">
      <c r="B110" s="49">
        <v>32871</v>
      </c>
      <c r="C110" s="50">
        <v>2.6222989999999999</v>
      </c>
      <c r="D110" s="50"/>
    </row>
    <row r="111" spans="2:4">
      <c r="B111" s="49">
        <v>32962</v>
      </c>
      <c r="C111" s="50">
        <v>2.7144879999999998</v>
      </c>
      <c r="D111" s="50"/>
    </row>
    <row r="112" spans="2:4">
      <c r="B112" s="49">
        <v>33053</v>
      </c>
      <c r="C112" s="50">
        <v>2.745857</v>
      </c>
      <c r="D112" s="50"/>
    </row>
    <row r="113" spans="2:4">
      <c r="B113" s="49">
        <v>33144</v>
      </c>
      <c r="C113" s="50">
        <v>2.6595520000000001</v>
      </c>
      <c r="D113" s="50"/>
    </row>
    <row r="114" spans="2:4">
      <c r="B114" s="49">
        <v>33238</v>
      </c>
      <c r="C114" s="50">
        <v>2.4927709999999998</v>
      </c>
      <c r="D114" s="50"/>
    </row>
    <row r="115" spans="2:4">
      <c r="B115" s="49">
        <v>33325</v>
      </c>
      <c r="C115" s="50">
        <v>2.4137979999999999</v>
      </c>
      <c r="D115" s="50"/>
    </row>
    <row r="116" spans="2:4">
      <c r="B116" s="49">
        <v>33417</v>
      </c>
      <c r="C116" s="50">
        <v>2.4214039999999999</v>
      </c>
      <c r="D116" s="50"/>
    </row>
    <row r="117" spans="2:4">
      <c r="B117" s="49">
        <v>33511</v>
      </c>
      <c r="C117" s="50">
        <v>2.4524949999999999</v>
      </c>
      <c r="D117" s="50"/>
    </row>
    <row r="118" spans="2:4">
      <c r="B118" s="49">
        <v>33603</v>
      </c>
      <c r="C118" s="50">
        <v>2.3812129999999998</v>
      </c>
      <c r="D118" s="50"/>
    </row>
    <row r="119" spans="2:4">
      <c r="B119" s="49">
        <v>33694</v>
      </c>
      <c r="C119" s="50">
        <v>2.327493</v>
      </c>
      <c r="D119" s="50"/>
    </row>
    <row r="120" spans="2:4">
      <c r="B120" s="49">
        <v>33785</v>
      </c>
      <c r="C120" s="50">
        <v>2.3028279999999999</v>
      </c>
      <c r="D120" s="50"/>
    </row>
    <row r="121" spans="2:4">
      <c r="B121" s="49">
        <v>33877</v>
      </c>
      <c r="C121" s="50">
        <v>2.1862949999999999</v>
      </c>
      <c r="D121" s="50"/>
    </row>
    <row r="122" spans="2:4">
      <c r="B122" s="49">
        <v>33968</v>
      </c>
      <c r="C122" s="50">
        <v>2.196612</v>
      </c>
      <c r="D122" s="50"/>
    </row>
    <row r="123" spans="2:4">
      <c r="B123" s="49">
        <v>34059</v>
      </c>
      <c r="C123" s="50">
        <v>2.148854</v>
      </c>
      <c r="D123" s="50"/>
    </row>
    <row r="124" spans="2:4">
      <c r="B124" s="49">
        <v>34150</v>
      </c>
      <c r="C124" s="50">
        <v>2.1102120000000002</v>
      </c>
      <c r="D124" s="50"/>
    </row>
    <row r="125" spans="2:4">
      <c r="B125" s="49">
        <v>34242</v>
      </c>
      <c r="C125" s="50">
        <v>2.0679189999999998</v>
      </c>
      <c r="D125" s="50"/>
    </row>
    <row r="126" spans="2:4">
      <c r="B126" s="49">
        <v>34334</v>
      </c>
      <c r="C126" s="50">
        <v>2.048737</v>
      </c>
      <c r="D126" s="50"/>
    </row>
    <row r="127" spans="2:4">
      <c r="B127" s="49">
        <v>34424</v>
      </c>
      <c r="C127" s="50">
        <v>2.0286369999999998</v>
      </c>
      <c r="D127" s="50"/>
    </row>
    <row r="128" spans="2:4">
      <c r="B128" s="49">
        <v>34515</v>
      </c>
      <c r="C128" s="50">
        <v>2.1360980000000001</v>
      </c>
      <c r="D128" s="50"/>
    </row>
    <row r="129" spans="2:4">
      <c r="B129" s="49">
        <v>34607</v>
      </c>
      <c r="C129" s="50">
        <v>2.0927600000000002</v>
      </c>
      <c r="D129" s="50"/>
    </row>
    <row r="130" spans="2:4">
      <c r="B130" s="49">
        <v>34698</v>
      </c>
      <c r="C130" s="50">
        <v>2.1657989999999998</v>
      </c>
      <c r="D130" s="50"/>
    </row>
    <row r="131" spans="2:4">
      <c r="B131" s="49">
        <v>34789</v>
      </c>
      <c r="C131" s="50">
        <v>2.179729</v>
      </c>
      <c r="D131" s="50"/>
    </row>
    <row r="132" spans="2:4">
      <c r="B132" s="49">
        <v>34880</v>
      </c>
      <c r="C132" s="50">
        <v>2.1510579999999999</v>
      </c>
      <c r="D132" s="50"/>
    </row>
    <row r="133" spans="2:4">
      <c r="B133" s="49">
        <v>34971</v>
      </c>
      <c r="C133" s="50">
        <v>2.170204</v>
      </c>
      <c r="D133" s="50"/>
    </row>
    <row r="134" spans="2:4">
      <c r="B134" s="49">
        <v>35062</v>
      </c>
      <c r="C134" s="50">
        <v>2.1921599999999999</v>
      </c>
      <c r="D134" s="50"/>
    </row>
    <row r="135" spans="2:4">
      <c r="B135" s="49">
        <v>35153</v>
      </c>
      <c r="C135" s="50">
        <v>2.1521940000000002</v>
      </c>
      <c r="D135" s="50"/>
    </row>
    <row r="136" spans="2:4">
      <c r="B136" s="49">
        <v>35244</v>
      </c>
      <c r="C136" s="50">
        <v>2.2313489999999998</v>
      </c>
      <c r="D136" s="50"/>
    </row>
    <row r="137" spans="2:4">
      <c r="B137" s="49">
        <v>35338</v>
      </c>
      <c r="C137" s="50">
        <v>2.2546360000000001</v>
      </c>
      <c r="D137" s="50"/>
    </row>
    <row r="138" spans="2:4">
      <c r="B138" s="49">
        <v>35430</v>
      </c>
      <c r="C138" s="50">
        <v>2.2692100000000002</v>
      </c>
      <c r="D138" s="50"/>
    </row>
    <row r="139" spans="2:4">
      <c r="B139" s="49">
        <v>35520</v>
      </c>
      <c r="C139" s="50">
        <v>2.2672430000000001</v>
      </c>
      <c r="D139" s="50"/>
    </row>
    <row r="140" spans="2:4">
      <c r="B140" s="49">
        <v>35611</v>
      </c>
      <c r="C140" s="50">
        <v>2.3807969999999998</v>
      </c>
      <c r="D140" s="50"/>
    </row>
    <row r="141" spans="2:4">
      <c r="B141" s="49">
        <v>35703</v>
      </c>
      <c r="C141" s="50">
        <v>2.3574739999999998</v>
      </c>
      <c r="D141" s="50"/>
    </row>
    <row r="142" spans="2:4">
      <c r="B142" s="49">
        <v>35795</v>
      </c>
      <c r="C142" s="50">
        <v>2.3776839999999999</v>
      </c>
      <c r="D142" s="50"/>
    </row>
    <row r="143" spans="2:4">
      <c r="B143" s="49">
        <v>35885</v>
      </c>
      <c r="C143" s="50">
        <v>2.4140320000000002</v>
      </c>
      <c r="D143" s="50"/>
    </row>
    <row r="144" spans="2:4">
      <c r="B144" s="49">
        <v>35976</v>
      </c>
      <c r="C144" s="50">
        <v>2.4615269999999998</v>
      </c>
      <c r="D144" s="50"/>
    </row>
    <row r="145" spans="2:4">
      <c r="B145" s="49">
        <v>36068</v>
      </c>
      <c r="C145" s="50">
        <v>2.4844569999999999</v>
      </c>
      <c r="D145" s="50"/>
    </row>
    <row r="146" spans="2:4">
      <c r="B146" s="49">
        <v>36160</v>
      </c>
      <c r="C146" s="50">
        <v>2.503288</v>
      </c>
      <c r="D146" s="50"/>
    </row>
    <row r="147" spans="2:4">
      <c r="B147" s="49">
        <v>36250</v>
      </c>
      <c r="C147" s="50">
        <v>2.5110049999999999</v>
      </c>
      <c r="D147" s="50"/>
    </row>
    <row r="148" spans="2:4">
      <c r="B148" s="49">
        <v>36341</v>
      </c>
      <c r="C148" s="50">
        <v>2.4944639999999998</v>
      </c>
      <c r="D148" s="50"/>
    </row>
    <row r="149" spans="2:4">
      <c r="B149" s="49">
        <v>36433</v>
      </c>
      <c r="C149" s="50">
        <v>2.5396939999999999</v>
      </c>
      <c r="D149" s="50"/>
    </row>
    <row r="150" spans="2:4">
      <c r="B150" s="49">
        <v>36525</v>
      </c>
      <c r="C150" s="50">
        <v>2.6051739999999999</v>
      </c>
      <c r="D150" s="50"/>
    </row>
    <row r="151" spans="2:4">
      <c r="B151" s="49">
        <v>36616</v>
      </c>
      <c r="C151" s="50">
        <v>2.6381640000000002</v>
      </c>
      <c r="D151" s="50"/>
    </row>
    <row r="152" spans="2:4">
      <c r="B152" s="49">
        <v>36707</v>
      </c>
      <c r="C152" s="50">
        <v>2.6773560000000001</v>
      </c>
      <c r="D152" s="50"/>
    </row>
    <row r="153" spans="2:4">
      <c r="B153" s="49">
        <v>36798</v>
      </c>
      <c r="C153" s="50">
        <v>2.6785540000000001</v>
      </c>
      <c r="D153" s="50"/>
    </row>
    <row r="154" spans="2:4">
      <c r="B154" s="49">
        <v>36889</v>
      </c>
      <c r="C154" s="50">
        <v>2.6927270000000001</v>
      </c>
      <c r="D154" s="50"/>
    </row>
    <row r="155" spans="2:4">
      <c r="B155" s="49">
        <v>36980</v>
      </c>
      <c r="C155" s="50">
        <v>2.5977190000000001</v>
      </c>
      <c r="D155" s="50"/>
    </row>
    <row r="156" spans="2:4">
      <c r="B156" s="49">
        <v>37071</v>
      </c>
      <c r="C156" s="50">
        <v>2.533121</v>
      </c>
      <c r="D156" s="50"/>
    </row>
    <row r="157" spans="2:4">
      <c r="B157" s="49">
        <v>37162</v>
      </c>
      <c r="C157" s="50">
        <v>2.4290069999999999</v>
      </c>
      <c r="D157" s="50"/>
    </row>
    <row r="158" spans="2:4">
      <c r="B158" s="49">
        <v>37256</v>
      </c>
      <c r="C158" s="50">
        <v>2.4086590000000001</v>
      </c>
      <c r="D158" s="50"/>
    </row>
    <row r="159" spans="2:4">
      <c r="B159" s="49">
        <v>37343</v>
      </c>
      <c r="C159" s="50">
        <v>2.3819210000000002</v>
      </c>
      <c r="D159" s="50"/>
    </row>
    <row r="160" spans="2:4">
      <c r="B160" s="49">
        <v>37435</v>
      </c>
      <c r="C160" s="50">
        <v>2.3922629999999998</v>
      </c>
      <c r="D160" s="50"/>
    </row>
    <row r="161" spans="2:4">
      <c r="B161" s="49">
        <v>37529</v>
      </c>
      <c r="C161" s="50">
        <v>2.3169590000000002</v>
      </c>
      <c r="D161" s="50"/>
    </row>
    <row r="162" spans="2:4">
      <c r="B162" s="49">
        <v>37621</v>
      </c>
      <c r="C162" s="50">
        <v>2.1730290000000001</v>
      </c>
      <c r="D162" s="50"/>
    </row>
    <row r="163" spans="2:4">
      <c r="B163" s="49">
        <v>37711</v>
      </c>
      <c r="C163" s="50">
        <v>2.042421</v>
      </c>
      <c r="D163" s="50"/>
    </row>
    <row r="164" spans="2:4">
      <c r="B164" s="49">
        <v>37802</v>
      </c>
      <c r="C164" s="50">
        <v>2.0328279999999999</v>
      </c>
      <c r="D164" s="50"/>
    </row>
    <row r="165" spans="2:4">
      <c r="B165" s="49">
        <v>37894</v>
      </c>
      <c r="C165" s="50">
        <v>2.0565129999999998</v>
      </c>
      <c r="D165" s="50"/>
    </row>
    <row r="166" spans="2:4">
      <c r="B166" s="49">
        <v>37986</v>
      </c>
      <c r="C166" s="50">
        <v>2.031901</v>
      </c>
      <c r="D166" s="50"/>
    </row>
    <row r="167" spans="2:4">
      <c r="B167" s="49">
        <v>38077</v>
      </c>
      <c r="C167" s="50">
        <v>1.9855050000000001</v>
      </c>
      <c r="D167" s="50"/>
    </row>
    <row r="168" spans="2:4">
      <c r="B168" s="49">
        <v>38168</v>
      </c>
      <c r="C168" s="50">
        <v>1.949899</v>
      </c>
      <c r="D168" s="50"/>
    </row>
    <row r="169" spans="2:4">
      <c r="B169" s="49">
        <v>38260</v>
      </c>
      <c r="C169" s="50">
        <v>1.926185</v>
      </c>
      <c r="D169" s="50"/>
    </row>
    <row r="170" spans="2:4">
      <c r="B170" s="49">
        <v>38352</v>
      </c>
      <c r="C170" s="50">
        <v>1.8900349999999999</v>
      </c>
      <c r="D170" s="50"/>
    </row>
    <row r="171" spans="2:4">
      <c r="B171" s="49">
        <v>38442</v>
      </c>
      <c r="C171" s="50">
        <v>1.9360170000000001</v>
      </c>
      <c r="D171" s="50"/>
    </row>
    <row r="172" spans="2:4">
      <c r="B172" s="49">
        <v>38533</v>
      </c>
      <c r="C172" s="50">
        <v>1.8957520000000001</v>
      </c>
      <c r="D172" s="50"/>
    </row>
    <row r="173" spans="2:4">
      <c r="B173" s="49">
        <v>38625</v>
      </c>
      <c r="C173" s="50">
        <v>1.8510230000000001</v>
      </c>
      <c r="D173" s="50"/>
    </row>
    <row r="174" spans="2:4">
      <c r="B174" s="49">
        <v>38716</v>
      </c>
      <c r="C174" s="50">
        <v>1.9121790000000001</v>
      </c>
      <c r="D174" s="50"/>
    </row>
    <row r="175" spans="2:4">
      <c r="B175" s="49">
        <v>38807</v>
      </c>
      <c r="C175" s="50">
        <v>1.952653</v>
      </c>
      <c r="D175" s="50"/>
    </row>
    <row r="176" spans="2:4">
      <c r="B176" s="49">
        <v>38898</v>
      </c>
      <c r="C176" s="50">
        <v>1.9834229999999999</v>
      </c>
      <c r="D176" s="50"/>
    </row>
    <row r="177" spans="2:4">
      <c r="B177" s="49">
        <v>38989</v>
      </c>
      <c r="C177" s="50">
        <v>1.942677</v>
      </c>
      <c r="D177" s="50"/>
    </row>
    <row r="178" spans="2:4">
      <c r="B178" s="49">
        <v>39080</v>
      </c>
      <c r="C178" s="50">
        <v>1.9892259999999999</v>
      </c>
      <c r="D178" s="50"/>
    </row>
    <row r="179" spans="2:4">
      <c r="B179" s="49">
        <v>39171</v>
      </c>
      <c r="C179" s="50">
        <v>1.9828049999999999</v>
      </c>
      <c r="D179" s="50"/>
    </row>
    <row r="180" spans="2:4">
      <c r="B180" s="49">
        <v>39262</v>
      </c>
      <c r="C180" s="50">
        <v>1.9301410000000001</v>
      </c>
      <c r="D180" s="50"/>
    </row>
    <row r="181" spans="2:4">
      <c r="B181" s="49">
        <v>39353</v>
      </c>
      <c r="C181" s="50">
        <v>1.9322790000000001</v>
      </c>
      <c r="D181" s="50"/>
    </row>
    <row r="182" spans="2:4">
      <c r="B182" s="49">
        <v>39447</v>
      </c>
      <c r="C182" s="50">
        <v>1.8565940000000001</v>
      </c>
      <c r="D182" s="50"/>
    </row>
    <row r="183" spans="2:4">
      <c r="B183" s="49">
        <v>39538</v>
      </c>
      <c r="C183" s="50">
        <v>1.6524380000000001</v>
      </c>
      <c r="D183" s="50"/>
    </row>
    <row r="184" spans="2:4">
      <c r="B184" s="49">
        <v>39629</v>
      </c>
      <c r="C184" s="50">
        <v>1.5759570000000001</v>
      </c>
      <c r="D184" s="50"/>
    </row>
    <row r="185" spans="2:4">
      <c r="B185" s="49">
        <v>39721</v>
      </c>
      <c r="C185" s="50">
        <v>1.4394089999999999</v>
      </c>
      <c r="D185" s="50"/>
    </row>
    <row r="186" spans="2:4">
      <c r="B186" s="49">
        <v>39813</v>
      </c>
      <c r="C186" s="50">
        <v>1.1940390000000001</v>
      </c>
      <c r="D186" s="50"/>
    </row>
    <row r="187" spans="2:4">
      <c r="B187" s="49">
        <v>39903</v>
      </c>
      <c r="C187" s="50">
        <v>1.1257269999999999</v>
      </c>
      <c r="D187" s="50"/>
    </row>
    <row r="188" spans="2:4">
      <c r="B188" s="49">
        <v>39994</v>
      </c>
      <c r="C188" s="50">
        <v>1.2051289999999999</v>
      </c>
      <c r="D188" s="50"/>
    </row>
    <row r="189" spans="2:4">
      <c r="B189" s="49">
        <v>40086</v>
      </c>
      <c r="C189" s="50">
        <v>1.162318</v>
      </c>
      <c r="D189" s="50"/>
    </row>
    <row r="190" spans="2:4">
      <c r="B190" s="49">
        <v>40178</v>
      </c>
      <c r="C190" s="50">
        <v>1.1300650000000001</v>
      </c>
      <c r="D190" s="50"/>
    </row>
    <row r="191" spans="2:4">
      <c r="B191" s="49">
        <v>40268</v>
      </c>
      <c r="C191" s="50">
        <v>1.0158050000000001</v>
      </c>
      <c r="D191" s="50"/>
    </row>
    <row r="192" spans="2:4">
      <c r="B192" s="49">
        <v>40359</v>
      </c>
      <c r="C192" s="50">
        <v>0.99867600000000001</v>
      </c>
      <c r="D192" s="50"/>
    </row>
    <row r="193" spans="2:4">
      <c r="B193" s="49">
        <v>40451</v>
      </c>
      <c r="C193" s="50">
        <v>0.963395</v>
      </c>
      <c r="D193" s="50"/>
    </row>
    <row r="194" spans="2:4">
      <c r="B194" s="49">
        <v>40543</v>
      </c>
      <c r="C194" s="50">
        <v>0.91496599999999995</v>
      </c>
      <c r="D194" s="50"/>
    </row>
    <row r="195" spans="2:4">
      <c r="B195" s="49">
        <v>40633</v>
      </c>
      <c r="C195" s="50">
        <v>0.85268600000000006</v>
      </c>
      <c r="D195" s="50"/>
    </row>
    <row r="196" spans="2:4">
      <c r="B196" s="49">
        <v>40724</v>
      </c>
      <c r="C196" s="50">
        <v>0.87364200000000003</v>
      </c>
      <c r="D196" s="50"/>
    </row>
    <row r="197" spans="2:4">
      <c r="B197" s="49">
        <v>40816</v>
      </c>
      <c r="C197" s="50">
        <v>0.81053500000000001</v>
      </c>
      <c r="D197" s="50"/>
    </row>
    <row r="198" spans="2:4">
      <c r="B198" s="49">
        <v>40907</v>
      </c>
      <c r="C198" s="50">
        <v>0.84017299999999995</v>
      </c>
      <c r="D198" s="50"/>
    </row>
    <row r="199" spans="2:4">
      <c r="B199" s="49">
        <v>40998</v>
      </c>
      <c r="C199" s="50">
        <v>0.83858100000000002</v>
      </c>
      <c r="D199" s="50"/>
    </row>
    <row r="200" spans="2:4">
      <c r="B200" s="49">
        <v>41089</v>
      </c>
      <c r="C200" s="50">
        <v>0.80615800000000004</v>
      </c>
      <c r="D200" s="50"/>
    </row>
    <row r="201" spans="2:4">
      <c r="B201" s="49">
        <v>41180</v>
      </c>
      <c r="C201" s="50">
        <v>0.73016300000000001</v>
      </c>
      <c r="D201" s="50"/>
    </row>
    <row r="202" spans="2:4">
      <c r="B202" s="49">
        <v>41274</v>
      </c>
      <c r="C202" s="50">
        <v>0.689724</v>
      </c>
      <c r="D202" s="50"/>
    </row>
    <row r="203" spans="2:4">
      <c r="B203" s="49">
        <v>41361</v>
      </c>
      <c r="C203" s="50">
        <v>0.69093599999999999</v>
      </c>
      <c r="D203" s="50"/>
    </row>
    <row r="204" spans="2:4">
      <c r="B204" s="49">
        <v>41453</v>
      </c>
      <c r="C204" s="50">
        <v>0.63570899999999997</v>
      </c>
      <c r="D204" s="50"/>
    </row>
    <row r="205" spans="2:4">
      <c r="B205" s="49">
        <v>41547</v>
      </c>
      <c r="C205" s="50">
        <v>0.65747800000000001</v>
      </c>
      <c r="D205" s="50"/>
    </row>
    <row r="206" spans="2:4">
      <c r="B206" s="49">
        <v>41639</v>
      </c>
      <c r="C206" s="50">
        <v>0.68480399999999997</v>
      </c>
      <c r="D206" s="50"/>
    </row>
    <row r="207" spans="2:4">
      <c r="B207" s="49">
        <v>41729</v>
      </c>
      <c r="C207" s="50">
        <v>0.59998700000000005</v>
      </c>
      <c r="D207" s="50"/>
    </row>
    <row r="208" spans="2:4">
      <c r="B208" s="49">
        <v>41820</v>
      </c>
      <c r="C208" s="50">
        <v>0.663215</v>
      </c>
      <c r="D208" s="50"/>
    </row>
    <row r="209" spans="2:4">
      <c r="B209" s="49">
        <v>41912</v>
      </c>
      <c r="C209" s="50">
        <v>0.66806900000000002</v>
      </c>
      <c r="D209" s="50"/>
    </row>
    <row r="210" spans="2:4">
      <c r="B210" s="49">
        <v>42004</v>
      </c>
      <c r="C210" s="50">
        <v>0.62334000000000001</v>
      </c>
      <c r="D210" s="50"/>
    </row>
    <row r="211" spans="2:4">
      <c r="B211" s="49">
        <v>42094</v>
      </c>
      <c r="C211" s="50">
        <v>0.60541500000000004</v>
      </c>
      <c r="D211" s="50"/>
    </row>
    <row r="212" spans="2:4">
      <c r="B212" s="49">
        <v>42185</v>
      </c>
      <c r="C212" s="50">
        <v>0.64329099999999995</v>
      </c>
      <c r="D212" s="50"/>
    </row>
    <row r="213" spans="2:4">
      <c r="B213" s="49">
        <v>42277</v>
      </c>
      <c r="C213" s="50">
        <v>0.63485400000000003</v>
      </c>
      <c r="D213" s="50"/>
    </row>
    <row r="214" spans="2:4">
      <c r="B214" s="49">
        <v>42369</v>
      </c>
      <c r="C214" s="50">
        <v>0.59253800000000001</v>
      </c>
      <c r="D214" s="50"/>
    </row>
    <row r="215" spans="2:4">
      <c r="B215" s="49">
        <v>42460</v>
      </c>
      <c r="C215" s="50">
        <v>0.61750899999999997</v>
      </c>
      <c r="D215" s="50"/>
    </row>
    <row r="216" spans="2:4">
      <c r="B216" s="49">
        <v>42551</v>
      </c>
      <c r="C216" s="50">
        <v>0.60397999999999996</v>
      </c>
      <c r="D216" s="50"/>
    </row>
    <row r="217" spans="2:4">
      <c r="B217" s="49">
        <v>42643</v>
      </c>
      <c r="C217" s="50">
        <v>0.58720600000000001</v>
      </c>
      <c r="D217" s="50"/>
    </row>
    <row r="218" spans="2:4">
      <c r="B218" s="49">
        <v>42734</v>
      </c>
      <c r="C218" s="50">
        <v>0.52135299999999996</v>
      </c>
      <c r="D218" s="50"/>
    </row>
    <row r="219" spans="2:4">
      <c r="B219" s="49">
        <v>42825</v>
      </c>
      <c r="C219" s="50">
        <v>0.51330100000000001</v>
      </c>
      <c r="D219" s="50"/>
    </row>
    <row r="220" spans="2:4">
      <c r="B220" s="49">
        <v>42916</v>
      </c>
      <c r="C220" s="50">
        <v>0.48902400000000001</v>
      </c>
      <c r="D220" s="50"/>
    </row>
    <row r="221" spans="2:4">
      <c r="B221" s="49">
        <v>43007</v>
      </c>
      <c r="C221" s="50">
        <v>0.48963600000000002</v>
      </c>
      <c r="D221" s="50"/>
    </row>
    <row r="222" spans="2:4">
      <c r="B222" s="49">
        <v>43098</v>
      </c>
      <c r="C222" s="50">
        <v>0.53593299999999999</v>
      </c>
      <c r="D222" s="50"/>
    </row>
    <row r="223" spans="2:4">
      <c r="B223" s="49">
        <v>43188</v>
      </c>
      <c r="C223" s="50">
        <v>0.56195099999999998</v>
      </c>
      <c r="D223" s="50"/>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839EB-1BAE-442A-8828-85415B9D68EF}">
  <dimension ref="A2:DX19"/>
  <sheetViews>
    <sheetView workbookViewId="0">
      <selection activeCell="L17" sqref="L17"/>
    </sheetView>
  </sheetViews>
  <sheetFormatPr baseColWidth="10" defaultColWidth="8.83203125" defaultRowHeight="16"/>
  <cols>
    <col min="1" max="1" width="28.33203125" customWidth="1"/>
    <col min="11" max="11" width="17.83203125" customWidth="1"/>
  </cols>
  <sheetData>
    <row r="2" spans="1:128">
      <c r="B2">
        <v>1900</v>
      </c>
      <c r="C2">
        <f>+B2+1</f>
        <v>1901</v>
      </c>
      <c r="D2">
        <f t="shared" ref="D2:BO2" si="0">+C2+1</f>
        <v>1902</v>
      </c>
      <c r="E2">
        <f t="shared" si="0"/>
        <v>1903</v>
      </c>
      <c r="F2">
        <f t="shared" si="0"/>
        <v>1904</v>
      </c>
      <c r="G2">
        <f t="shared" si="0"/>
        <v>1905</v>
      </c>
      <c r="H2">
        <f t="shared" si="0"/>
        <v>1906</v>
      </c>
      <c r="I2">
        <f t="shared" si="0"/>
        <v>1907</v>
      </c>
      <c r="J2">
        <f t="shared" si="0"/>
        <v>1908</v>
      </c>
      <c r="K2">
        <f t="shared" si="0"/>
        <v>1909</v>
      </c>
      <c r="L2">
        <f t="shared" si="0"/>
        <v>1910</v>
      </c>
      <c r="M2">
        <f t="shared" si="0"/>
        <v>1911</v>
      </c>
      <c r="N2">
        <f t="shared" si="0"/>
        <v>1912</v>
      </c>
      <c r="O2">
        <f t="shared" si="0"/>
        <v>1913</v>
      </c>
      <c r="P2">
        <f t="shared" si="0"/>
        <v>1914</v>
      </c>
      <c r="Q2">
        <f t="shared" si="0"/>
        <v>1915</v>
      </c>
      <c r="R2">
        <f t="shared" si="0"/>
        <v>1916</v>
      </c>
      <c r="S2">
        <f t="shared" si="0"/>
        <v>1917</v>
      </c>
      <c r="T2">
        <f t="shared" si="0"/>
        <v>1918</v>
      </c>
      <c r="U2">
        <f t="shared" si="0"/>
        <v>1919</v>
      </c>
      <c r="V2">
        <f t="shared" si="0"/>
        <v>1920</v>
      </c>
      <c r="W2">
        <f t="shared" si="0"/>
        <v>1921</v>
      </c>
      <c r="X2">
        <f t="shared" si="0"/>
        <v>1922</v>
      </c>
      <c r="Y2">
        <f t="shared" si="0"/>
        <v>1923</v>
      </c>
      <c r="Z2">
        <f t="shared" si="0"/>
        <v>1924</v>
      </c>
      <c r="AA2">
        <f t="shared" si="0"/>
        <v>1925</v>
      </c>
      <c r="AB2">
        <f t="shared" si="0"/>
        <v>1926</v>
      </c>
      <c r="AC2">
        <f t="shared" si="0"/>
        <v>1927</v>
      </c>
      <c r="AD2">
        <f t="shared" si="0"/>
        <v>1928</v>
      </c>
      <c r="AE2">
        <f t="shared" si="0"/>
        <v>1929</v>
      </c>
      <c r="AF2">
        <f t="shared" si="0"/>
        <v>1930</v>
      </c>
      <c r="AG2">
        <f t="shared" si="0"/>
        <v>1931</v>
      </c>
      <c r="AH2">
        <f t="shared" si="0"/>
        <v>1932</v>
      </c>
      <c r="AI2">
        <f t="shared" si="0"/>
        <v>1933</v>
      </c>
      <c r="AJ2">
        <f t="shared" si="0"/>
        <v>1934</v>
      </c>
      <c r="AK2">
        <f t="shared" si="0"/>
        <v>1935</v>
      </c>
      <c r="AL2">
        <f t="shared" si="0"/>
        <v>1936</v>
      </c>
      <c r="AM2">
        <f t="shared" si="0"/>
        <v>1937</v>
      </c>
      <c r="AN2">
        <f t="shared" si="0"/>
        <v>1938</v>
      </c>
      <c r="AO2">
        <f t="shared" si="0"/>
        <v>1939</v>
      </c>
      <c r="AP2">
        <f t="shared" si="0"/>
        <v>1940</v>
      </c>
      <c r="AQ2">
        <f t="shared" si="0"/>
        <v>1941</v>
      </c>
      <c r="AR2">
        <f t="shared" si="0"/>
        <v>1942</v>
      </c>
      <c r="AS2">
        <f t="shared" si="0"/>
        <v>1943</v>
      </c>
      <c r="AT2">
        <f t="shared" si="0"/>
        <v>1944</v>
      </c>
      <c r="AU2">
        <f t="shared" si="0"/>
        <v>1945</v>
      </c>
      <c r="AV2">
        <f t="shared" si="0"/>
        <v>1946</v>
      </c>
      <c r="AW2">
        <f t="shared" si="0"/>
        <v>1947</v>
      </c>
      <c r="AX2">
        <f t="shared" si="0"/>
        <v>1948</v>
      </c>
      <c r="AY2">
        <f t="shared" si="0"/>
        <v>1949</v>
      </c>
      <c r="AZ2">
        <f t="shared" si="0"/>
        <v>1950</v>
      </c>
      <c r="BA2">
        <f t="shared" si="0"/>
        <v>1951</v>
      </c>
      <c r="BB2">
        <f t="shared" si="0"/>
        <v>1952</v>
      </c>
      <c r="BC2">
        <f t="shared" si="0"/>
        <v>1953</v>
      </c>
      <c r="BD2">
        <f t="shared" si="0"/>
        <v>1954</v>
      </c>
      <c r="BE2">
        <f t="shared" si="0"/>
        <v>1955</v>
      </c>
      <c r="BF2">
        <f t="shared" si="0"/>
        <v>1956</v>
      </c>
      <c r="BG2">
        <f t="shared" si="0"/>
        <v>1957</v>
      </c>
      <c r="BH2">
        <f t="shared" si="0"/>
        <v>1958</v>
      </c>
      <c r="BI2">
        <f t="shared" si="0"/>
        <v>1959</v>
      </c>
      <c r="BJ2">
        <f t="shared" si="0"/>
        <v>1960</v>
      </c>
      <c r="BK2">
        <f t="shared" si="0"/>
        <v>1961</v>
      </c>
      <c r="BL2">
        <f t="shared" si="0"/>
        <v>1962</v>
      </c>
      <c r="BM2">
        <f t="shared" si="0"/>
        <v>1963</v>
      </c>
      <c r="BN2">
        <f>+BM2+1</f>
        <v>1964</v>
      </c>
      <c r="BO2">
        <f t="shared" si="0"/>
        <v>1965</v>
      </c>
      <c r="BP2">
        <f t="shared" ref="BP2:CW2" si="1">+BO2+1</f>
        <v>1966</v>
      </c>
      <c r="BQ2">
        <f t="shared" si="1"/>
        <v>1967</v>
      </c>
      <c r="BR2">
        <f t="shared" si="1"/>
        <v>1968</v>
      </c>
      <c r="BS2">
        <f t="shared" si="1"/>
        <v>1969</v>
      </c>
      <c r="BT2">
        <f t="shared" si="1"/>
        <v>1970</v>
      </c>
      <c r="BU2">
        <f t="shared" si="1"/>
        <v>1971</v>
      </c>
      <c r="BV2">
        <f t="shared" si="1"/>
        <v>1972</v>
      </c>
      <c r="BW2">
        <f t="shared" si="1"/>
        <v>1973</v>
      </c>
      <c r="BX2">
        <f t="shared" si="1"/>
        <v>1974</v>
      </c>
      <c r="BY2">
        <f t="shared" si="1"/>
        <v>1975</v>
      </c>
      <c r="BZ2">
        <f t="shared" si="1"/>
        <v>1976</v>
      </c>
      <c r="CA2">
        <f t="shared" si="1"/>
        <v>1977</v>
      </c>
      <c r="CB2">
        <f t="shared" si="1"/>
        <v>1978</v>
      </c>
      <c r="CC2">
        <f t="shared" si="1"/>
        <v>1979</v>
      </c>
      <c r="CD2">
        <f t="shared" si="1"/>
        <v>1980</v>
      </c>
      <c r="CE2">
        <f t="shared" si="1"/>
        <v>1981</v>
      </c>
      <c r="CF2">
        <f t="shared" si="1"/>
        <v>1982</v>
      </c>
      <c r="CG2">
        <f t="shared" si="1"/>
        <v>1983</v>
      </c>
      <c r="CH2">
        <f t="shared" si="1"/>
        <v>1984</v>
      </c>
      <c r="CI2">
        <f t="shared" si="1"/>
        <v>1985</v>
      </c>
      <c r="CJ2">
        <f t="shared" si="1"/>
        <v>1986</v>
      </c>
      <c r="CK2">
        <f t="shared" si="1"/>
        <v>1987</v>
      </c>
      <c r="CL2">
        <f t="shared" si="1"/>
        <v>1988</v>
      </c>
      <c r="CM2">
        <f t="shared" si="1"/>
        <v>1989</v>
      </c>
      <c r="CN2">
        <f t="shared" si="1"/>
        <v>1990</v>
      </c>
      <c r="CO2">
        <f t="shared" si="1"/>
        <v>1991</v>
      </c>
      <c r="CP2">
        <f t="shared" si="1"/>
        <v>1992</v>
      </c>
      <c r="CQ2">
        <f t="shared" si="1"/>
        <v>1993</v>
      </c>
      <c r="CR2">
        <f t="shared" si="1"/>
        <v>1994</v>
      </c>
      <c r="CS2">
        <f t="shared" si="1"/>
        <v>1995</v>
      </c>
      <c r="CT2">
        <f t="shared" si="1"/>
        <v>1996</v>
      </c>
      <c r="CU2">
        <f t="shared" si="1"/>
        <v>1997</v>
      </c>
      <c r="CV2">
        <f t="shared" si="1"/>
        <v>1998</v>
      </c>
      <c r="CW2">
        <f t="shared" si="1"/>
        <v>1999</v>
      </c>
      <c r="CX2">
        <f>+CW2+1</f>
        <v>2000</v>
      </c>
      <c r="CY2">
        <f t="shared" ref="CY2:DJ2" si="2">+CX2+1</f>
        <v>2001</v>
      </c>
      <c r="CZ2">
        <f t="shared" si="2"/>
        <v>2002</v>
      </c>
      <c r="DA2">
        <f t="shared" si="2"/>
        <v>2003</v>
      </c>
      <c r="DB2">
        <f t="shared" si="2"/>
        <v>2004</v>
      </c>
      <c r="DC2">
        <f t="shared" si="2"/>
        <v>2005</v>
      </c>
      <c r="DD2">
        <f t="shared" si="2"/>
        <v>2006</v>
      </c>
      <c r="DE2">
        <f t="shared" si="2"/>
        <v>2007</v>
      </c>
      <c r="DF2">
        <f t="shared" si="2"/>
        <v>2008</v>
      </c>
      <c r="DG2">
        <f t="shared" si="2"/>
        <v>2009</v>
      </c>
      <c r="DH2">
        <f t="shared" si="2"/>
        <v>2010</v>
      </c>
      <c r="DI2">
        <f t="shared" si="2"/>
        <v>2011</v>
      </c>
      <c r="DJ2">
        <f t="shared" si="2"/>
        <v>2012</v>
      </c>
      <c r="DK2">
        <f>+DJ2+1</f>
        <v>2013</v>
      </c>
      <c r="DL2">
        <f t="shared" ref="DL2:DU2" si="3">+DK2+1</f>
        <v>2014</v>
      </c>
      <c r="DM2">
        <f t="shared" si="3"/>
        <v>2015</v>
      </c>
      <c r="DN2">
        <f t="shared" si="3"/>
        <v>2016</v>
      </c>
      <c r="DO2">
        <f t="shared" si="3"/>
        <v>2017</v>
      </c>
      <c r="DP2">
        <f t="shared" si="3"/>
        <v>2018</v>
      </c>
      <c r="DQ2">
        <f t="shared" si="3"/>
        <v>2019</v>
      </c>
      <c r="DR2">
        <f t="shared" si="3"/>
        <v>2020</v>
      </c>
      <c r="DS2">
        <f t="shared" si="3"/>
        <v>2021</v>
      </c>
      <c r="DT2">
        <f t="shared" si="3"/>
        <v>2022</v>
      </c>
      <c r="DU2">
        <f t="shared" si="3"/>
        <v>2023</v>
      </c>
      <c r="DV2">
        <f>+DU2+1</f>
        <v>2024</v>
      </c>
      <c r="DW2">
        <f t="shared" ref="DW2:DX2" si="4">+DV2+1</f>
        <v>2025</v>
      </c>
      <c r="DX2">
        <f t="shared" si="4"/>
        <v>2026</v>
      </c>
    </row>
    <row r="3" spans="1:128">
      <c r="A3" t="s">
        <v>1826</v>
      </c>
      <c r="AE3">
        <f>+'Summary All Corps'!C2</f>
        <v>54806</v>
      </c>
      <c r="AF3">
        <f>+'Summary All Corps'!D2</f>
        <v>48178</v>
      </c>
      <c r="AG3">
        <f>+'Summary All Corps'!E2</f>
        <v>37846</v>
      </c>
      <c r="AH3">
        <f>+'Summary All Corps'!F2</f>
        <v>27861</v>
      </c>
      <c r="AI3">
        <f>+'Summary All Corps'!G2</f>
        <v>26876</v>
      </c>
      <c r="AJ3">
        <f>+'Summary All Corps'!H2</f>
        <v>33500</v>
      </c>
      <c r="AK3">
        <f>+'Summary All Corps'!I2</f>
        <v>37147</v>
      </c>
      <c r="AL3">
        <f>+'Summary All Corps'!J2</f>
        <v>42724</v>
      </c>
      <c r="AM3">
        <f>+'Summary All Corps'!K2</f>
        <v>48339</v>
      </c>
      <c r="AN3">
        <f>+'Summary All Corps'!L2</f>
        <v>43000</v>
      </c>
      <c r="AO3">
        <f>+'Summary All Corps'!M2</f>
        <v>47323</v>
      </c>
      <c r="AP3">
        <f>+'Summary All Corps'!N2</f>
        <v>54105</v>
      </c>
      <c r="AQ3">
        <f>+'Summary All Corps'!O2</f>
        <v>69955</v>
      </c>
      <c r="AR3">
        <f>+'Summary All Corps'!P2</f>
        <v>87478</v>
      </c>
      <c r="AS3">
        <f>+'Summary All Corps'!Q2</f>
        <v>103482</v>
      </c>
      <c r="AT3">
        <f>+'Summary All Corps'!R2</f>
        <v>107266</v>
      </c>
      <c r="AU3">
        <f>+'Summary All Corps'!S2</f>
        <v>100821</v>
      </c>
      <c r="AV3">
        <f>+'Summary All Corps'!T2</f>
        <v>105807</v>
      </c>
      <c r="AW3">
        <f>+'Summary All Corps'!U2</f>
        <v>127503</v>
      </c>
      <c r="AX3">
        <f>+'Summary All Corps'!V2</f>
        <v>146063</v>
      </c>
      <c r="AY3">
        <f>+'Summary All Corps'!W2</f>
        <v>143022</v>
      </c>
      <c r="AZ3">
        <f>+'Summary All Corps'!X2</f>
        <v>162114</v>
      </c>
      <c r="BA3">
        <f>+'Summary All Corps'!Y2</f>
        <v>185791</v>
      </c>
      <c r="BB3">
        <f>+'Summary All Corps'!Z2</f>
        <v>195027</v>
      </c>
      <c r="BC3">
        <f>+'Summary All Corps'!AA2</f>
        <v>209184</v>
      </c>
      <c r="BD3">
        <f>+'Summary All Corps'!AB2</f>
        <v>206865</v>
      </c>
      <c r="BE3">
        <f>+'Summary All Corps'!AC2</f>
        <v>233051</v>
      </c>
      <c r="BF3">
        <f>+'Summary All Corps'!AD2</f>
        <v>250053</v>
      </c>
      <c r="BG3">
        <f>+'Summary All Corps'!AE2</f>
        <v>261661</v>
      </c>
      <c r="BH3">
        <f>+'Summary All Corps'!AF2</f>
        <v>256831</v>
      </c>
      <c r="BI3">
        <f>+'Summary All Corps'!AG2</f>
        <v>287446</v>
      </c>
      <c r="BJ3">
        <f>+'Summary All Corps'!AH2</f>
        <v>299879</v>
      </c>
      <c r="BK3">
        <f>+'Summary All Corps'!AI2</f>
        <v>308729</v>
      </c>
      <c r="BL3">
        <f>+'Summary All Corps'!AJ2</f>
        <v>335950</v>
      </c>
      <c r="BM3">
        <f>+'Summary All Corps'!AK2</f>
        <v>357362</v>
      </c>
      <c r="BN3">
        <f>+'Summary All Corps'!AL2</f>
        <v>385982</v>
      </c>
      <c r="BO3">
        <f>+'Summary All Corps'!AM2</f>
        <v>423777</v>
      </c>
      <c r="BP3">
        <f>+'Summary All Corps'!AN2</f>
        <v>465090</v>
      </c>
      <c r="BQ3">
        <f>+'Summary All Corps'!AO2</f>
        <v>491172</v>
      </c>
      <c r="BR3">
        <f>+'Summary All Corps'!AP2</f>
        <v>542111</v>
      </c>
      <c r="BS3">
        <f>+'Summary All Corps'!AQ2</f>
        <v>590653</v>
      </c>
      <c r="BT3">
        <f>+'Summary All Corps'!AR2</f>
        <v>612127</v>
      </c>
      <c r="BU3">
        <f>+'Summary All Corps'!AS2</f>
        <v>660922</v>
      </c>
      <c r="BV3">
        <f>+'Summary All Corps'!AT2</f>
        <v>732902</v>
      </c>
      <c r="BW3">
        <f>+'Summary All Corps'!AU2</f>
        <v>820208</v>
      </c>
      <c r="BX3">
        <f>+'Summary All Corps'!AV2</f>
        <v>889579</v>
      </c>
      <c r="BY3">
        <f>+'Summary All Corps'!AW2</f>
        <v>965545</v>
      </c>
      <c r="BZ3">
        <f>+'Summary All Corps'!AX2</f>
        <v>1087308</v>
      </c>
      <c r="CA3">
        <f>+'Summary All Corps'!AY2</f>
        <v>1232519</v>
      </c>
      <c r="CB3">
        <f>+'Summary All Corps'!AZ2</f>
        <v>1406890</v>
      </c>
      <c r="CC3">
        <f>+'Summary All Corps'!BA2</f>
        <v>1564355</v>
      </c>
      <c r="CD3">
        <f>+'Summary All Corps'!BB2</f>
        <v>1702381</v>
      </c>
      <c r="CE3">
        <f>+'Summary All Corps'!BC2</f>
        <v>1935130</v>
      </c>
      <c r="CF3">
        <f>+'Summary All Corps'!BD2</f>
        <v>2018565</v>
      </c>
      <c r="CG3">
        <f>+'Summary All Corps'!BE2</f>
        <v>2172454</v>
      </c>
      <c r="CH3">
        <f>+'Summary All Corps'!BF2</f>
        <v>2434777</v>
      </c>
      <c r="CI3">
        <f>+'Summary All Corps'!BG2</f>
        <v>2601493</v>
      </c>
      <c r="CJ3">
        <f>+'Summary All Corps'!BH2</f>
        <v>2706772</v>
      </c>
      <c r="CK3">
        <f>+'Summary All Corps'!BI2</f>
        <v>2895133</v>
      </c>
      <c r="CL3">
        <f>+'Summary All Corps'!BJ2</f>
        <v>3142537</v>
      </c>
      <c r="CM3">
        <f>+'Summary All Corps'!BK2</f>
        <v>3320147</v>
      </c>
      <c r="CN3">
        <f>+'Summary All Corps'!BL2</f>
        <v>3467335</v>
      </c>
      <c r="CO3">
        <f>+'Summary All Corps'!BM2</f>
        <v>3554697</v>
      </c>
      <c r="CP3">
        <f>+'Summary All Corps'!BN2</f>
        <v>3742365</v>
      </c>
      <c r="CQ3">
        <f>+'Summary All Corps'!BO2</f>
        <v>3918863</v>
      </c>
      <c r="CR3">
        <f>+'Summary All Corps'!BP2</f>
        <v>4210085</v>
      </c>
      <c r="CS3">
        <f>+'Summary All Corps'!BQ2</f>
        <v>4474232</v>
      </c>
      <c r="CT3">
        <f>+'Summary All Corps'!BR2</f>
        <v>4770205</v>
      </c>
      <c r="CU3">
        <f>+'Summary All Corps'!BS2</f>
        <v>5143154</v>
      </c>
      <c r="CV3">
        <f>+'Summary All Corps'!BT2</f>
        <v>5474446</v>
      </c>
      <c r="CW3">
        <f>+'Summary All Corps'!BU2</f>
        <v>5802061</v>
      </c>
      <c r="CX3">
        <f>+'Summary All Corps'!BV2</f>
        <v>6216190</v>
      </c>
      <c r="CY3">
        <f>+'Summary All Corps'!BW2</f>
        <v>6202593</v>
      </c>
      <c r="CZ3">
        <f>+'Summary All Corps'!BX2</f>
        <v>6298540</v>
      </c>
      <c r="DA3">
        <f>+'Summary All Corps'!BY2</f>
        <v>6524950</v>
      </c>
      <c r="DB3">
        <f>+'Summary All Corps'!BZ2</f>
        <v>6960008</v>
      </c>
      <c r="DC3">
        <f>+'Summary All Corps'!CA2</f>
        <v>7485433</v>
      </c>
      <c r="DD3">
        <f>+'Summary All Corps'!CB2</f>
        <v>8029316</v>
      </c>
      <c r="DE3">
        <f>+'Summary All Corps'!CC2</f>
        <v>8199258</v>
      </c>
      <c r="DF3">
        <f>+'Summary All Corps'!CD2</f>
        <v>8108788</v>
      </c>
      <c r="DG3">
        <f>+'Summary All Corps'!CE2</f>
        <v>7817337</v>
      </c>
      <c r="DH3">
        <f>+'Summary All Corps'!CF2</f>
        <v>8236992</v>
      </c>
      <c r="DI3">
        <f>+'Summary All Corps'!CG2</f>
        <v>8623024</v>
      </c>
      <c r="DJ3">
        <f>+'Summary All Corps'!CH2</f>
        <v>9173994</v>
      </c>
      <c r="DK3">
        <f>+'Summary All Corps'!CI2</f>
        <v>9456941</v>
      </c>
      <c r="DL3">
        <f>+'Summary All Corps'!CJ2</f>
        <v>10046512</v>
      </c>
      <c r="DM3">
        <f>+'Summary All Corps'!CK2</f>
        <v>10489514</v>
      </c>
      <c r="DN3">
        <f>+'Summary All Corps'!CL2</f>
        <v>10684384</v>
      </c>
      <c r="DO3">
        <f>+'Summary All Corps'!CM2</f>
        <v>11132703</v>
      </c>
      <c r="DP3">
        <f>+'Summary All Corps'!CN2</f>
        <v>11796349</v>
      </c>
      <c r="DQ3">
        <f>+'Summary All Corps'!CO2</f>
        <v>12332556</v>
      </c>
      <c r="DR3">
        <f>+'Summary All Corps'!CP2</f>
        <v>12095295</v>
      </c>
      <c r="DS3">
        <f>+'Summary All Corps'!CQ2</f>
        <v>13818844</v>
      </c>
      <c r="DT3">
        <f>+'Summary All Corps'!CR2</f>
        <v>15322598</v>
      </c>
      <c r="DU3">
        <f>+'Summary All Corps'!CS2</f>
        <v>16125928</v>
      </c>
      <c r="DV3">
        <f>+'Summary All Corps'!CT2</f>
        <v>16961079</v>
      </c>
    </row>
    <row r="4" spans="1:128">
      <c r="A4" t="s">
        <v>1827</v>
      </c>
      <c r="AE4">
        <f>+'Summary All Corps'!C16</f>
        <v>8.7870000000000008</v>
      </c>
      <c r="AF4">
        <f>+'Summary All Corps'!D16</f>
        <v>8.4149999999999991</v>
      </c>
      <c r="AG4">
        <f>+'Summary All Corps'!E16</f>
        <v>7.5140000000000002</v>
      </c>
      <c r="AH4">
        <f>+'Summary All Corps'!F16</f>
        <v>6.6269999999999998</v>
      </c>
      <c r="AI4">
        <f>+'Summary All Corps'!G16</f>
        <v>6.391</v>
      </c>
      <c r="AJ4">
        <f>+'Summary All Corps'!H16</f>
        <v>6.681</v>
      </c>
      <c r="AK4">
        <f>+'Summary All Corps'!I16</f>
        <v>6.8460000000000001</v>
      </c>
      <c r="AL4">
        <f>+'Summary All Corps'!J16</f>
        <v>6.9089999999999998</v>
      </c>
      <c r="AM4">
        <f>+'Summary All Corps'!K16</f>
        <v>7.16</v>
      </c>
      <c r="AN4">
        <f>+'Summary All Corps'!L16</f>
        <v>6.9969999999999999</v>
      </c>
      <c r="AO4">
        <f>+'Summary All Corps'!M16</f>
        <v>6.9290000000000003</v>
      </c>
      <c r="AP4">
        <f>+'Summary All Corps'!N16</f>
        <v>6.9880000000000004</v>
      </c>
      <c r="AQ4">
        <f>+'Summary All Corps'!O16</f>
        <v>7.423</v>
      </c>
      <c r="AR4">
        <f>+'Summary All Corps'!P16</f>
        <v>8.3469999999999995</v>
      </c>
      <c r="AS4">
        <f>+'Summary All Corps'!Q16</f>
        <v>9.1150000000000002</v>
      </c>
      <c r="AT4">
        <f>+'Summary All Corps'!R16</f>
        <v>9.6379999999999999</v>
      </c>
      <c r="AU4">
        <f>+'Summary All Corps'!S16</f>
        <v>10.023999999999999</v>
      </c>
      <c r="AV4">
        <f>+'Summary All Corps'!T16</f>
        <v>10.722</v>
      </c>
      <c r="AW4">
        <f>+'Summary All Corps'!U16</f>
        <v>11.808999999999999</v>
      </c>
      <c r="AX4">
        <f>+'Summary All Corps'!V16</f>
        <v>12.477</v>
      </c>
      <c r="AY4">
        <f>+'Summary All Corps'!W16</f>
        <v>12.379</v>
      </c>
      <c r="AZ4">
        <f>+'Summary All Corps'!X16</f>
        <v>12.526999999999999</v>
      </c>
      <c r="BA4">
        <f>+'Summary All Corps'!Y16</f>
        <v>13.38</v>
      </c>
      <c r="BB4">
        <f>+'Summary All Corps'!Z16</f>
        <v>13.654</v>
      </c>
      <c r="BC4">
        <f>+'Summary All Corps'!AA16</f>
        <v>13.834</v>
      </c>
      <c r="BD4">
        <f>+'Summary All Corps'!AB16</f>
        <v>13.95</v>
      </c>
      <c r="BE4">
        <f>+'Summary All Corps'!AC16</f>
        <v>14.005000000000001</v>
      </c>
      <c r="BF4">
        <f>+'Summary All Corps'!AD16</f>
        <v>14.284000000000001</v>
      </c>
      <c r="BG4">
        <f>+'Summary All Corps'!AE16</f>
        <v>14.718</v>
      </c>
      <c r="BH4">
        <f>+'Summary All Corps'!AF16</f>
        <v>15.066000000000001</v>
      </c>
      <c r="BI4">
        <f>+'Summary All Corps'!AG16</f>
        <v>15.29</v>
      </c>
      <c r="BJ4">
        <f>+'Summary All Corps'!AH16</f>
        <v>15.541</v>
      </c>
      <c r="BK4">
        <f>+'Summary All Corps'!AI16</f>
        <v>15.702</v>
      </c>
      <c r="BL4">
        <f>+'Summary All Corps'!AJ16</f>
        <v>15.885999999999999</v>
      </c>
      <c r="BM4">
        <f>+'Summary All Corps'!AK16</f>
        <v>16.077000000000002</v>
      </c>
      <c r="BN4">
        <f>+'Summary All Corps'!AL16</f>
        <v>16.309000000000001</v>
      </c>
      <c r="BO4">
        <f>+'Summary All Corps'!AM16</f>
        <v>16.544</v>
      </c>
      <c r="BP4">
        <f>+'Summary All Corps'!AN16</f>
        <v>16.962</v>
      </c>
      <c r="BQ4">
        <f>+'Summary All Corps'!AO16</f>
        <v>17.388999999999999</v>
      </c>
      <c r="BR4">
        <f>+'Summary All Corps'!AP16</f>
        <v>18.068999999999999</v>
      </c>
      <c r="BS4">
        <f>+'Summary All Corps'!AQ16</f>
        <v>18.882999999999999</v>
      </c>
      <c r="BT4">
        <f>+'Summary All Corps'!AR16</f>
        <v>19.765999999999998</v>
      </c>
      <c r="BU4">
        <f>+'Summary All Corps'!AS16</f>
        <v>20.605</v>
      </c>
      <c r="BV4">
        <f>+'Summary All Corps'!AT16</f>
        <v>21.308</v>
      </c>
      <c r="BW4">
        <f>+'Summary All Corps'!AU16</f>
        <v>22.454999999999998</v>
      </c>
      <c r="BX4">
        <f>+'Summary All Corps'!AV16</f>
        <v>24.792999999999999</v>
      </c>
      <c r="BY4">
        <f>+'Summary All Corps'!AW16</f>
        <v>26.86</v>
      </c>
      <c r="BZ4">
        <f>+'Summary All Corps'!AX16</f>
        <v>28.332999999999998</v>
      </c>
      <c r="CA4">
        <f>+'Summary All Corps'!AY16</f>
        <v>30.175999999999998</v>
      </c>
      <c r="CB4">
        <f>+'Summary All Corps'!AZ16</f>
        <v>32.276000000000003</v>
      </c>
      <c r="CC4">
        <f>+'Summary All Corps'!BA16</f>
        <v>35.143000000000001</v>
      </c>
      <c r="CD4">
        <f>+'Summary All Corps'!BB16</f>
        <v>38.927999999999997</v>
      </c>
      <c r="CE4">
        <f>+'Summary All Corps'!BC16</f>
        <v>42.414999999999999</v>
      </c>
      <c r="CF4">
        <f>+'Summary All Corps'!BD16</f>
        <v>44.771000000000001</v>
      </c>
      <c r="CG4">
        <f>+'Summary All Corps'!BE16</f>
        <v>46.676000000000002</v>
      </c>
      <c r="CH4">
        <f>+'Summary All Corps'!BF16</f>
        <v>48.439</v>
      </c>
      <c r="CI4">
        <f>+'Summary All Corps'!BG16</f>
        <v>50.128</v>
      </c>
      <c r="CJ4">
        <f>+'Summary All Corps'!BH16</f>
        <v>51.219000000000001</v>
      </c>
      <c r="CK4">
        <f>+'Summary All Corps'!BI16</f>
        <v>52.802</v>
      </c>
      <c r="CL4">
        <f>+'Summary All Corps'!BJ16</f>
        <v>54.865000000000002</v>
      </c>
      <c r="CM4">
        <f>+'Summary All Corps'!BK16</f>
        <v>57.261000000000003</v>
      </c>
      <c r="CN4">
        <f>+'Summary All Corps'!BL16</f>
        <v>59.774999999999999</v>
      </c>
      <c r="CO4">
        <f>+'Summary All Corps'!BM16</f>
        <v>61.774000000000001</v>
      </c>
      <c r="CP4">
        <f>+'Summary All Corps'!BN16</f>
        <v>63.42</v>
      </c>
      <c r="CQ4">
        <f>+'Summary All Corps'!BO16</f>
        <v>65</v>
      </c>
      <c r="CR4">
        <f>+'Summary All Corps'!BP16</f>
        <v>66.355999999999995</v>
      </c>
      <c r="CS4">
        <f>+'Summary All Corps'!BQ16</f>
        <v>67.754000000000005</v>
      </c>
      <c r="CT4">
        <f>+'Summary All Corps'!BR16</f>
        <v>69.203000000000003</v>
      </c>
      <c r="CU4">
        <f>+'Summary All Corps'!BS16</f>
        <v>70.406999999999996</v>
      </c>
      <c r="CV4">
        <f>+'Summary All Corps'!BT16</f>
        <v>70.966999999999999</v>
      </c>
      <c r="CW4">
        <f>+'Summary All Corps'!BU16</f>
        <v>72.001000000000005</v>
      </c>
      <c r="CX4">
        <f>+'Summary All Corps'!BV16</f>
        <v>73.822000000000003</v>
      </c>
      <c r="CY4">
        <f>+'Summary All Corps'!BW16</f>
        <v>75.302000000000007</v>
      </c>
      <c r="CZ4">
        <f>+'Summary All Corps'!BX16</f>
        <v>76.290999999999997</v>
      </c>
      <c r="DA4">
        <f>+'Summary All Corps'!BY16</f>
        <v>77.894000000000005</v>
      </c>
      <c r="DB4">
        <f>+'Summary All Corps'!BZ16</f>
        <v>79.826999999999998</v>
      </c>
      <c r="DC4">
        <f>+'Summary All Corps'!CA16</f>
        <v>82.126999999999995</v>
      </c>
      <c r="DD4">
        <f>+'Summary All Corps'!CB16</f>
        <v>84.44</v>
      </c>
      <c r="DE4">
        <f>+'Summary All Corps'!CC16</f>
        <v>86.606999999999999</v>
      </c>
      <c r="DF4">
        <f>+'Summary All Corps'!CD16</f>
        <v>89.17</v>
      </c>
      <c r="DG4">
        <f>+'Summary All Corps'!CE16</f>
        <v>88.921000000000006</v>
      </c>
      <c r="DH4">
        <f>+'Summary All Corps'!CF16</f>
        <v>90.513999999999996</v>
      </c>
      <c r="DI4">
        <f>+'Summary All Corps'!CG16</f>
        <v>92.804000000000002</v>
      </c>
      <c r="DJ4">
        <f>+'Summary All Corps'!CH16</f>
        <v>94.534000000000006</v>
      </c>
      <c r="DK4">
        <f>+'Summary All Corps'!CI16</f>
        <v>95.781000000000006</v>
      </c>
      <c r="DL4">
        <f>+'Summary All Corps'!CJ16</f>
        <v>97.120999999999995</v>
      </c>
      <c r="DM4">
        <f>+'Summary All Corps'!CK16</f>
        <v>97.299000000000007</v>
      </c>
      <c r="DN4">
        <f>+'Summary All Corps'!CL16</f>
        <v>98.284000000000006</v>
      </c>
      <c r="DO4">
        <f>+'Summary All Corps'!CM16</f>
        <v>100</v>
      </c>
      <c r="DP4">
        <f>+'Summary All Corps'!CN16</f>
        <v>102.047</v>
      </c>
      <c r="DQ4">
        <f>+'Summary All Corps'!CO16</f>
        <v>103.509</v>
      </c>
      <c r="DR4">
        <f>+'Summary All Corps'!CP16</f>
        <v>104.666</v>
      </c>
      <c r="DS4">
        <f>+'Summary All Corps'!CQ16</f>
        <v>108.97199999999999</v>
      </c>
      <c r="DT4">
        <f>+'Summary All Corps'!CR16</f>
        <v>116.1</v>
      </c>
      <c r="DU4">
        <f>+'Summary All Corps'!CS16</f>
        <v>120.511</v>
      </c>
      <c r="DV4">
        <f>+'Summary All Corps'!CT16</f>
        <v>123.666</v>
      </c>
    </row>
    <row r="5" spans="1:128">
      <c r="A5" t="s">
        <v>1830</v>
      </c>
      <c r="B5">
        <v>20.765999999999998</v>
      </c>
      <c r="C5">
        <v>22.484000000000002</v>
      </c>
      <c r="D5">
        <v>24.294</v>
      </c>
      <c r="E5">
        <v>26.18</v>
      </c>
      <c r="F5">
        <v>25.928000000000001</v>
      </c>
      <c r="G5">
        <v>29.065999999999999</v>
      </c>
      <c r="H5">
        <v>31.335999999999999</v>
      </c>
      <c r="I5">
        <v>34.177999999999997</v>
      </c>
      <c r="J5">
        <v>30.422999999999998</v>
      </c>
      <c r="K5">
        <v>32.54</v>
      </c>
      <c r="L5">
        <v>33.746000000000002</v>
      </c>
      <c r="M5">
        <v>34.674999999999997</v>
      </c>
      <c r="N5">
        <v>37.744999999999997</v>
      </c>
      <c r="O5">
        <v>39.517000000000003</v>
      </c>
      <c r="P5">
        <v>36.831000000000003</v>
      </c>
      <c r="Q5">
        <v>39.048000000000002</v>
      </c>
      <c r="R5">
        <v>50.116999999999997</v>
      </c>
      <c r="S5">
        <v>60.277999999999999</v>
      </c>
      <c r="T5">
        <v>76.566999999999993</v>
      </c>
      <c r="U5">
        <v>79.09</v>
      </c>
      <c r="V5">
        <v>89.245999999999995</v>
      </c>
      <c r="W5">
        <v>74.313999999999993</v>
      </c>
      <c r="X5">
        <v>74.14</v>
      </c>
      <c r="Y5">
        <v>86.238</v>
      </c>
      <c r="Z5">
        <v>87.786000000000001</v>
      </c>
      <c r="AA5">
        <v>91.448999999999998</v>
      </c>
      <c r="AB5">
        <v>97.885000000000005</v>
      </c>
      <c r="AC5">
        <v>96.465999999999994</v>
      </c>
      <c r="AD5">
        <v>98.305000000000007</v>
      </c>
      <c r="AE5">
        <v>104.556</v>
      </c>
      <c r="AF5">
        <v>92.16</v>
      </c>
      <c r="AG5">
        <v>77.391000000000005</v>
      </c>
      <c r="AH5">
        <v>59.521999999999998</v>
      </c>
      <c r="AI5">
        <v>57.154000000000003</v>
      </c>
      <c r="AJ5">
        <v>66.8</v>
      </c>
      <c r="AK5">
        <v>74.241</v>
      </c>
      <c r="AL5">
        <v>84.83</v>
      </c>
      <c r="AM5">
        <v>93.003</v>
      </c>
      <c r="AN5">
        <v>87.352000000000004</v>
      </c>
      <c r="AO5">
        <v>93.436999999999998</v>
      </c>
      <c r="AP5">
        <v>102.899</v>
      </c>
      <c r="AQ5">
        <v>129.309</v>
      </c>
      <c r="AR5">
        <v>165.952</v>
      </c>
      <c r="AS5">
        <v>203.084</v>
      </c>
      <c r="AT5">
        <v>224.447</v>
      </c>
      <c r="AU5">
        <v>228.00700000000001</v>
      </c>
      <c r="AV5">
        <v>227.535</v>
      </c>
      <c r="AW5">
        <v>249.61600000000001</v>
      </c>
      <c r="AX5">
        <v>274.46800000000002</v>
      </c>
      <c r="AY5">
        <v>272.47500000000002</v>
      </c>
      <c r="AZ5">
        <v>299.827</v>
      </c>
      <c r="BA5">
        <v>346.91399999999999</v>
      </c>
      <c r="BB5">
        <v>367.34100000000001</v>
      </c>
      <c r="BC5">
        <v>389.21800000000002</v>
      </c>
      <c r="BD5">
        <v>390.54899999999998</v>
      </c>
      <c r="BE5">
        <v>425.47800000000001</v>
      </c>
      <c r="BF5">
        <v>449.35300000000001</v>
      </c>
      <c r="BG5">
        <v>474.03899999999999</v>
      </c>
      <c r="BH5">
        <v>481.22899999999998</v>
      </c>
      <c r="BI5">
        <v>521.654</v>
      </c>
      <c r="BJ5">
        <v>542.38199999999995</v>
      </c>
      <c r="BK5">
        <v>562.21</v>
      </c>
      <c r="BL5">
        <v>603.92100000000005</v>
      </c>
      <c r="BM5">
        <v>637.45100000000002</v>
      </c>
      <c r="BN5">
        <v>684.46</v>
      </c>
      <c r="BO5">
        <v>742.28899999999999</v>
      </c>
      <c r="BP5">
        <v>813.41399999999999</v>
      </c>
      <c r="BQ5">
        <v>859.95799999999997</v>
      </c>
      <c r="BR5">
        <v>940.65099999999995</v>
      </c>
      <c r="BS5">
        <v>1017.615</v>
      </c>
      <c r="BT5">
        <v>1073.3030000000001</v>
      </c>
      <c r="BU5">
        <v>1164.8499999999999</v>
      </c>
      <c r="BV5">
        <v>1279.1099999999999</v>
      </c>
      <c r="BW5">
        <v>1425.376</v>
      </c>
      <c r="BX5">
        <v>1545.2429999999999</v>
      </c>
      <c r="BY5">
        <v>1684.904</v>
      </c>
      <c r="BZ5">
        <v>1873.412</v>
      </c>
      <c r="CA5">
        <v>2081.826</v>
      </c>
      <c r="CB5">
        <v>2351.5990000000002</v>
      </c>
      <c r="CC5">
        <v>2627.3339999999998</v>
      </c>
      <c r="CD5">
        <v>2857.3069999999998</v>
      </c>
      <c r="CE5">
        <v>3207.0419999999999</v>
      </c>
      <c r="CF5">
        <v>3343.7890000000002</v>
      </c>
      <c r="CG5">
        <v>3634.038</v>
      </c>
      <c r="CH5">
        <v>4037.6129999999998</v>
      </c>
      <c r="CI5">
        <v>4338.9790000000003</v>
      </c>
      <c r="CJ5">
        <v>4579.6310000000003</v>
      </c>
      <c r="CK5">
        <v>4855.2150000000001</v>
      </c>
      <c r="CL5">
        <v>5236.4380000000001</v>
      </c>
      <c r="CM5">
        <v>5641.58</v>
      </c>
      <c r="CN5">
        <v>5963.1440000000002</v>
      </c>
      <c r="CO5">
        <v>6158.1289999999999</v>
      </c>
      <c r="CP5">
        <v>6520.3270000000002</v>
      </c>
      <c r="CQ5">
        <v>6858.5590000000002</v>
      </c>
      <c r="CR5">
        <v>7287.2359999999999</v>
      </c>
      <c r="CS5">
        <v>7639.7489999999998</v>
      </c>
      <c r="CT5">
        <v>8073.1220000000003</v>
      </c>
      <c r="CU5">
        <v>8577.5519999999997</v>
      </c>
      <c r="CV5">
        <v>9062.8169999999991</v>
      </c>
      <c r="CW5">
        <v>9631.2000000000007</v>
      </c>
      <c r="CX5">
        <v>10251</v>
      </c>
      <c r="CY5">
        <v>10581.9</v>
      </c>
      <c r="CZ5">
        <v>10929.1</v>
      </c>
      <c r="DA5">
        <v>11456.5</v>
      </c>
      <c r="DB5">
        <v>12217.2</v>
      </c>
      <c r="DC5">
        <v>13039.2</v>
      </c>
      <c r="DD5">
        <v>13815.6</v>
      </c>
      <c r="DE5">
        <v>14474.2</v>
      </c>
      <c r="DF5">
        <v>14769.9</v>
      </c>
      <c r="DG5">
        <v>14478.1</v>
      </c>
      <c r="DH5">
        <v>15049</v>
      </c>
      <c r="DI5">
        <v>15599.7</v>
      </c>
      <c r="DJ5">
        <v>16254</v>
      </c>
      <c r="DK5">
        <v>16843.2</v>
      </c>
      <c r="DL5">
        <v>17550.7</v>
      </c>
      <c r="DM5">
        <v>18206</v>
      </c>
      <c r="DN5">
        <v>18695.099999999999</v>
      </c>
      <c r="DO5">
        <v>19479.599999999999</v>
      </c>
      <c r="DP5">
        <v>20527.2</v>
      </c>
      <c r="DQ5">
        <v>21372.6</v>
      </c>
      <c r="DR5">
        <v>20893.7</v>
      </c>
    </row>
    <row r="6" spans="1:128">
      <c r="A6" t="s">
        <v>1831</v>
      </c>
      <c r="B6">
        <v>6.8042505123859547</v>
      </c>
      <c r="C6">
        <v>6.8714589846610989</v>
      </c>
      <c r="D6">
        <v>6.9386674569362432</v>
      </c>
      <c r="E6">
        <v>7.141102614391496</v>
      </c>
      <c r="F6">
        <v>7.2083110866666384</v>
      </c>
      <c r="G6">
        <v>7.141102614391496</v>
      </c>
      <c r="H6">
        <v>7.2755195589417827</v>
      </c>
      <c r="I6">
        <v>7.6123716609473231</v>
      </c>
      <c r="J6">
        <v>7.4779547163970346</v>
      </c>
      <c r="K6">
        <v>7.3427280312169261</v>
      </c>
      <c r="L6">
        <v>7.6795801332224674</v>
      </c>
      <c r="M6">
        <v>7.6795801332224674</v>
      </c>
      <c r="N6">
        <v>7.8820152906777201</v>
      </c>
      <c r="O6">
        <v>8.0164322352280077</v>
      </c>
      <c r="P6">
        <v>8.0974062982101085</v>
      </c>
      <c r="Q6">
        <v>8.1783803611922092</v>
      </c>
      <c r="R6">
        <v>8.8261728650490188</v>
      </c>
      <c r="S6">
        <v>10.36468006170894</v>
      </c>
      <c r="T6">
        <v>12.227083510297264</v>
      </c>
      <c r="U6">
        <v>14.00851289590349</v>
      </c>
      <c r="V6">
        <v>16.194812596420221</v>
      </c>
      <c r="W6">
        <v>14.494357273796094</v>
      </c>
      <c r="X6">
        <v>13.603642580992984</v>
      </c>
      <c r="Y6">
        <v>13.846564769939288</v>
      </c>
      <c r="Z6">
        <v>13.846564769939288</v>
      </c>
      <c r="AA6">
        <v>14.170461021867693</v>
      </c>
      <c r="AB6">
        <v>14.332409147831894</v>
      </c>
      <c r="AC6">
        <v>14.08948695888559</v>
      </c>
      <c r="AD6">
        <v>13.84656476993929</v>
      </c>
      <c r="AE6">
        <v>13.84656476993929</v>
      </c>
      <c r="AF6">
        <v>13.522668518010883</v>
      </c>
      <c r="AG6">
        <v>12.308057573279367</v>
      </c>
      <c r="AH6">
        <v>11.09344662854785</v>
      </c>
      <c r="AI6">
        <v>10.526628187673143</v>
      </c>
      <c r="AJ6">
        <v>10.850524439601546</v>
      </c>
      <c r="AK6">
        <v>11.09344662854785</v>
      </c>
      <c r="AL6">
        <v>11.255394754512054</v>
      </c>
      <c r="AM6">
        <v>11.660265069422559</v>
      </c>
      <c r="AN6">
        <v>11.417342880476255</v>
      </c>
      <c r="AO6">
        <v>11.255394754512054</v>
      </c>
      <c r="AP6">
        <v>11.336368817494154</v>
      </c>
      <c r="AQ6">
        <v>11.903187258368861</v>
      </c>
      <c r="AR6">
        <v>13.19877226608248</v>
      </c>
      <c r="AS6">
        <v>14.008512895903491</v>
      </c>
      <c r="AT6">
        <v>14.251435084849795</v>
      </c>
      <c r="AU6">
        <v>14.575331336778198</v>
      </c>
      <c r="AV6">
        <v>15.789942281509713</v>
      </c>
      <c r="AW6">
        <v>18.057216045008545</v>
      </c>
      <c r="AX6">
        <v>19.442604364604694</v>
      </c>
      <c r="AY6">
        <v>19.251911322559113</v>
      </c>
      <c r="AZ6">
        <v>19.456754731682281</v>
      </c>
      <c r="BA6">
        <v>21.001840051154051</v>
      </c>
      <c r="BB6">
        <v>21.481604877784626</v>
      </c>
      <c r="BC6">
        <v>21.644671012678725</v>
      </c>
      <c r="BD6">
        <v>21.722834945107302</v>
      </c>
      <c r="BE6">
        <v>21.666907303800649</v>
      </c>
      <c r="BF6">
        <v>21.986301303551897</v>
      </c>
      <c r="BG6">
        <v>22.732227796641851</v>
      </c>
      <c r="BH6">
        <v>23.352822467044604</v>
      </c>
      <c r="BI6">
        <v>23.570468589237969</v>
      </c>
      <c r="BJ6">
        <v>23.92220628516656</v>
      </c>
      <c r="BK6">
        <v>24.178260546570517</v>
      </c>
      <c r="BL6">
        <v>24.462615542129644</v>
      </c>
      <c r="BM6">
        <v>24.769880655814394</v>
      </c>
      <c r="BN6">
        <v>25.097360579609976</v>
      </c>
      <c r="BO6">
        <v>25.493570857782419</v>
      </c>
      <c r="BP6">
        <v>26.255669198961037</v>
      </c>
      <c r="BQ6">
        <v>26.986771497969702</v>
      </c>
      <c r="BR6">
        <v>28.132277404250573</v>
      </c>
      <c r="BS6">
        <v>29.661864702637363</v>
      </c>
      <c r="BT6">
        <v>31.407076642206437</v>
      </c>
      <c r="BU6">
        <v>32.734515839484857</v>
      </c>
      <c r="BV6">
        <v>33.805900775359305</v>
      </c>
      <c r="BW6">
        <v>35.921717566960432</v>
      </c>
      <c r="BX6">
        <v>39.877082078647874</v>
      </c>
      <c r="BY6">
        <v>43.522486168635787</v>
      </c>
      <c r="BZ6">
        <v>46.035860892416743</v>
      </c>
      <c r="CA6">
        <v>49.014176248746985</v>
      </c>
      <c r="CB6">
        <v>52.753916119252146</v>
      </c>
      <c r="CC6">
        <v>57.756442647801912</v>
      </c>
      <c r="CD6">
        <v>64.224355735219802</v>
      </c>
      <c r="CE6">
        <v>70.28802425467407</v>
      </c>
      <c r="CF6">
        <v>74.532592218292066</v>
      </c>
      <c r="CG6">
        <v>77.71601819100556</v>
      </c>
      <c r="CH6">
        <v>80.949974734714488</v>
      </c>
      <c r="CI6">
        <v>83.729156139464365</v>
      </c>
      <c r="CJ6">
        <v>85.194542698332484</v>
      </c>
      <c r="CK6">
        <v>88.125315816068721</v>
      </c>
      <c r="CL6">
        <v>91.3087417887822</v>
      </c>
      <c r="CM6">
        <v>95.30065689742294</v>
      </c>
      <c r="CN6">
        <v>100</v>
      </c>
      <c r="CO6">
        <v>103.63820111167254</v>
      </c>
      <c r="CP6">
        <v>106.21526023244061</v>
      </c>
      <c r="CQ6">
        <v>108.89338049519958</v>
      </c>
      <c r="CR6">
        <v>111.16725618999494</v>
      </c>
      <c r="CS6">
        <v>113.84537645275392</v>
      </c>
      <c r="CT6">
        <v>116.87721071248107</v>
      </c>
      <c r="CU6">
        <v>119.40373926225368</v>
      </c>
      <c r="CV6">
        <v>121.02071753410816</v>
      </c>
      <c r="CW6">
        <v>123.59777665487623</v>
      </c>
      <c r="CX6">
        <v>127.79181404749878</v>
      </c>
      <c r="CY6">
        <v>131.43001515917135</v>
      </c>
      <c r="CZ6">
        <v>133.50176856998488</v>
      </c>
      <c r="DA6">
        <v>136.53360282971201</v>
      </c>
      <c r="DB6">
        <v>140.22233451238003</v>
      </c>
      <c r="DC6">
        <v>144.97220818595252</v>
      </c>
      <c r="DD6">
        <v>149.67155128852957</v>
      </c>
      <c r="DE6">
        <v>153.91611925214755</v>
      </c>
      <c r="DF6">
        <v>159.82819605861545</v>
      </c>
      <c r="DG6">
        <v>159.27235977766546</v>
      </c>
      <c r="DH6">
        <v>161.89994946942898</v>
      </c>
      <c r="DI6">
        <v>167.00353713996967</v>
      </c>
      <c r="DJ6">
        <v>170.54067710965131</v>
      </c>
      <c r="DK6">
        <v>173.06720565942393</v>
      </c>
      <c r="DL6">
        <v>175.99797877716017</v>
      </c>
      <c r="DM6">
        <v>176.30116220313286</v>
      </c>
      <c r="DN6">
        <v>178.57503789792818</v>
      </c>
      <c r="DO6">
        <v>182.41536129358255</v>
      </c>
      <c r="DP6">
        <v>186.86205154118238</v>
      </c>
      <c r="DQ6">
        <v>190.24759979787768</v>
      </c>
      <c r="DR6">
        <v>192.62253663466396</v>
      </c>
    </row>
    <row r="9" spans="1:128">
      <c r="C9">
        <f>+C2</f>
        <v>1901</v>
      </c>
      <c r="D9">
        <f t="shared" ref="D9:BO9" si="5">+D2</f>
        <v>1902</v>
      </c>
      <c r="E9">
        <f t="shared" si="5"/>
        <v>1903</v>
      </c>
      <c r="F9">
        <f t="shared" si="5"/>
        <v>1904</v>
      </c>
      <c r="G9">
        <f t="shared" si="5"/>
        <v>1905</v>
      </c>
      <c r="H9">
        <f t="shared" si="5"/>
        <v>1906</v>
      </c>
      <c r="I9">
        <f t="shared" si="5"/>
        <v>1907</v>
      </c>
      <c r="J9">
        <f t="shared" si="5"/>
        <v>1908</v>
      </c>
      <c r="K9">
        <f t="shared" si="5"/>
        <v>1909</v>
      </c>
      <c r="L9">
        <f t="shared" si="5"/>
        <v>1910</v>
      </c>
      <c r="M9">
        <f t="shared" si="5"/>
        <v>1911</v>
      </c>
      <c r="N9">
        <f t="shared" si="5"/>
        <v>1912</v>
      </c>
      <c r="O9">
        <f t="shared" si="5"/>
        <v>1913</v>
      </c>
      <c r="P9">
        <f t="shared" si="5"/>
        <v>1914</v>
      </c>
      <c r="Q9">
        <f t="shared" si="5"/>
        <v>1915</v>
      </c>
      <c r="R9">
        <f t="shared" si="5"/>
        <v>1916</v>
      </c>
      <c r="S9">
        <f t="shared" si="5"/>
        <v>1917</v>
      </c>
      <c r="T9">
        <f t="shared" si="5"/>
        <v>1918</v>
      </c>
      <c r="U9">
        <f t="shared" si="5"/>
        <v>1919</v>
      </c>
      <c r="V9">
        <f t="shared" si="5"/>
        <v>1920</v>
      </c>
      <c r="W9">
        <f t="shared" si="5"/>
        <v>1921</v>
      </c>
      <c r="X9">
        <f t="shared" si="5"/>
        <v>1922</v>
      </c>
      <c r="Y9">
        <f t="shared" si="5"/>
        <v>1923</v>
      </c>
      <c r="Z9">
        <f t="shared" si="5"/>
        <v>1924</v>
      </c>
      <c r="AA9">
        <f t="shared" si="5"/>
        <v>1925</v>
      </c>
      <c r="AB9">
        <f t="shared" si="5"/>
        <v>1926</v>
      </c>
      <c r="AC9">
        <f t="shared" si="5"/>
        <v>1927</v>
      </c>
      <c r="AD9">
        <f t="shared" si="5"/>
        <v>1928</v>
      </c>
      <c r="AE9">
        <f t="shared" si="5"/>
        <v>1929</v>
      </c>
      <c r="AF9">
        <f t="shared" si="5"/>
        <v>1930</v>
      </c>
      <c r="AG9">
        <f t="shared" si="5"/>
        <v>1931</v>
      </c>
      <c r="AH9">
        <f t="shared" si="5"/>
        <v>1932</v>
      </c>
      <c r="AI9">
        <f t="shared" si="5"/>
        <v>1933</v>
      </c>
      <c r="AJ9">
        <f t="shared" si="5"/>
        <v>1934</v>
      </c>
      <c r="AK9">
        <f t="shared" si="5"/>
        <v>1935</v>
      </c>
      <c r="AL9">
        <f t="shared" si="5"/>
        <v>1936</v>
      </c>
      <c r="AM9">
        <f t="shared" si="5"/>
        <v>1937</v>
      </c>
      <c r="AN9">
        <f t="shared" si="5"/>
        <v>1938</v>
      </c>
      <c r="AO9">
        <f t="shared" si="5"/>
        <v>1939</v>
      </c>
      <c r="AP9">
        <f t="shared" si="5"/>
        <v>1940</v>
      </c>
      <c r="AQ9">
        <f t="shared" si="5"/>
        <v>1941</v>
      </c>
      <c r="AR9">
        <f t="shared" si="5"/>
        <v>1942</v>
      </c>
      <c r="AS9">
        <f t="shared" si="5"/>
        <v>1943</v>
      </c>
      <c r="AT9">
        <f t="shared" si="5"/>
        <v>1944</v>
      </c>
      <c r="AU9">
        <f t="shared" si="5"/>
        <v>1945</v>
      </c>
      <c r="AV9">
        <f t="shared" si="5"/>
        <v>1946</v>
      </c>
      <c r="AW9">
        <f t="shared" si="5"/>
        <v>1947</v>
      </c>
      <c r="AX9">
        <f t="shared" si="5"/>
        <v>1948</v>
      </c>
      <c r="AY9">
        <f t="shared" si="5"/>
        <v>1949</v>
      </c>
      <c r="AZ9">
        <f t="shared" si="5"/>
        <v>1950</v>
      </c>
      <c r="BA9">
        <f t="shared" si="5"/>
        <v>1951</v>
      </c>
      <c r="BB9">
        <f t="shared" si="5"/>
        <v>1952</v>
      </c>
      <c r="BC9">
        <f t="shared" si="5"/>
        <v>1953</v>
      </c>
      <c r="BD9">
        <f t="shared" si="5"/>
        <v>1954</v>
      </c>
      <c r="BE9">
        <f t="shared" si="5"/>
        <v>1955</v>
      </c>
      <c r="BF9">
        <f t="shared" si="5"/>
        <v>1956</v>
      </c>
      <c r="BG9">
        <f t="shared" si="5"/>
        <v>1957</v>
      </c>
      <c r="BH9">
        <f t="shared" si="5"/>
        <v>1958</v>
      </c>
      <c r="BI9">
        <f t="shared" si="5"/>
        <v>1959</v>
      </c>
      <c r="BJ9">
        <f t="shared" si="5"/>
        <v>1960</v>
      </c>
      <c r="BK9">
        <f t="shared" si="5"/>
        <v>1961</v>
      </c>
      <c r="BL9">
        <f t="shared" si="5"/>
        <v>1962</v>
      </c>
      <c r="BM9">
        <f t="shared" si="5"/>
        <v>1963</v>
      </c>
      <c r="BN9">
        <f t="shared" si="5"/>
        <v>1964</v>
      </c>
      <c r="BO9">
        <f t="shared" si="5"/>
        <v>1965</v>
      </c>
      <c r="BP9">
        <f t="shared" ref="BP9:DW9" si="6">+BP2</f>
        <v>1966</v>
      </c>
      <c r="BQ9">
        <f t="shared" si="6"/>
        <v>1967</v>
      </c>
      <c r="BR9">
        <f t="shared" si="6"/>
        <v>1968</v>
      </c>
      <c r="BS9">
        <f t="shared" si="6"/>
        <v>1969</v>
      </c>
      <c r="BT9">
        <f t="shared" si="6"/>
        <v>1970</v>
      </c>
      <c r="BU9">
        <f t="shared" si="6"/>
        <v>1971</v>
      </c>
      <c r="BV9">
        <f t="shared" si="6"/>
        <v>1972</v>
      </c>
      <c r="BW9">
        <f t="shared" si="6"/>
        <v>1973</v>
      </c>
      <c r="BX9">
        <f t="shared" si="6"/>
        <v>1974</v>
      </c>
      <c r="BY9">
        <f t="shared" si="6"/>
        <v>1975</v>
      </c>
      <c r="BZ9">
        <f t="shared" si="6"/>
        <v>1976</v>
      </c>
      <c r="CA9">
        <f t="shared" si="6"/>
        <v>1977</v>
      </c>
      <c r="CB9">
        <f t="shared" si="6"/>
        <v>1978</v>
      </c>
      <c r="CC9">
        <f t="shared" si="6"/>
        <v>1979</v>
      </c>
      <c r="CD9">
        <f t="shared" si="6"/>
        <v>1980</v>
      </c>
      <c r="CE9">
        <f t="shared" si="6"/>
        <v>1981</v>
      </c>
      <c r="CF9">
        <f t="shared" si="6"/>
        <v>1982</v>
      </c>
      <c r="CG9">
        <f t="shared" si="6"/>
        <v>1983</v>
      </c>
      <c r="CH9">
        <f t="shared" si="6"/>
        <v>1984</v>
      </c>
      <c r="CI9">
        <f t="shared" si="6"/>
        <v>1985</v>
      </c>
      <c r="CJ9">
        <f t="shared" si="6"/>
        <v>1986</v>
      </c>
      <c r="CK9">
        <f t="shared" si="6"/>
        <v>1987</v>
      </c>
      <c r="CL9">
        <f t="shared" si="6"/>
        <v>1988</v>
      </c>
      <c r="CM9">
        <f t="shared" si="6"/>
        <v>1989</v>
      </c>
      <c r="CN9">
        <f t="shared" si="6"/>
        <v>1990</v>
      </c>
      <c r="CO9">
        <f t="shared" si="6"/>
        <v>1991</v>
      </c>
      <c r="CP9">
        <f t="shared" si="6"/>
        <v>1992</v>
      </c>
      <c r="CQ9">
        <f t="shared" si="6"/>
        <v>1993</v>
      </c>
      <c r="CR9">
        <f t="shared" si="6"/>
        <v>1994</v>
      </c>
      <c r="CS9">
        <f t="shared" si="6"/>
        <v>1995</v>
      </c>
      <c r="CT9">
        <f t="shared" si="6"/>
        <v>1996</v>
      </c>
      <c r="CU9">
        <f t="shared" si="6"/>
        <v>1997</v>
      </c>
      <c r="CV9">
        <f t="shared" si="6"/>
        <v>1998</v>
      </c>
      <c r="CW9">
        <f t="shared" si="6"/>
        <v>1999</v>
      </c>
      <c r="CX9">
        <f t="shared" si="6"/>
        <v>2000</v>
      </c>
      <c r="CY9">
        <f t="shared" si="6"/>
        <v>2001</v>
      </c>
      <c r="CZ9">
        <f t="shared" si="6"/>
        <v>2002</v>
      </c>
      <c r="DA9">
        <f t="shared" si="6"/>
        <v>2003</v>
      </c>
      <c r="DB9">
        <f t="shared" si="6"/>
        <v>2004</v>
      </c>
      <c r="DC9">
        <f t="shared" si="6"/>
        <v>2005</v>
      </c>
      <c r="DD9">
        <f t="shared" si="6"/>
        <v>2006</v>
      </c>
      <c r="DE9">
        <f t="shared" si="6"/>
        <v>2007</v>
      </c>
      <c r="DF9">
        <f t="shared" si="6"/>
        <v>2008</v>
      </c>
      <c r="DG9">
        <f t="shared" si="6"/>
        <v>2009</v>
      </c>
      <c r="DH9">
        <f t="shared" si="6"/>
        <v>2010</v>
      </c>
      <c r="DI9">
        <f t="shared" si="6"/>
        <v>2011</v>
      </c>
      <c r="DJ9">
        <f t="shared" si="6"/>
        <v>2012</v>
      </c>
      <c r="DK9">
        <f t="shared" si="6"/>
        <v>2013</v>
      </c>
      <c r="DL9">
        <f t="shared" si="6"/>
        <v>2014</v>
      </c>
      <c r="DM9">
        <f t="shared" si="6"/>
        <v>2015</v>
      </c>
      <c r="DN9">
        <f t="shared" si="6"/>
        <v>2016</v>
      </c>
      <c r="DO9">
        <f t="shared" si="6"/>
        <v>2017</v>
      </c>
      <c r="DP9">
        <f t="shared" si="6"/>
        <v>2018</v>
      </c>
      <c r="DQ9">
        <f t="shared" si="6"/>
        <v>2019</v>
      </c>
      <c r="DR9">
        <f t="shared" si="6"/>
        <v>2020</v>
      </c>
      <c r="DS9">
        <f t="shared" si="6"/>
        <v>2021</v>
      </c>
      <c r="DT9">
        <f t="shared" si="6"/>
        <v>2022</v>
      </c>
      <c r="DU9">
        <f t="shared" si="6"/>
        <v>2023</v>
      </c>
      <c r="DV9">
        <f t="shared" si="6"/>
        <v>2024</v>
      </c>
      <c r="DW9">
        <f t="shared" si="6"/>
        <v>2025</v>
      </c>
    </row>
    <row r="10" spans="1:128">
      <c r="B10" t="s">
        <v>1828</v>
      </c>
      <c r="C10">
        <f>+LN(C5/C6)-LN(B5/B6)</f>
        <v>6.965794942451442E-2</v>
      </c>
      <c r="D10">
        <f t="shared" ref="D10:BO10" si="7">+LN(D5/D6)-LN(C5/C6)</f>
        <v>6.7692168231401784E-2</v>
      </c>
      <c r="E10">
        <f t="shared" si="7"/>
        <v>4.600890898461274E-2</v>
      </c>
      <c r="F10">
        <f t="shared" si="7"/>
        <v>-1.9039780330126321E-2</v>
      </c>
      <c r="G10">
        <f t="shared" si="7"/>
        <v>0.1236131260523512</v>
      </c>
      <c r="H10">
        <f t="shared" si="7"/>
        <v>5.6550454830072816E-2</v>
      </c>
      <c r="I10">
        <f t="shared" si="7"/>
        <v>4.1555019500295387E-2</v>
      </c>
      <c r="J10">
        <f t="shared" si="7"/>
        <v>-9.8567807981537303E-2</v>
      </c>
      <c r="K10">
        <f t="shared" si="7"/>
        <v>8.5520081498843492E-2</v>
      </c>
      <c r="L10">
        <f t="shared" si="7"/>
        <v>-8.4626455726226624E-3</v>
      </c>
      <c r="M10">
        <f t="shared" si="7"/>
        <v>2.7157074424749572E-2</v>
      </c>
      <c r="N10">
        <f t="shared" si="7"/>
        <v>5.8815307182589427E-2</v>
      </c>
      <c r="O10">
        <f t="shared" si="7"/>
        <v>2.8968096746242677E-2</v>
      </c>
      <c r="P10">
        <f t="shared" si="7"/>
        <v>-8.0441413053801369E-2</v>
      </c>
      <c r="Q10">
        <f t="shared" si="7"/>
        <v>4.8501445864865822E-2</v>
      </c>
      <c r="R10">
        <f t="shared" si="7"/>
        <v>0.1733412479189016</v>
      </c>
      <c r="S10">
        <f t="shared" si="7"/>
        <v>2.3924541125438514E-2</v>
      </c>
      <c r="T10">
        <f t="shared" si="7"/>
        <v>7.3949406919186167E-2</v>
      </c>
      <c r="U10">
        <f t="shared" si="7"/>
        <v>-0.10359148767356641</v>
      </c>
      <c r="V10">
        <f t="shared" si="7"/>
        <v>-2.4215614853359435E-2</v>
      </c>
      <c r="W10">
        <f t="shared" si="7"/>
        <v>-7.2165681744220445E-2</v>
      </c>
      <c r="X10">
        <f t="shared" si="7"/>
        <v>6.1077664883360194E-2</v>
      </c>
      <c r="Y10">
        <f t="shared" si="7"/>
        <v>0.13345614097516245</v>
      </c>
      <c r="Z10">
        <f t="shared" si="7"/>
        <v>1.779111882693063E-2</v>
      </c>
      <c r="AA10">
        <f t="shared" si="7"/>
        <v>1.7756987795029211E-2</v>
      </c>
      <c r="AB10">
        <f t="shared" si="7"/>
        <v>5.6648121738227308E-2</v>
      </c>
      <c r="AC10">
        <f t="shared" si="7"/>
        <v>2.4917277861531417E-3</v>
      </c>
      <c r="AD10">
        <f t="shared" si="7"/>
        <v>3.6276018615964079E-2</v>
      </c>
      <c r="AE10">
        <f t="shared" si="7"/>
        <v>6.1647922477696016E-2</v>
      </c>
      <c r="AF10">
        <f t="shared" si="7"/>
        <v>-0.10252687200366428</v>
      </c>
      <c r="AG10">
        <f t="shared" si="7"/>
        <v>-8.0542410612123305E-2</v>
      </c>
      <c r="AH10">
        <f t="shared" si="7"/>
        <v>-0.15862490763599313</v>
      </c>
      <c r="AI10">
        <f t="shared" si="7"/>
        <v>1.1849862304348147E-2</v>
      </c>
      <c r="AJ10">
        <f t="shared" si="7"/>
        <v>0.12564835200463098</v>
      </c>
      <c r="AK10">
        <f t="shared" si="7"/>
        <v>8.3472351795000677E-2</v>
      </c>
      <c r="AL10">
        <f t="shared" si="7"/>
        <v>0.11883968830226221</v>
      </c>
      <c r="AM10">
        <f t="shared" si="7"/>
        <v>5.6643130432539657E-2</v>
      </c>
      <c r="AN10">
        <f t="shared" si="7"/>
        <v>-4.1632408787894093E-2</v>
      </c>
      <c r="AO10">
        <f t="shared" si="7"/>
        <v>8.1627436935830744E-2</v>
      </c>
      <c r="AP10">
        <f t="shared" si="7"/>
        <v>8.929202274106629E-2</v>
      </c>
      <c r="AQ10">
        <f t="shared" si="7"/>
        <v>0.17966680013467196</v>
      </c>
      <c r="AR10">
        <f t="shared" si="7"/>
        <v>0.14617608696427054</v>
      </c>
      <c r="AS10">
        <f t="shared" si="7"/>
        <v>0.14237970294926372</v>
      </c>
      <c r="AT10">
        <f t="shared" si="7"/>
        <v>8.282751203597094E-2</v>
      </c>
      <c r="AU10">
        <f t="shared" si="7"/>
        <v>-6.7361247473440855E-3</v>
      </c>
      <c r="AV10">
        <f t="shared" si="7"/>
        <v>-8.2114965199328704E-2</v>
      </c>
      <c r="AW10">
        <f t="shared" si="7"/>
        <v>-4.1552548603223549E-2</v>
      </c>
      <c r="AX10">
        <f t="shared" si="7"/>
        <v>2.0989567900079553E-2</v>
      </c>
      <c r="AY10">
        <f t="shared" si="7"/>
        <v>2.5686023565962834E-3</v>
      </c>
      <c r="AZ10">
        <f t="shared" si="7"/>
        <v>8.5074823416251277E-2</v>
      </c>
      <c r="BA10">
        <f t="shared" si="7"/>
        <v>6.9455510341549953E-2</v>
      </c>
      <c r="BB10">
        <f t="shared" si="7"/>
        <v>3.4626734895357725E-2</v>
      </c>
      <c r="BC10">
        <f t="shared" si="7"/>
        <v>5.0286726268706783E-2</v>
      </c>
      <c r="BD10">
        <f t="shared" si="7"/>
        <v>-1.9088373034437112E-4</v>
      </c>
      <c r="BE10">
        <f t="shared" si="7"/>
        <v>8.8237722625445159E-2</v>
      </c>
      <c r="BF10">
        <f t="shared" si="7"/>
        <v>3.9962023688783432E-2</v>
      </c>
      <c r="BG10">
        <f t="shared" si="7"/>
        <v>2.0116773446238412E-2</v>
      </c>
      <c r="BH10">
        <f t="shared" si="7"/>
        <v>-1.1880557495477451E-2</v>
      </c>
      <c r="BI10">
        <f t="shared" si="7"/>
        <v>7.1384540419071829E-2</v>
      </c>
      <c r="BJ10">
        <f t="shared" si="7"/>
        <v>2.4153454041467182E-2</v>
      </c>
      <c r="BK10">
        <f t="shared" si="7"/>
        <v>2.5258151269162976E-2</v>
      </c>
      <c r="BL10">
        <f t="shared" si="7"/>
        <v>5.9875798059603191E-2</v>
      </c>
      <c r="BM10">
        <f t="shared" si="7"/>
        <v>4.1551647204935538E-2</v>
      </c>
      <c r="BN10">
        <f t="shared" si="7"/>
        <v>5.8018535850594244E-2</v>
      </c>
      <c r="BO10">
        <f t="shared" si="7"/>
        <v>6.544483626731834E-2</v>
      </c>
      <c r="BP10">
        <f t="shared" ref="BP10:DR10" si="8">+LN(BP5/BP6)-LN(BO5/BO6)</f>
        <v>6.2045911769621487E-2</v>
      </c>
      <c r="BQ10">
        <f t="shared" si="8"/>
        <v>2.8178479597869011E-2</v>
      </c>
      <c r="BR10">
        <f t="shared" si="8"/>
        <v>4.8117860123070511E-2</v>
      </c>
      <c r="BS10">
        <f t="shared" si="8"/>
        <v>2.5700119490560169E-2</v>
      </c>
      <c r="BT10">
        <f t="shared" si="8"/>
        <v>-3.8918787281545519E-3</v>
      </c>
      <c r="BU10">
        <f t="shared" si="8"/>
        <v>4.0454700554499734E-2</v>
      </c>
      <c r="BV10">
        <f t="shared" si="8"/>
        <v>6.1366885304370733E-2</v>
      </c>
      <c r="BW10">
        <f t="shared" si="8"/>
        <v>4.7564422636714454E-2</v>
      </c>
      <c r="BX10">
        <f t="shared" si="8"/>
        <v>-2.3714175166635432E-2</v>
      </c>
      <c r="BY10">
        <f t="shared" si="8"/>
        <v>-9.4854372046127011E-4</v>
      </c>
      <c r="BZ10">
        <f t="shared" si="8"/>
        <v>4.9909828914926457E-2</v>
      </c>
      <c r="CA10">
        <f t="shared" si="8"/>
        <v>4.2795135896382064E-2</v>
      </c>
      <c r="CB10">
        <f t="shared" si="8"/>
        <v>4.8321687729217633E-2</v>
      </c>
      <c r="CC10">
        <f t="shared" si="8"/>
        <v>2.0277226191664166E-2</v>
      </c>
      <c r="CD10">
        <f t="shared" si="8"/>
        <v>-2.223767839352897E-2</v>
      </c>
      <c r="CE10">
        <f t="shared" si="8"/>
        <v>2.5250523394513724E-2</v>
      </c>
      <c r="CF10">
        <f t="shared" si="8"/>
        <v>-1.6879498681906302E-2</v>
      </c>
      <c r="CG10">
        <f t="shared" si="8"/>
        <v>4.1414950278993334E-2</v>
      </c>
      <c r="CH10">
        <f t="shared" si="8"/>
        <v>6.4539271494287398E-2</v>
      </c>
      <c r="CI10">
        <f t="shared" si="8"/>
        <v>3.822950140817083E-2</v>
      </c>
      <c r="CJ10">
        <f t="shared" si="8"/>
        <v>3.66292390798586E-2</v>
      </c>
      <c r="CK10">
        <f t="shared" si="8"/>
        <v>2.4612491903940548E-2</v>
      </c>
      <c r="CL10">
        <f t="shared" si="8"/>
        <v>4.0101425062402996E-2</v>
      </c>
      <c r="CM10">
        <f t="shared" si="8"/>
        <v>3.1732499328840369E-2</v>
      </c>
      <c r="CN10">
        <f t="shared" si="8"/>
        <v>7.3002082370159371E-3</v>
      </c>
      <c r="CO10">
        <f t="shared" si="8"/>
        <v>-3.5606735947810719E-3</v>
      </c>
      <c r="CP10">
        <f t="shared" si="8"/>
        <v>3.2589737047888256E-2</v>
      </c>
      <c r="CQ10">
        <f t="shared" si="8"/>
        <v>2.5671382207311133E-2</v>
      </c>
      <c r="CR10">
        <f t="shared" si="8"/>
        <v>3.9960326433345905E-2</v>
      </c>
      <c r="CS10">
        <f t="shared" si="8"/>
        <v>2.3435123544441439E-2</v>
      </c>
      <c r="CT10">
        <f t="shared" si="8"/>
        <v>2.8892801365962839E-2</v>
      </c>
      <c r="CU10">
        <f t="shared" si="8"/>
        <v>3.9221670748348814E-2</v>
      </c>
      <c r="CV10">
        <f t="shared" si="8"/>
        <v>4.1580208116689832E-2</v>
      </c>
      <c r="CW10">
        <f t="shared" si="8"/>
        <v>3.9757023357201327E-2</v>
      </c>
      <c r="CX10">
        <f t="shared" si="8"/>
        <v>2.8997502739737335E-2</v>
      </c>
      <c r="CY10">
        <f t="shared" si="8"/>
        <v>3.6977138478873073E-3</v>
      </c>
      <c r="CZ10">
        <f t="shared" si="8"/>
        <v>1.6643742559193875E-2</v>
      </c>
      <c r="DA10">
        <f t="shared" si="8"/>
        <v>2.4672264458735604E-2</v>
      </c>
      <c r="DB10">
        <f t="shared" si="8"/>
        <v>3.7629032741362423E-2</v>
      </c>
      <c r="DC10">
        <f t="shared" si="8"/>
        <v>3.1802620203443155E-2</v>
      </c>
      <c r="DD10">
        <f t="shared" si="8"/>
        <v>2.5937004715816947E-2</v>
      </c>
      <c r="DE10">
        <f t="shared" si="8"/>
        <v>1.860482711596223E-2</v>
      </c>
      <c r="DF10">
        <f t="shared" si="8"/>
        <v>-1.7468118039684732E-2</v>
      </c>
      <c r="DG10">
        <f t="shared" si="8"/>
        <v>-1.6470390833331017E-2</v>
      </c>
      <c r="DH10">
        <f t="shared" si="8"/>
        <v>2.2311523715647041E-2</v>
      </c>
      <c r="DI10">
        <f t="shared" si="8"/>
        <v>4.9036953992285248E-3</v>
      </c>
      <c r="DJ10">
        <f t="shared" si="8"/>
        <v>2.0128498008823215E-2</v>
      </c>
      <c r="DK10">
        <f t="shared" si="8"/>
        <v>2.090183479421448E-2</v>
      </c>
      <c r="DL10">
        <f t="shared" si="8"/>
        <v>2.4354300971735299E-2</v>
      </c>
      <c r="DM10">
        <f t="shared" si="8"/>
        <v>3.4936204105989965E-2</v>
      </c>
      <c r="DN10">
        <f t="shared" si="8"/>
        <v>1.3695035662609989E-2</v>
      </c>
      <c r="DO10">
        <f t="shared" si="8"/>
        <v>1.98289082368035E-2</v>
      </c>
      <c r="DP10">
        <f t="shared" si="8"/>
        <v>2.8298711209738592E-2</v>
      </c>
      <c r="DQ10">
        <f t="shared" si="8"/>
        <v>2.2403163577650709E-2</v>
      </c>
      <c r="DR10">
        <f t="shared" si="8"/>
        <v>-3.5068174233935601E-2</v>
      </c>
    </row>
    <row r="11" spans="1:128">
      <c r="B11" t="s">
        <v>1829</v>
      </c>
      <c r="AF11">
        <f>+LN(AF3/AF4)-LN(AE3/AE4)</f>
        <v>-8.5639662815934159E-2</v>
      </c>
      <c r="AG11">
        <f t="shared" ref="AG11:CR11" si="9">+LN(AG3/AG4)-LN(AF3/AF4)</f>
        <v>-0.12812931085185397</v>
      </c>
      <c r="AH11">
        <f t="shared" si="9"/>
        <v>-0.18068169847419036</v>
      </c>
      <c r="AI11">
        <f t="shared" si="9"/>
        <v>2.672960338667707E-4</v>
      </c>
      <c r="AJ11">
        <f t="shared" si="9"/>
        <v>0.17593481749792161</v>
      </c>
      <c r="AK11">
        <f t="shared" si="9"/>
        <v>7.8940712206126307E-2</v>
      </c>
      <c r="AL11">
        <f t="shared" si="9"/>
        <v>0.13071743962698434</v>
      </c>
      <c r="AM11">
        <f t="shared" si="9"/>
        <v>8.7792793566196181E-2</v>
      </c>
      <c r="AN11">
        <f t="shared" si="9"/>
        <v>-9.4010077357184585E-2</v>
      </c>
      <c r="AO11">
        <f t="shared" si="9"/>
        <v>0.10556230266588251</v>
      </c>
      <c r="AP11">
        <f t="shared" si="9"/>
        <v>0.12545127815611679</v>
      </c>
      <c r="AQ11">
        <f t="shared" si="9"/>
        <v>0.19653667929803653</v>
      </c>
      <c r="AR11">
        <f t="shared" si="9"/>
        <v>0.10621625026023906</v>
      </c>
      <c r="AS11">
        <f t="shared" si="9"/>
        <v>7.9991136096614568E-2</v>
      </c>
      <c r="AT11">
        <f t="shared" si="9"/>
        <v>-1.9878163794370352E-2</v>
      </c>
      <c r="AU11">
        <f t="shared" si="9"/>
        <v>-0.10123366293386304</v>
      </c>
      <c r="AV11">
        <f t="shared" si="9"/>
        <v>-1.9045475277364332E-2</v>
      </c>
      <c r="AW11">
        <f t="shared" si="9"/>
        <v>8.9958966713194144E-2</v>
      </c>
      <c r="AX11">
        <f t="shared" si="9"/>
        <v>8.0873144942170683E-2</v>
      </c>
      <c r="AY11">
        <f t="shared" si="9"/>
        <v>-1.3154110025485721E-2</v>
      </c>
      <c r="AZ11">
        <f t="shared" si="9"/>
        <v>0.11341650055970476</v>
      </c>
      <c r="BA11">
        <f t="shared" si="9"/>
        <v>7.0447854733846071E-2</v>
      </c>
      <c r="BB11">
        <f t="shared" si="9"/>
        <v>2.8244160196681634E-2</v>
      </c>
      <c r="BC11">
        <f t="shared" si="9"/>
        <v>5.6979425730720124E-2</v>
      </c>
      <c r="BD11">
        <f t="shared" si="9"/>
        <v>-1.9498018924890559E-2</v>
      </c>
      <c r="BE11">
        <f t="shared" si="9"/>
        <v>0.11525600669513025</v>
      </c>
      <c r="BF11">
        <f t="shared" si="9"/>
        <v>5.0689960639054732E-2</v>
      </c>
      <c r="BG11">
        <f t="shared" si="9"/>
        <v>1.5445672663219057E-2</v>
      </c>
      <c r="BH11">
        <f t="shared" si="9"/>
        <v>-4.2000806686884218E-2</v>
      </c>
      <c r="BI11">
        <f t="shared" si="9"/>
        <v>9.7858264930394512E-2</v>
      </c>
      <c r="BJ11">
        <f t="shared" si="9"/>
        <v>2.6061370460675803E-2</v>
      </c>
      <c r="BK11">
        <f t="shared" si="9"/>
        <v>1.8778409629959469E-2</v>
      </c>
      <c r="BL11">
        <f t="shared" si="9"/>
        <v>7.2848344496634354E-2</v>
      </c>
      <c r="BM11">
        <f t="shared" si="9"/>
        <v>4.9835473289428833E-2</v>
      </c>
      <c r="BN11">
        <f t="shared" si="9"/>
        <v>6.2714039133737742E-2</v>
      </c>
      <c r="BO11">
        <f t="shared" si="9"/>
        <v>7.911024157458435E-2</v>
      </c>
      <c r="BP11">
        <f t="shared" si="9"/>
        <v>6.8071512153901281E-2</v>
      </c>
      <c r="BQ11">
        <f t="shared" si="9"/>
        <v>2.9701162244052171E-2</v>
      </c>
      <c r="BR11">
        <f t="shared" si="9"/>
        <v>6.0316465238946293E-2</v>
      </c>
      <c r="BS11">
        <f t="shared" si="9"/>
        <v>4.1693643342407327E-2</v>
      </c>
      <c r="BT11">
        <f t="shared" si="9"/>
        <v>-9.9901707626113279E-3</v>
      </c>
      <c r="BU11">
        <f t="shared" si="9"/>
        <v>3.5125577702615374E-2</v>
      </c>
      <c r="BV11">
        <f t="shared" si="9"/>
        <v>6.9827341686297117E-2</v>
      </c>
      <c r="BW11">
        <f t="shared" si="9"/>
        <v>6.0115253330717877E-2</v>
      </c>
      <c r="BX11">
        <f t="shared" si="9"/>
        <v>-1.7857698250830722E-2</v>
      </c>
      <c r="BY11">
        <f t="shared" si="9"/>
        <v>1.8675558240364154E-3</v>
      </c>
      <c r="BZ11">
        <f t="shared" si="9"/>
        <v>6.5378474941988785E-2</v>
      </c>
      <c r="CA11">
        <f t="shared" si="9"/>
        <v>6.2335422563986498E-2</v>
      </c>
      <c r="CB11">
        <f t="shared" si="9"/>
        <v>6.5044538377453165E-2</v>
      </c>
      <c r="CC11">
        <f t="shared" si="9"/>
        <v>2.0990471990536719E-2</v>
      </c>
      <c r="CD11">
        <f t="shared" si="9"/>
        <v>-1.7734073206876033E-2</v>
      </c>
      <c r="CE11">
        <f t="shared" si="9"/>
        <v>4.2358361080417239E-2</v>
      </c>
      <c r="CF11">
        <f t="shared" si="9"/>
        <v>-1.1846179894590136E-2</v>
      </c>
      <c r="CG11">
        <f t="shared" si="9"/>
        <v>3.1801035693154844E-2</v>
      </c>
      <c r="CH11">
        <f t="shared" si="9"/>
        <v>7.6922606629471701E-2</v>
      </c>
      <c r="CI11">
        <f t="shared" si="9"/>
        <v>3.1955879923524222E-2</v>
      </c>
      <c r="CJ11">
        <f t="shared" si="9"/>
        <v>1.8140447267779081E-2</v>
      </c>
      <c r="CK11">
        <f t="shared" si="9"/>
        <v>3.6835758417833375E-2</v>
      </c>
      <c r="CL11">
        <f t="shared" si="9"/>
        <v>4.3672830570379517E-2</v>
      </c>
      <c r="CM11">
        <f t="shared" si="9"/>
        <v>1.2234482305339967E-2</v>
      </c>
      <c r="CN11">
        <f t="shared" si="9"/>
        <v>4.0947867429608209E-4</v>
      </c>
      <c r="CO11">
        <f t="shared" si="9"/>
        <v>-8.0115104252485025E-3</v>
      </c>
      <c r="CP11">
        <f t="shared" si="9"/>
        <v>2.5151231816728625E-2</v>
      </c>
      <c r="CQ11">
        <f t="shared" si="9"/>
        <v>2.1475795406852072E-2</v>
      </c>
      <c r="CR11">
        <f t="shared" si="9"/>
        <v>5.1034360470806561E-2</v>
      </c>
      <c r="CS11">
        <f t="shared" ref="CS11:DR11" si="10">+LN(CS3/CS4)-LN(CR3/CR4)</f>
        <v>4.0002566995081423E-2</v>
      </c>
      <c r="CT11">
        <f t="shared" si="10"/>
        <v>4.2893848351607033E-2</v>
      </c>
      <c r="CU11">
        <f t="shared" si="10"/>
        <v>5.8028753287105772E-2</v>
      </c>
      <c r="CV11">
        <f t="shared" si="10"/>
        <v>5.450228318903072E-2</v>
      </c>
      <c r="CW11">
        <f t="shared" si="10"/>
        <v>4.3657088344421169E-2</v>
      </c>
      <c r="CX11">
        <f t="shared" si="10"/>
        <v>4.3967197263736324E-2</v>
      </c>
      <c r="CY11">
        <f t="shared" si="10"/>
        <v>-2.2039653167812645E-2</v>
      </c>
      <c r="CZ11">
        <f t="shared" si="10"/>
        <v>2.3021490670451783E-3</v>
      </c>
      <c r="DA11">
        <f t="shared" si="10"/>
        <v>1.4521477642214009E-2</v>
      </c>
      <c r="DB11">
        <f t="shared" si="10"/>
        <v>4.0034468419957392E-2</v>
      </c>
      <c r="DC11">
        <f t="shared" si="10"/>
        <v>4.4373204924726295E-2</v>
      </c>
      <c r="DD11">
        <f t="shared" si="10"/>
        <v>4.2366085176315238E-2</v>
      </c>
      <c r="DE11">
        <f t="shared" si="10"/>
        <v>-4.3951021170496318E-3</v>
      </c>
      <c r="DF11">
        <f t="shared" si="10"/>
        <v>-4.0259266977550112E-2</v>
      </c>
      <c r="DG11">
        <f t="shared" si="10"/>
        <v>-3.3808127302762614E-2</v>
      </c>
      <c r="DH11">
        <f t="shared" si="10"/>
        <v>3.4535069476723024E-2</v>
      </c>
      <c r="DI11">
        <f t="shared" si="10"/>
        <v>2.0815399051910433E-2</v>
      </c>
      <c r="DJ11">
        <f t="shared" si="10"/>
        <v>4.3467091092457721E-2</v>
      </c>
      <c r="DK11">
        <f t="shared" si="10"/>
        <v>1.727144979463624E-2</v>
      </c>
      <c r="DL11">
        <f t="shared" si="10"/>
        <v>4.6583251993050467E-2</v>
      </c>
      <c r="DM11">
        <f t="shared" si="10"/>
        <v>4.1319494061108131E-2</v>
      </c>
      <c r="DN11">
        <f t="shared" si="10"/>
        <v>8.3346094811336258E-3</v>
      </c>
      <c r="DO11">
        <f t="shared" si="10"/>
        <v>2.3794817625912401E-2</v>
      </c>
      <c r="DP11">
        <f t="shared" si="10"/>
        <v>3.7639778389102929E-2</v>
      </c>
      <c r="DQ11">
        <f t="shared" si="10"/>
        <v>3.0227444169838691E-2</v>
      </c>
      <c r="DR11">
        <f t="shared" si="10"/>
        <v>-3.0541823300788806E-2</v>
      </c>
    </row>
    <row r="16" spans="1:128">
      <c r="L16">
        <f>+L9</f>
        <v>1910</v>
      </c>
      <c r="M16">
        <f t="shared" ref="M16:BX16" si="11">+M9</f>
        <v>1911</v>
      </c>
      <c r="N16">
        <f t="shared" si="11"/>
        <v>1912</v>
      </c>
      <c r="O16">
        <f t="shared" si="11"/>
        <v>1913</v>
      </c>
      <c r="P16">
        <f t="shared" si="11"/>
        <v>1914</v>
      </c>
      <c r="Q16">
        <f t="shared" si="11"/>
        <v>1915</v>
      </c>
      <c r="R16">
        <f t="shared" si="11"/>
        <v>1916</v>
      </c>
      <c r="S16">
        <f t="shared" si="11"/>
        <v>1917</v>
      </c>
      <c r="T16">
        <f t="shared" si="11"/>
        <v>1918</v>
      </c>
      <c r="U16">
        <f t="shared" si="11"/>
        <v>1919</v>
      </c>
      <c r="V16">
        <f t="shared" si="11"/>
        <v>1920</v>
      </c>
      <c r="W16">
        <f t="shared" si="11"/>
        <v>1921</v>
      </c>
      <c r="X16">
        <f t="shared" si="11"/>
        <v>1922</v>
      </c>
      <c r="Y16">
        <f t="shared" si="11"/>
        <v>1923</v>
      </c>
      <c r="Z16">
        <f t="shared" si="11"/>
        <v>1924</v>
      </c>
      <c r="AA16">
        <f t="shared" si="11"/>
        <v>1925</v>
      </c>
      <c r="AB16">
        <f t="shared" si="11"/>
        <v>1926</v>
      </c>
      <c r="AC16">
        <f t="shared" si="11"/>
        <v>1927</v>
      </c>
      <c r="AD16">
        <f t="shared" si="11"/>
        <v>1928</v>
      </c>
      <c r="AE16">
        <f t="shared" si="11"/>
        <v>1929</v>
      </c>
      <c r="AF16">
        <f t="shared" si="11"/>
        <v>1930</v>
      </c>
      <c r="AG16">
        <f t="shared" si="11"/>
        <v>1931</v>
      </c>
      <c r="AH16">
        <f t="shared" si="11"/>
        <v>1932</v>
      </c>
      <c r="AI16">
        <f t="shared" si="11"/>
        <v>1933</v>
      </c>
      <c r="AJ16">
        <f t="shared" si="11"/>
        <v>1934</v>
      </c>
      <c r="AK16">
        <f t="shared" si="11"/>
        <v>1935</v>
      </c>
      <c r="AL16">
        <f t="shared" si="11"/>
        <v>1936</v>
      </c>
      <c r="AM16">
        <f t="shared" si="11"/>
        <v>1937</v>
      </c>
      <c r="AN16">
        <f t="shared" si="11"/>
        <v>1938</v>
      </c>
      <c r="AO16">
        <f t="shared" si="11"/>
        <v>1939</v>
      </c>
      <c r="AP16">
        <f t="shared" si="11"/>
        <v>1940</v>
      </c>
      <c r="AQ16">
        <f t="shared" si="11"/>
        <v>1941</v>
      </c>
      <c r="AR16">
        <f t="shared" si="11"/>
        <v>1942</v>
      </c>
      <c r="AS16">
        <f t="shared" si="11"/>
        <v>1943</v>
      </c>
      <c r="AT16">
        <f t="shared" si="11"/>
        <v>1944</v>
      </c>
      <c r="AU16">
        <f t="shared" si="11"/>
        <v>1945</v>
      </c>
      <c r="AV16">
        <f t="shared" si="11"/>
        <v>1946</v>
      </c>
      <c r="AW16">
        <f t="shared" si="11"/>
        <v>1947</v>
      </c>
      <c r="AX16">
        <f t="shared" si="11"/>
        <v>1948</v>
      </c>
      <c r="AY16">
        <f t="shared" si="11"/>
        <v>1949</v>
      </c>
      <c r="AZ16">
        <f t="shared" si="11"/>
        <v>1950</v>
      </c>
      <c r="BA16">
        <f t="shared" si="11"/>
        <v>1951</v>
      </c>
      <c r="BB16">
        <f t="shared" si="11"/>
        <v>1952</v>
      </c>
      <c r="BC16">
        <f t="shared" si="11"/>
        <v>1953</v>
      </c>
      <c r="BD16">
        <f t="shared" si="11"/>
        <v>1954</v>
      </c>
      <c r="BE16">
        <f t="shared" si="11"/>
        <v>1955</v>
      </c>
      <c r="BF16">
        <f t="shared" si="11"/>
        <v>1956</v>
      </c>
      <c r="BG16">
        <f t="shared" si="11"/>
        <v>1957</v>
      </c>
      <c r="BH16">
        <f t="shared" si="11"/>
        <v>1958</v>
      </c>
      <c r="BI16">
        <f t="shared" si="11"/>
        <v>1959</v>
      </c>
      <c r="BJ16">
        <f t="shared" si="11"/>
        <v>1960</v>
      </c>
      <c r="BK16">
        <f t="shared" si="11"/>
        <v>1961</v>
      </c>
      <c r="BL16">
        <f t="shared" si="11"/>
        <v>1962</v>
      </c>
      <c r="BM16">
        <f t="shared" si="11"/>
        <v>1963</v>
      </c>
      <c r="BN16">
        <f t="shared" si="11"/>
        <v>1964</v>
      </c>
      <c r="BO16">
        <f t="shared" si="11"/>
        <v>1965</v>
      </c>
      <c r="BP16">
        <f t="shared" si="11"/>
        <v>1966</v>
      </c>
      <c r="BQ16">
        <f t="shared" si="11"/>
        <v>1967</v>
      </c>
      <c r="BR16">
        <f t="shared" si="11"/>
        <v>1968</v>
      </c>
      <c r="BS16">
        <f t="shared" si="11"/>
        <v>1969</v>
      </c>
      <c r="BT16">
        <f t="shared" si="11"/>
        <v>1970</v>
      </c>
      <c r="BU16">
        <f t="shared" si="11"/>
        <v>1971</v>
      </c>
      <c r="BV16">
        <f t="shared" si="11"/>
        <v>1972</v>
      </c>
      <c r="BW16">
        <f t="shared" si="11"/>
        <v>1973</v>
      </c>
      <c r="BX16">
        <f t="shared" si="11"/>
        <v>1974</v>
      </c>
      <c r="BY16">
        <f t="shared" ref="BY16:DW16" si="12">+BY9</f>
        <v>1975</v>
      </c>
      <c r="BZ16">
        <f t="shared" si="12"/>
        <v>1976</v>
      </c>
      <c r="CA16">
        <f t="shared" si="12"/>
        <v>1977</v>
      </c>
      <c r="CB16">
        <f t="shared" si="12"/>
        <v>1978</v>
      </c>
      <c r="CC16">
        <f t="shared" si="12"/>
        <v>1979</v>
      </c>
      <c r="CD16">
        <f t="shared" si="12"/>
        <v>1980</v>
      </c>
      <c r="CE16">
        <f t="shared" si="12"/>
        <v>1981</v>
      </c>
      <c r="CF16">
        <f t="shared" si="12"/>
        <v>1982</v>
      </c>
      <c r="CG16">
        <f t="shared" si="12"/>
        <v>1983</v>
      </c>
      <c r="CH16">
        <f t="shared" si="12"/>
        <v>1984</v>
      </c>
      <c r="CI16">
        <f t="shared" si="12"/>
        <v>1985</v>
      </c>
      <c r="CJ16">
        <f t="shared" si="12"/>
        <v>1986</v>
      </c>
      <c r="CK16">
        <f t="shared" si="12"/>
        <v>1987</v>
      </c>
      <c r="CL16">
        <f t="shared" si="12"/>
        <v>1988</v>
      </c>
      <c r="CM16">
        <f t="shared" si="12"/>
        <v>1989</v>
      </c>
      <c r="CN16">
        <f t="shared" si="12"/>
        <v>1990</v>
      </c>
      <c r="CO16">
        <f t="shared" si="12"/>
        <v>1991</v>
      </c>
      <c r="CP16">
        <f t="shared" si="12"/>
        <v>1992</v>
      </c>
      <c r="CQ16">
        <f t="shared" si="12"/>
        <v>1993</v>
      </c>
      <c r="CR16">
        <f t="shared" si="12"/>
        <v>1994</v>
      </c>
      <c r="CS16">
        <f t="shared" si="12"/>
        <v>1995</v>
      </c>
      <c r="CT16">
        <f t="shared" si="12"/>
        <v>1996</v>
      </c>
      <c r="CU16">
        <f t="shared" si="12"/>
        <v>1997</v>
      </c>
      <c r="CV16">
        <f t="shared" si="12"/>
        <v>1998</v>
      </c>
      <c r="CW16">
        <f t="shared" si="12"/>
        <v>1999</v>
      </c>
      <c r="CX16">
        <f t="shared" si="12"/>
        <v>2000</v>
      </c>
      <c r="CY16">
        <f t="shared" si="12"/>
        <v>2001</v>
      </c>
      <c r="CZ16">
        <f t="shared" si="12"/>
        <v>2002</v>
      </c>
      <c r="DA16">
        <f t="shared" si="12"/>
        <v>2003</v>
      </c>
      <c r="DB16">
        <f t="shared" si="12"/>
        <v>2004</v>
      </c>
      <c r="DC16">
        <f t="shared" si="12"/>
        <v>2005</v>
      </c>
      <c r="DD16">
        <f t="shared" si="12"/>
        <v>2006</v>
      </c>
      <c r="DE16">
        <f t="shared" si="12"/>
        <v>2007</v>
      </c>
      <c r="DF16">
        <f t="shared" si="12"/>
        <v>2008</v>
      </c>
      <c r="DG16">
        <f t="shared" si="12"/>
        <v>2009</v>
      </c>
      <c r="DH16">
        <f t="shared" si="12"/>
        <v>2010</v>
      </c>
      <c r="DI16">
        <f t="shared" si="12"/>
        <v>2011</v>
      </c>
      <c r="DJ16">
        <f t="shared" si="12"/>
        <v>2012</v>
      </c>
      <c r="DK16">
        <f t="shared" si="12"/>
        <v>2013</v>
      </c>
      <c r="DL16">
        <f t="shared" si="12"/>
        <v>2014</v>
      </c>
      <c r="DM16">
        <f t="shared" si="12"/>
        <v>2015</v>
      </c>
      <c r="DN16">
        <f t="shared" si="12"/>
        <v>2016</v>
      </c>
      <c r="DO16">
        <f t="shared" si="12"/>
        <v>2017</v>
      </c>
      <c r="DP16">
        <f t="shared" si="12"/>
        <v>2018</v>
      </c>
      <c r="DQ16">
        <f t="shared" si="12"/>
        <v>2019</v>
      </c>
      <c r="DR16">
        <f t="shared" si="12"/>
        <v>2020</v>
      </c>
      <c r="DS16">
        <f>+DS9</f>
        <v>2021</v>
      </c>
      <c r="DT16">
        <f t="shared" si="12"/>
        <v>2022</v>
      </c>
      <c r="DU16">
        <f t="shared" si="12"/>
        <v>2023</v>
      </c>
      <c r="DV16">
        <f t="shared" si="12"/>
        <v>2024</v>
      </c>
      <c r="DW16">
        <f t="shared" si="12"/>
        <v>2025</v>
      </c>
    </row>
    <row r="17" spans="11:127">
      <c r="K17" t="s">
        <v>1833</v>
      </c>
      <c r="L17">
        <f>+AVERAGE(C10:L10)</f>
        <v>3.6452747463780556E-2</v>
      </c>
      <c r="M17">
        <f t="shared" ref="M17:BX17" si="13">+AVERAGE(D10:M10)</f>
        <v>3.2202659963804073E-2</v>
      </c>
      <c r="N17">
        <f t="shared" si="13"/>
        <v>3.1314973858922832E-2</v>
      </c>
      <c r="O17">
        <f t="shared" si="13"/>
        <v>2.9610892635085827E-2</v>
      </c>
      <c r="P17">
        <f t="shared" si="13"/>
        <v>2.3470729362718323E-2</v>
      </c>
      <c r="Q17">
        <f t="shared" si="13"/>
        <v>1.5959561343969787E-2</v>
      </c>
      <c r="R17">
        <f t="shared" si="13"/>
        <v>2.7638640652852663E-2</v>
      </c>
      <c r="S17">
        <f t="shared" si="13"/>
        <v>2.5875592815366978E-2</v>
      </c>
      <c r="T17">
        <f t="shared" si="13"/>
        <v>4.3127314305439327E-2</v>
      </c>
      <c r="U17">
        <f t="shared" si="13"/>
        <v>2.4216157388198333E-2</v>
      </c>
      <c r="V17">
        <f t="shared" si="13"/>
        <v>2.2640860460124656E-2</v>
      </c>
      <c r="W17">
        <f t="shared" si="13"/>
        <v>1.2708584843227655E-2</v>
      </c>
      <c r="X17">
        <f t="shared" si="13"/>
        <v>1.2934820613304731E-2</v>
      </c>
      <c r="Y17">
        <f t="shared" si="13"/>
        <v>2.338362503619671E-2</v>
      </c>
      <c r="Z17">
        <f t="shared" si="13"/>
        <v>3.320687822426991E-2</v>
      </c>
      <c r="AA17">
        <f t="shared" si="13"/>
        <v>3.0132432417286248E-2</v>
      </c>
      <c r="AB17">
        <f t="shared" si="13"/>
        <v>1.846311979921882E-2</v>
      </c>
      <c r="AC17">
        <f t="shared" si="13"/>
        <v>1.6319838465290282E-2</v>
      </c>
      <c r="AD17">
        <f t="shared" si="13"/>
        <v>1.2552499634968073E-2</v>
      </c>
      <c r="AE17">
        <f t="shared" si="13"/>
        <v>2.9076440650094314E-2</v>
      </c>
      <c r="AF17">
        <f t="shared" si="13"/>
        <v>2.124531493506383E-2</v>
      </c>
      <c r="AG17">
        <f t="shared" si="13"/>
        <v>2.0407642048273545E-2</v>
      </c>
      <c r="AH17">
        <f t="shared" si="13"/>
        <v>-1.562615203661788E-3</v>
      </c>
      <c r="AI17">
        <f t="shared" si="13"/>
        <v>-1.3723243070743218E-2</v>
      </c>
      <c r="AJ17">
        <f t="shared" si="13"/>
        <v>-2.9375197529731834E-3</v>
      </c>
      <c r="AK17">
        <f t="shared" si="13"/>
        <v>3.6340166470239634E-3</v>
      </c>
      <c r="AL17">
        <f t="shared" si="13"/>
        <v>9.8531733034274531E-3</v>
      </c>
      <c r="AM17">
        <f t="shared" si="13"/>
        <v>1.5268313568066105E-2</v>
      </c>
      <c r="AN17">
        <f t="shared" si="13"/>
        <v>7.477470827680288E-3</v>
      </c>
      <c r="AO17">
        <f t="shared" si="13"/>
        <v>9.4754222734937613E-3</v>
      </c>
      <c r="AP17">
        <f t="shared" si="13"/>
        <v>2.8657311747966818E-2</v>
      </c>
      <c r="AQ17">
        <f t="shared" si="13"/>
        <v>5.4678232822646347E-2</v>
      </c>
      <c r="AR17">
        <f t="shared" si="13"/>
        <v>8.5158332282672708E-2</v>
      </c>
      <c r="AS17">
        <f t="shared" si="13"/>
        <v>9.8211316347164263E-2</v>
      </c>
      <c r="AT17">
        <f t="shared" si="13"/>
        <v>9.3929232350298264E-2</v>
      </c>
      <c r="AU17">
        <f t="shared" si="13"/>
        <v>8.4908384696063793E-2</v>
      </c>
      <c r="AV17">
        <f t="shared" si="13"/>
        <v>6.481291934590469E-2</v>
      </c>
      <c r="AW17">
        <f t="shared" si="13"/>
        <v>5.4993351442328378E-2</v>
      </c>
      <c r="AX17">
        <f t="shared" si="13"/>
        <v>6.125554911112574E-2</v>
      </c>
      <c r="AY17">
        <f t="shared" si="13"/>
        <v>5.3349665653202295E-2</v>
      </c>
      <c r="AZ17">
        <f t="shared" si="13"/>
        <v>5.2927945720720793E-2</v>
      </c>
      <c r="BA17">
        <f t="shared" si="13"/>
        <v>4.1906816741408594E-2</v>
      </c>
      <c r="BB17">
        <f t="shared" si="13"/>
        <v>3.0751881534517311E-2</v>
      </c>
      <c r="BC17">
        <f t="shared" si="13"/>
        <v>2.1542583866461618E-2</v>
      </c>
      <c r="BD17">
        <f t="shared" si="13"/>
        <v>1.3240744289830086E-2</v>
      </c>
      <c r="BE17">
        <f t="shared" si="13"/>
        <v>2.2738129027109012E-2</v>
      </c>
      <c r="BF17">
        <f t="shared" si="13"/>
        <v>3.4945827915920227E-2</v>
      </c>
      <c r="BG17">
        <f t="shared" si="13"/>
        <v>4.1112760120866419E-2</v>
      </c>
      <c r="BH17">
        <f t="shared" si="13"/>
        <v>3.7825747581310722E-2</v>
      </c>
      <c r="BI17">
        <f t="shared" si="13"/>
        <v>4.4707341387558275E-2</v>
      </c>
      <c r="BJ17">
        <f t="shared" si="13"/>
        <v>3.8615204450079862E-2</v>
      </c>
      <c r="BK17">
        <f t="shared" si="13"/>
        <v>3.4195468542841168E-2</v>
      </c>
      <c r="BL17">
        <f t="shared" si="13"/>
        <v>3.6720374859265714E-2</v>
      </c>
      <c r="BM17">
        <f t="shared" si="13"/>
        <v>3.5846866952888592E-2</v>
      </c>
      <c r="BN17">
        <f t="shared" si="13"/>
        <v>4.166780891098245E-2</v>
      </c>
      <c r="BO17">
        <f t="shared" si="13"/>
        <v>3.9388520275169772E-2</v>
      </c>
      <c r="BP17">
        <f t="shared" si="13"/>
        <v>4.1596909083253572E-2</v>
      </c>
      <c r="BQ17">
        <f t="shared" si="13"/>
        <v>4.2403079698416633E-2</v>
      </c>
      <c r="BR17">
        <f t="shared" si="13"/>
        <v>4.8402921460271434E-2</v>
      </c>
      <c r="BS17">
        <f t="shared" si="13"/>
        <v>4.3834479367420263E-2</v>
      </c>
      <c r="BT17">
        <f t="shared" si="13"/>
        <v>4.102994609045809E-2</v>
      </c>
      <c r="BU17">
        <f t="shared" si="13"/>
        <v>4.2549601018991766E-2</v>
      </c>
      <c r="BV17">
        <f t="shared" si="13"/>
        <v>4.2698709743468524E-2</v>
      </c>
      <c r="BW17">
        <f t="shared" si="13"/>
        <v>4.3299987286646413E-2</v>
      </c>
      <c r="BX17">
        <f t="shared" si="13"/>
        <v>3.5126716184923447E-2</v>
      </c>
      <c r="BY17">
        <f t="shared" ref="BY17:DR17" si="14">+AVERAGE(BP10:BY10)</f>
        <v>2.8487378186145485E-2</v>
      </c>
      <c r="BZ17">
        <f t="shared" si="14"/>
        <v>2.7273769900675982E-2</v>
      </c>
      <c r="CA17">
        <f t="shared" si="14"/>
        <v>2.8735435530527285E-2</v>
      </c>
      <c r="CB17">
        <f t="shared" si="14"/>
        <v>2.8755818291141998E-2</v>
      </c>
      <c r="CC17">
        <f t="shared" si="14"/>
        <v>2.8213528961252399E-2</v>
      </c>
      <c r="CD17">
        <f t="shared" si="14"/>
        <v>2.6378948994714956E-2</v>
      </c>
      <c r="CE17">
        <f t="shared" si="14"/>
        <v>2.4858531278716355E-2</v>
      </c>
      <c r="CF17">
        <f t="shared" si="14"/>
        <v>1.7033892880088653E-2</v>
      </c>
      <c r="CG17">
        <f t="shared" si="14"/>
        <v>1.6418945644316542E-2</v>
      </c>
      <c r="CH17">
        <f t="shared" si="14"/>
        <v>2.5244290310408823E-2</v>
      </c>
      <c r="CI17">
        <f t="shared" si="14"/>
        <v>2.9162094823272033E-2</v>
      </c>
      <c r="CJ17">
        <f t="shared" si="14"/>
        <v>2.7834035839765247E-2</v>
      </c>
      <c r="CK17">
        <f t="shared" si="14"/>
        <v>2.6015771440521095E-2</v>
      </c>
      <c r="CL17">
        <f t="shared" si="14"/>
        <v>2.5193745173839634E-2</v>
      </c>
      <c r="CM17">
        <f t="shared" si="14"/>
        <v>2.6339272487557252E-2</v>
      </c>
      <c r="CN17">
        <f t="shared" si="14"/>
        <v>2.9293061150611744E-2</v>
      </c>
      <c r="CO17">
        <f t="shared" si="14"/>
        <v>2.6411941451682262E-2</v>
      </c>
      <c r="CP17">
        <f t="shared" si="14"/>
        <v>3.1358865024661717E-2</v>
      </c>
      <c r="CQ17">
        <f t="shared" si="14"/>
        <v>2.97845082174935E-2</v>
      </c>
      <c r="CR17">
        <f t="shared" si="14"/>
        <v>2.7326613711399349E-2</v>
      </c>
      <c r="CS17">
        <f t="shared" si="14"/>
        <v>2.584717592502641E-2</v>
      </c>
      <c r="CT17">
        <f t="shared" si="14"/>
        <v>2.5073532153636835E-2</v>
      </c>
      <c r="CU17">
        <f t="shared" si="14"/>
        <v>2.653445003807766E-2</v>
      </c>
      <c r="CV17">
        <f t="shared" si="14"/>
        <v>2.6682328343506347E-2</v>
      </c>
      <c r="CW17">
        <f t="shared" si="14"/>
        <v>2.748478074634244E-2</v>
      </c>
      <c r="CX17">
        <f t="shared" si="14"/>
        <v>2.9654510196614581E-2</v>
      </c>
      <c r="CY17">
        <f t="shared" si="14"/>
        <v>3.0380348940881419E-2</v>
      </c>
      <c r="CZ17">
        <f t="shared" si="14"/>
        <v>2.8785749492011979E-2</v>
      </c>
      <c r="DA17">
        <f t="shared" si="14"/>
        <v>2.8685837717154428E-2</v>
      </c>
      <c r="DB17">
        <f t="shared" si="14"/>
        <v>2.8452708347956081E-2</v>
      </c>
      <c r="DC17">
        <f t="shared" si="14"/>
        <v>2.928945801385625E-2</v>
      </c>
      <c r="DD17">
        <f t="shared" si="14"/>
        <v>2.8993878348841661E-2</v>
      </c>
      <c r="DE17">
        <f t="shared" si="14"/>
        <v>2.6932193985603002E-2</v>
      </c>
      <c r="DF17">
        <f t="shared" si="14"/>
        <v>2.1027361369965546E-2</v>
      </c>
      <c r="DG17">
        <f t="shared" si="14"/>
        <v>1.5404619950912312E-2</v>
      </c>
      <c r="DH17">
        <f t="shared" si="14"/>
        <v>1.4736022048503283E-2</v>
      </c>
      <c r="DI17">
        <f t="shared" si="14"/>
        <v>1.4856620203637405E-2</v>
      </c>
      <c r="DJ17">
        <f t="shared" si="14"/>
        <v>1.520509574860034E-2</v>
      </c>
      <c r="DK17">
        <f t="shared" si="14"/>
        <v>1.4828052782148226E-2</v>
      </c>
      <c r="DL17">
        <f t="shared" si="14"/>
        <v>1.3500579605185515E-2</v>
      </c>
      <c r="DM17">
        <f t="shared" si="14"/>
        <v>1.3813937995440196E-2</v>
      </c>
      <c r="DN17">
        <f t="shared" si="14"/>
        <v>1.25897410901195E-2</v>
      </c>
      <c r="DO17">
        <f t="shared" si="14"/>
        <v>1.2712149202203626E-2</v>
      </c>
      <c r="DP17">
        <f t="shared" si="14"/>
        <v>1.7288832127145957E-2</v>
      </c>
      <c r="DQ17">
        <f t="shared" si="14"/>
        <v>2.1176187568244131E-2</v>
      </c>
      <c r="DR17">
        <f t="shared" si="14"/>
        <v>1.5438217773285867E-2</v>
      </c>
    </row>
    <row r="18" spans="11:127">
      <c r="K18" t="s">
        <v>1832</v>
      </c>
      <c r="AG18">
        <f t="shared" ref="AG18:BX18" si="15">+AVERAGE(X11:AG11)</f>
        <v>-0.10688448683389407</v>
      </c>
      <c r="AH18">
        <f t="shared" si="15"/>
        <v>-0.1314835573806595</v>
      </c>
      <c r="AI18">
        <f t="shared" si="15"/>
        <v>-9.8545844027027929E-2</v>
      </c>
      <c r="AJ18">
        <f t="shared" si="15"/>
        <v>-4.364971172203802E-2</v>
      </c>
      <c r="AK18">
        <f t="shared" si="15"/>
        <v>-2.3217974400677299E-2</v>
      </c>
      <c r="AL18">
        <f t="shared" si="15"/>
        <v>-1.2272009681542073E-3</v>
      </c>
      <c r="AM18">
        <f t="shared" si="15"/>
        <v>9.9002983486395912E-3</v>
      </c>
      <c r="AN18">
        <f t="shared" si="15"/>
        <v>-1.6452989520075395E-3</v>
      </c>
      <c r="AO18">
        <f t="shared" si="15"/>
        <v>9.0754612097814664E-3</v>
      </c>
      <c r="AP18">
        <f t="shared" si="15"/>
        <v>3.018455530698656E-2</v>
      </c>
      <c r="AQ18">
        <f t="shared" si="15"/>
        <v>6.2651154321975613E-2</v>
      </c>
      <c r="AR18">
        <f t="shared" si="15"/>
        <v>9.1340949195418547E-2</v>
      </c>
      <c r="AS18">
        <f t="shared" si="15"/>
        <v>9.9313333201693332E-2</v>
      </c>
      <c r="AT18">
        <f t="shared" si="15"/>
        <v>7.9732035072464139E-2</v>
      </c>
      <c r="AU18">
        <f t="shared" si="15"/>
        <v>6.1714597558465201E-2</v>
      </c>
      <c r="AV18">
        <f t="shared" si="15"/>
        <v>4.6738306068030332E-2</v>
      </c>
      <c r="AW18">
        <f t="shared" si="15"/>
        <v>4.6954923382730128E-2</v>
      </c>
      <c r="AX18">
        <f t="shared" si="15"/>
        <v>6.4443245612665651E-2</v>
      </c>
      <c r="AY18">
        <f t="shared" si="15"/>
        <v>5.2571604343528831E-2</v>
      </c>
      <c r="AZ18">
        <f t="shared" si="15"/>
        <v>5.1368126583887633E-2</v>
      </c>
      <c r="BA18">
        <f t="shared" si="15"/>
        <v>3.8759244127468583E-2</v>
      </c>
      <c r="BB18">
        <f t="shared" si="15"/>
        <v>3.0962035121112841E-2</v>
      </c>
      <c r="BC18">
        <f t="shared" si="15"/>
        <v>2.8660864084523396E-2</v>
      </c>
      <c r="BD18">
        <f t="shared" si="15"/>
        <v>2.8698878571471374E-2</v>
      </c>
      <c r="BE18">
        <f t="shared" si="15"/>
        <v>5.0347845534370703E-2</v>
      </c>
      <c r="BF18">
        <f t="shared" si="15"/>
        <v>5.732138912601261E-2</v>
      </c>
      <c r="BG18">
        <f t="shared" si="15"/>
        <v>4.9870059721015103E-2</v>
      </c>
      <c r="BH18">
        <f t="shared" si="15"/>
        <v>3.7582664558109616E-2</v>
      </c>
      <c r="BI18">
        <f t="shared" si="15"/>
        <v>4.8683902053697638E-2</v>
      </c>
      <c r="BJ18">
        <f t="shared" si="15"/>
        <v>3.9948389043794739E-2</v>
      </c>
      <c r="BK18">
        <f t="shared" si="15"/>
        <v>3.4781444533406078E-2</v>
      </c>
      <c r="BL18">
        <f t="shared" si="15"/>
        <v>3.9241862963401354E-2</v>
      </c>
      <c r="BM18">
        <f t="shared" si="15"/>
        <v>3.8527467719272221E-2</v>
      </c>
      <c r="BN18">
        <f t="shared" si="15"/>
        <v>4.6748673525135051E-2</v>
      </c>
      <c r="BO18">
        <f t="shared" si="15"/>
        <v>4.3134097013080464E-2</v>
      </c>
      <c r="BP18">
        <f t="shared" si="15"/>
        <v>4.487225216456512E-2</v>
      </c>
      <c r="BQ18">
        <f t="shared" si="15"/>
        <v>4.6297801122648433E-2</v>
      </c>
      <c r="BR18">
        <f t="shared" si="15"/>
        <v>5.6529528315231482E-2</v>
      </c>
      <c r="BS18">
        <f t="shared" si="15"/>
        <v>5.0913066156432762E-2</v>
      </c>
      <c r="BT18">
        <f t="shared" si="15"/>
        <v>4.7307912034104047E-2</v>
      </c>
      <c r="BU18">
        <f t="shared" si="15"/>
        <v>4.8942628841369643E-2</v>
      </c>
      <c r="BV18">
        <f t="shared" si="15"/>
        <v>4.8640528560335919E-2</v>
      </c>
      <c r="BW18">
        <f t="shared" si="15"/>
        <v>4.9668506564464823E-2</v>
      </c>
      <c r="BX18">
        <f t="shared" si="15"/>
        <v>4.1611332826007971E-2</v>
      </c>
      <c r="BY18">
        <f t="shared" ref="BY18:DW18" si="16">+AVERAGE(BP11:BY11)</f>
        <v>3.3887064250953183E-2</v>
      </c>
      <c r="BZ18">
        <f t="shared" si="16"/>
        <v>3.3617760529761932E-2</v>
      </c>
      <c r="CA18">
        <f t="shared" si="16"/>
        <v>3.6881186561755361E-2</v>
      </c>
      <c r="CB18">
        <f t="shared" si="16"/>
        <v>3.7353993875606048E-2</v>
      </c>
      <c r="CC18">
        <f t="shared" si="16"/>
        <v>3.528367674041899E-2</v>
      </c>
      <c r="CD18">
        <f t="shared" si="16"/>
        <v>3.4509286495992518E-2</v>
      </c>
      <c r="CE18">
        <f t="shared" si="16"/>
        <v>3.5232564833772705E-2</v>
      </c>
      <c r="CF18">
        <f t="shared" si="16"/>
        <v>2.7065212675683979E-2</v>
      </c>
      <c r="CG18">
        <f t="shared" si="16"/>
        <v>2.4233790911927677E-2</v>
      </c>
      <c r="CH18">
        <f t="shared" si="16"/>
        <v>3.3711821399957917E-2</v>
      </c>
      <c r="CI18">
        <f t="shared" si="16"/>
        <v>3.6720653809906703E-2</v>
      </c>
      <c r="CJ18">
        <f t="shared" si="16"/>
        <v>3.199685104248573E-2</v>
      </c>
      <c r="CK18">
        <f t="shared" si="16"/>
        <v>2.9446884627870418E-2</v>
      </c>
      <c r="CL18">
        <f t="shared" si="16"/>
        <v>2.7309713847163054E-2</v>
      </c>
      <c r="CM18">
        <f t="shared" si="16"/>
        <v>2.6434114878643378E-2</v>
      </c>
      <c r="CN18">
        <f t="shared" si="16"/>
        <v>2.8248470066760588E-2</v>
      </c>
      <c r="CO18">
        <f t="shared" si="16"/>
        <v>2.3211482916194015E-2</v>
      </c>
      <c r="CP18">
        <f t="shared" si="16"/>
        <v>2.6911224087325891E-2</v>
      </c>
      <c r="CQ18">
        <f t="shared" si="16"/>
        <v>2.5878700058695615E-2</v>
      </c>
      <c r="CR18">
        <f t="shared" si="16"/>
        <v>2.3289875442829101E-2</v>
      </c>
      <c r="CS18">
        <f t="shared" si="16"/>
        <v>2.4094544149984819E-2</v>
      </c>
      <c r="CT18">
        <f t="shared" si="16"/>
        <v>2.6569884258367614E-2</v>
      </c>
      <c r="CU18">
        <f t="shared" si="16"/>
        <v>2.8689183745294854E-2</v>
      </c>
      <c r="CV18">
        <f t="shared" si="16"/>
        <v>2.9772129007159975E-2</v>
      </c>
      <c r="CW18">
        <f t="shared" si="16"/>
        <v>3.2914389611068094E-2</v>
      </c>
      <c r="CX18">
        <f t="shared" si="16"/>
        <v>3.7270161470012123E-2</v>
      </c>
      <c r="CY18">
        <f t="shared" si="16"/>
        <v>3.5867347195755704E-2</v>
      </c>
      <c r="CZ18">
        <f t="shared" si="16"/>
        <v>3.3582438920787362E-2</v>
      </c>
      <c r="DA18">
        <f t="shared" si="16"/>
        <v>3.2887007144323556E-2</v>
      </c>
      <c r="DB18">
        <f t="shared" si="16"/>
        <v>3.1787017939238639E-2</v>
      </c>
      <c r="DC18">
        <f t="shared" si="16"/>
        <v>3.2224081732203126E-2</v>
      </c>
      <c r="DD18">
        <f t="shared" si="16"/>
        <v>3.2171305414673945E-2</v>
      </c>
      <c r="DE18">
        <f t="shared" si="16"/>
        <v>2.5928919874258403E-2</v>
      </c>
      <c r="DF18">
        <f t="shared" si="16"/>
        <v>1.6452764857600322E-2</v>
      </c>
      <c r="DG18">
        <f t="shared" si="16"/>
        <v>8.7062432928819433E-3</v>
      </c>
      <c r="DH18">
        <f t="shared" si="16"/>
        <v>7.7630305141806136E-3</v>
      </c>
      <c r="DI18">
        <f t="shared" si="16"/>
        <v>1.2048535736152921E-2</v>
      </c>
      <c r="DJ18">
        <f t="shared" si="16"/>
        <v>1.6165029938694175E-2</v>
      </c>
      <c r="DK18">
        <f t="shared" si="16"/>
        <v>1.6440027153936398E-2</v>
      </c>
      <c r="DL18">
        <f t="shared" si="16"/>
        <v>1.7094905511245706E-2</v>
      </c>
      <c r="DM18">
        <f t="shared" si="16"/>
        <v>1.678953442488389E-2</v>
      </c>
      <c r="DN18">
        <f t="shared" si="16"/>
        <v>1.3386386855365728E-2</v>
      </c>
      <c r="DO18">
        <f t="shared" si="16"/>
        <v>1.6205378829661932E-2</v>
      </c>
      <c r="DP18">
        <f t="shared" si="16"/>
        <v>2.3995283366327235E-2</v>
      </c>
      <c r="DQ18">
        <f t="shared" si="16"/>
        <v>3.0398840513587367E-2</v>
      </c>
      <c r="DR18">
        <f t="shared" si="16"/>
        <v>2.3891151235836183E-2</v>
      </c>
      <c r="DS18">
        <f t="shared" si="16"/>
        <v>2.4232901478494599E-2</v>
      </c>
      <c r="DT18">
        <f t="shared" si="16"/>
        <v>2.182862777674921E-2</v>
      </c>
      <c r="DU18">
        <f t="shared" si="16"/>
        <v>2.2479653202765348E-2</v>
      </c>
      <c r="DV18">
        <f t="shared" si="16"/>
        <v>1.8462386737717829E-2</v>
      </c>
      <c r="DW18">
        <f t="shared" si="16"/>
        <v>1.3890965273039768E-2</v>
      </c>
    </row>
    <row r="19" spans="11:127">
      <c r="K19" t="s">
        <v>1834</v>
      </c>
      <c r="L19">
        <f t="shared" ref="L19:AQ19" si="17">+L17</f>
        <v>3.6452747463780556E-2</v>
      </c>
      <c r="M19">
        <f t="shared" si="17"/>
        <v>3.2202659963804073E-2</v>
      </c>
      <c r="N19">
        <f t="shared" si="17"/>
        <v>3.1314973858922832E-2</v>
      </c>
      <c r="O19">
        <f t="shared" si="17"/>
        <v>2.9610892635085827E-2</v>
      </c>
      <c r="P19">
        <f t="shared" si="17"/>
        <v>2.3470729362718323E-2</v>
      </c>
      <c r="Q19">
        <f t="shared" si="17"/>
        <v>1.5959561343969787E-2</v>
      </c>
      <c r="R19">
        <f t="shared" si="17"/>
        <v>2.7638640652852663E-2</v>
      </c>
      <c r="S19">
        <f t="shared" si="17"/>
        <v>2.5875592815366978E-2</v>
      </c>
      <c r="T19">
        <f t="shared" si="17"/>
        <v>4.3127314305439327E-2</v>
      </c>
      <c r="U19">
        <f t="shared" si="17"/>
        <v>2.4216157388198333E-2</v>
      </c>
      <c r="V19">
        <f t="shared" si="17"/>
        <v>2.2640860460124656E-2</v>
      </c>
      <c r="W19">
        <f t="shared" si="17"/>
        <v>1.2708584843227655E-2</v>
      </c>
      <c r="X19">
        <f t="shared" si="17"/>
        <v>1.2934820613304731E-2</v>
      </c>
      <c r="Y19">
        <f t="shared" si="17"/>
        <v>2.338362503619671E-2</v>
      </c>
      <c r="Z19">
        <f t="shared" si="17"/>
        <v>3.320687822426991E-2</v>
      </c>
      <c r="AA19">
        <f t="shared" si="17"/>
        <v>3.0132432417286248E-2</v>
      </c>
      <c r="AB19">
        <f t="shared" si="17"/>
        <v>1.846311979921882E-2</v>
      </c>
      <c r="AC19">
        <f t="shared" si="17"/>
        <v>1.6319838465290282E-2</v>
      </c>
      <c r="AD19">
        <f t="shared" si="17"/>
        <v>1.2552499634968073E-2</v>
      </c>
      <c r="AE19">
        <f t="shared" si="17"/>
        <v>2.9076440650094314E-2</v>
      </c>
      <c r="AF19">
        <f t="shared" si="17"/>
        <v>2.124531493506383E-2</v>
      </c>
      <c r="AG19">
        <f t="shared" si="17"/>
        <v>2.0407642048273545E-2</v>
      </c>
      <c r="AH19">
        <f t="shared" si="17"/>
        <v>-1.562615203661788E-3</v>
      </c>
      <c r="AI19">
        <f t="shared" si="17"/>
        <v>-1.3723243070743218E-2</v>
      </c>
      <c r="AJ19">
        <f t="shared" si="17"/>
        <v>-2.9375197529731834E-3</v>
      </c>
      <c r="AK19">
        <f t="shared" si="17"/>
        <v>3.6340166470239634E-3</v>
      </c>
      <c r="AL19">
        <f t="shared" si="17"/>
        <v>9.8531733034274531E-3</v>
      </c>
      <c r="AM19">
        <f t="shared" si="17"/>
        <v>1.5268313568066105E-2</v>
      </c>
      <c r="AN19">
        <f t="shared" si="17"/>
        <v>7.477470827680288E-3</v>
      </c>
      <c r="AO19">
        <f t="shared" si="17"/>
        <v>9.4754222734937613E-3</v>
      </c>
      <c r="AP19">
        <f t="shared" si="17"/>
        <v>2.8657311747966818E-2</v>
      </c>
      <c r="AQ19">
        <f t="shared" si="17"/>
        <v>5.4678232822646347E-2</v>
      </c>
      <c r="AR19">
        <f>+AR17</f>
        <v>8.5158332282672708E-2</v>
      </c>
      <c r="AS19">
        <f>+AS18</f>
        <v>9.9313333201693332E-2</v>
      </c>
      <c r="AT19">
        <f t="shared" ref="AT19:DE19" si="18">+AT18</f>
        <v>7.9732035072464139E-2</v>
      </c>
      <c r="AU19">
        <f t="shared" si="18"/>
        <v>6.1714597558465201E-2</v>
      </c>
      <c r="AV19">
        <f t="shared" si="18"/>
        <v>4.6738306068030332E-2</v>
      </c>
      <c r="AW19">
        <f t="shared" si="18"/>
        <v>4.6954923382730128E-2</v>
      </c>
      <c r="AX19">
        <f t="shared" si="18"/>
        <v>6.4443245612665651E-2</v>
      </c>
      <c r="AY19">
        <f t="shared" si="18"/>
        <v>5.2571604343528831E-2</v>
      </c>
      <c r="AZ19">
        <f t="shared" si="18"/>
        <v>5.1368126583887633E-2</v>
      </c>
      <c r="BA19">
        <f t="shared" si="18"/>
        <v>3.8759244127468583E-2</v>
      </c>
      <c r="BB19">
        <f t="shared" si="18"/>
        <v>3.0962035121112841E-2</v>
      </c>
      <c r="BC19">
        <f t="shared" si="18"/>
        <v>2.8660864084523396E-2</v>
      </c>
      <c r="BD19">
        <f t="shared" si="18"/>
        <v>2.8698878571471374E-2</v>
      </c>
      <c r="BE19">
        <f t="shared" si="18"/>
        <v>5.0347845534370703E-2</v>
      </c>
      <c r="BF19">
        <f t="shared" si="18"/>
        <v>5.732138912601261E-2</v>
      </c>
      <c r="BG19">
        <f t="shared" si="18"/>
        <v>4.9870059721015103E-2</v>
      </c>
      <c r="BH19">
        <f t="shared" si="18"/>
        <v>3.7582664558109616E-2</v>
      </c>
      <c r="BI19">
        <f t="shared" si="18"/>
        <v>4.8683902053697638E-2</v>
      </c>
      <c r="BJ19">
        <f t="shared" si="18"/>
        <v>3.9948389043794739E-2</v>
      </c>
      <c r="BK19">
        <f t="shared" si="18"/>
        <v>3.4781444533406078E-2</v>
      </c>
      <c r="BL19">
        <f t="shared" si="18"/>
        <v>3.9241862963401354E-2</v>
      </c>
      <c r="BM19">
        <f t="shared" si="18"/>
        <v>3.8527467719272221E-2</v>
      </c>
      <c r="BN19">
        <f t="shared" si="18"/>
        <v>4.6748673525135051E-2</v>
      </c>
      <c r="BO19">
        <f t="shared" si="18"/>
        <v>4.3134097013080464E-2</v>
      </c>
      <c r="BP19">
        <f t="shared" si="18"/>
        <v>4.487225216456512E-2</v>
      </c>
      <c r="BQ19">
        <f t="shared" si="18"/>
        <v>4.6297801122648433E-2</v>
      </c>
      <c r="BR19">
        <f t="shared" si="18"/>
        <v>5.6529528315231482E-2</v>
      </c>
      <c r="BS19">
        <f t="shared" si="18"/>
        <v>5.0913066156432762E-2</v>
      </c>
      <c r="BT19">
        <f t="shared" si="18"/>
        <v>4.7307912034104047E-2</v>
      </c>
      <c r="BU19">
        <f t="shared" si="18"/>
        <v>4.8942628841369643E-2</v>
      </c>
      <c r="BV19">
        <f t="shared" si="18"/>
        <v>4.8640528560335919E-2</v>
      </c>
      <c r="BW19">
        <f t="shared" si="18"/>
        <v>4.9668506564464823E-2</v>
      </c>
      <c r="BX19">
        <f t="shared" si="18"/>
        <v>4.1611332826007971E-2</v>
      </c>
      <c r="BY19">
        <f t="shared" si="18"/>
        <v>3.3887064250953183E-2</v>
      </c>
      <c r="BZ19">
        <f t="shared" si="18"/>
        <v>3.3617760529761932E-2</v>
      </c>
      <c r="CA19">
        <f t="shared" si="18"/>
        <v>3.6881186561755361E-2</v>
      </c>
      <c r="CB19">
        <f t="shared" si="18"/>
        <v>3.7353993875606048E-2</v>
      </c>
      <c r="CC19">
        <f t="shared" si="18"/>
        <v>3.528367674041899E-2</v>
      </c>
      <c r="CD19">
        <f t="shared" si="18"/>
        <v>3.4509286495992518E-2</v>
      </c>
      <c r="CE19">
        <f t="shared" si="18"/>
        <v>3.5232564833772705E-2</v>
      </c>
      <c r="CF19">
        <f t="shared" si="18"/>
        <v>2.7065212675683979E-2</v>
      </c>
      <c r="CG19">
        <f t="shared" si="18"/>
        <v>2.4233790911927677E-2</v>
      </c>
      <c r="CH19">
        <f t="shared" si="18"/>
        <v>3.3711821399957917E-2</v>
      </c>
      <c r="CI19">
        <f t="shared" si="18"/>
        <v>3.6720653809906703E-2</v>
      </c>
      <c r="CJ19">
        <f t="shared" si="18"/>
        <v>3.199685104248573E-2</v>
      </c>
      <c r="CK19">
        <f t="shared" si="18"/>
        <v>2.9446884627870418E-2</v>
      </c>
      <c r="CL19">
        <f t="shared" si="18"/>
        <v>2.7309713847163054E-2</v>
      </c>
      <c r="CM19">
        <f t="shared" si="18"/>
        <v>2.6434114878643378E-2</v>
      </c>
      <c r="CN19">
        <f t="shared" si="18"/>
        <v>2.8248470066760588E-2</v>
      </c>
      <c r="CO19">
        <f t="shared" si="18"/>
        <v>2.3211482916194015E-2</v>
      </c>
      <c r="CP19">
        <f t="shared" si="18"/>
        <v>2.6911224087325891E-2</v>
      </c>
      <c r="CQ19">
        <f t="shared" si="18"/>
        <v>2.5878700058695615E-2</v>
      </c>
      <c r="CR19">
        <f t="shared" si="18"/>
        <v>2.3289875442829101E-2</v>
      </c>
      <c r="CS19">
        <f t="shared" si="18"/>
        <v>2.4094544149984819E-2</v>
      </c>
      <c r="CT19">
        <f t="shared" si="18"/>
        <v>2.6569884258367614E-2</v>
      </c>
      <c r="CU19">
        <f t="shared" si="18"/>
        <v>2.8689183745294854E-2</v>
      </c>
      <c r="CV19">
        <f t="shared" si="18"/>
        <v>2.9772129007159975E-2</v>
      </c>
      <c r="CW19">
        <f t="shared" si="18"/>
        <v>3.2914389611068094E-2</v>
      </c>
      <c r="CX19">
        <f t="shared" si="18"/>
        <v>3.7270161470012123E-2</v>
      </c>
      <c r="CY19">
        <f t="shared" si="18"/>
        <v>3.5867347195755704E-2</v>
      </c>
      <c r="CZ19">
        <f t="shared" si="18"/>
        <v>3.3582438920787362E-2</v>
      </c>
      <c r="DA19">
        <f t="shared" si="18"/>
        <v>3.2887007144323556E-2</v>
      </c>
      <c r="DB19">
        <f t="shared" si="18"/>
        <v>3.1787017939238639E-2</v>
      </c>
      <c r="DC19">
        <f t="shared" si="18"/>
        <v>3.2224081732203126E-2</v>
      </c>
      <c r="DD19">
        <f t="shared" si="18"/>
        <v>3.2171305414673945E-2</v>
      </c>
      <c r="DE19">
        <f t="shared" si="18"/>
        <v>2.5928919874258403E-2</v>
      </c>
      <c r="DF19">
        <f t="shared" ref="DF19:DW19" si="19">+DF18</f>
        <v>1.6452764857600322E-2</v>
      </c>
      <c r="DG19">
        <f t="shared" si="19"/>
        <v>8.7062432928819433E-3</v>
      </c>
      <c r="DH19">
        <f t="shared" si="19"/>
        <v>7.7630305141806136E-3</v>
      </c>
      <c r="DI19">
        <f t="shared" si="19"/>
        <v>1.2048535736152921E-2</v>
      </c>
      <c r="DJ19">
        <f t="shared" si="19"/>
        <v>1.6165029938694175E-2</v>
      </c>
      <c r="DK19">
        <f t="shared" si="19"/>
        <v>1.6440027153936398E-2</v>
      </c>
      <c r="DL19">
        <f t="shared" si="19"/>
        <v>1.7094905511245706E-2</v>
      </c>
      <c r="DM19">
        <f t="shared" si="19"/>
        <v>1.678953442488389E-2</v>
      </c>
      <c r="DN19">
        <f t="shared" si="19"/>
        <v>1.3386386855365728E-2</v>
      </c>
      <c r="DO19">
        <f t="shared" si="19"/>
        <v>1.6205378829661932E-2</v>
      </c>
      <c r="DP19">
        <f t="shared" si="19"/>
        <v>2.3995283366327235E-2</v>
      </c>
      <c r="DQ19">
        <f t="shared" si="19"/>
        <v>3.0398840513587367E-2</v>
      </c>
      <c r="DR19">
        <f t="shared" si="19"/>
        <v>2.3891151235836183E-2</v>
      </c>
      <c r="DS19">
        <f t="shared" si="19"/>
        <v>2.4232901478494599E-2</v>
      </c>
      <c r="DT19">
        <f t="shared" si="19"/>
        <v>2.182862777674921E-2</v>
      </c>
      <c r="DU19">
        <f t="shared" si="19"/>
        <v>2.2479653202765348E-2</v>
      </c>
      <c r="DV19">
        <f t="shared" si="19"/>
        <v>1.8462386737717829E-2</v>
      </c>
      <c r="DW19">
        <f t="shared" si="19"/>
        <v>1.3890965273039768E-2</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EF2A9-FBA5-460D-A336-4D3000936715}">
  <dimension ref="C2:FC15"/>
  <sheetViews>
    <sheetView workbookViewId="0">
      <selection activeCell="AE47" sqref="AE47"/>
    </sheetView>
  </sheetViews>
  <sheetFormatPr baseColWidth="10" defaultColWidth="8.83203125" defaultRowHeight="16"/>
  <cols>
    <col min="4" max="4" width="11" bestFit="1" customWidth="1"/>
  </cols>
  <sheetData>
    <row r="2" spans="3:159">
      <c r="D2">
        <v>1926</v>
      </c>
      <c r="E2">
        <f>+D2+1</f>
        <v>1927</v>
      </c>
      <c r="F2">
        <f t="shared" ref="F2:G2" si="0">+E2+1</f>
        <v>1928</v>
      </c>
      <c r="G2">
        <f t="shared" si="0"/>
        <v>1929</v>
      </c>
      <c r="H2">
        <f t="shared" ref="H2:BS2" si="1">+G2+1</f>
        <v>1930</v>
      </c>
      <c r="I2">
        <f t="shared" si="1"/>
        <v>1931</v>
      </c>
      <c r="J2">
        <f t="shared" si="1"/>
        <v>1932</v>
      </c>
      <c r="K2">
        <f t="shared" si="1"/>
        <v>1933</v>
      </c>
      <c r="L2">
        <f t="shared" si="1"/>
        <v>1934</v>
      </c>
      <c r="M2">
        <f t="shared" si="1"/>
        <v>1935</v>
      </c>
      <c r="N2">
        <f t="shared" si="1"/>
        <v>1936</v>
      </c>
      <c r="O2">
        <f t="shared" si="1"/>
        <v>1937</v>
      </c>
      <c r="P2">
        <f t="shared" si="1"/>
        <v>1938</v>
      </c>
      <c r="Q2">
        <f t="shared" si="1"/>
        <v>1939</v>
      </c>
      <c r="R2">
        <f t="shared" si="1"/>
        <v>1940</v>
      </c>
      <c r="S2">
        <f t="shared" si="1"/>
        <v>1941</v>
      </c>
      <c r="T2">
        <f t="shared" si="1"/>
        <v>1942</v>
      </c>
      <c r="U2">
        <f t="shared" si="1"/>
        <v>1943</v>
      </c>
      <c r="V2">
        <f t="shared" si="1"/>
        <v>1944</v>
      </c>
      <c r="W2">
        <f t="shared" si="1"/>
        <v>1945</v>
      </c>
      <c r="X2">
        <f t="shared" si="1"/>
        <v>1946</v>
      </c>
      <c r="Y2">
        <f t="shared" si="1"/>
        <v>1947</v>
      </c>
      <c r="Z2">
        <f t="shared" si="1"/>
        <v>1948</v>
      </c>
      <c r="AA2">
        <f t="shared" si="1"/>
        <v>1949</v>
      </c>
      <c r="AB2">
        <f t="shared" si="1"/>
        <v>1950</v>
      </c>
      <c r="AC2">
        <f t="shared" si="1"/>
        <v>1951</v>
      </c>
      <c r="AD2">
        <f t="shared" si="1"/>
        <v>1952</v>
      </c>
      <c r="AE2">
        <f t="shared" si="1"/>
        <v>1953</v>
      </c>
      <c r="AF2">
        <f t="shared" si="1"/>
        <v>1954</v>
      </c>
      <c r="AG2">
        <f t="shared" si="1"/>
        <v>1955</v>
      </c>
      <c r="AH2">
        <f t="shared" si="1"/>
        <v>1956</v>
      </c>
      <c r="AI2">
        <f t="shared" si="1"/>
        <v>1957</v>
      </c>
      <c r="AJ2">
        <f t="shared" si="1"/>
        <v>1958</v>
      </c>
      <c r="AK2">
        <f t="shared" si="1"/>
        <v>1959</v>
      </c>
      <c r="AL2">
        <f t="shared" si="1"/>
        <v>1960</v>
      </c>
      <c r="AM2">
        <f t="shared" si="1"/>
        <v>1961</v>
      </c>
      <c r="AN2">
        <f t="shared" si="1"/>
        <v>1962</v>
      </c>
      <c r="AO2">
        <f t="shared" si="1"/>
        <v>1963</v>
      </c>
      <c r="AP2">
        <f t="shared" si="1"/>
        <v>1964</v>
      </c>
      <c r="AQ2">
        <f t="shared" si="1"/>
        <v>1965</v>
      </c>
      <c r="AR2">
        <f t="shared" si="1"/>
        <v>1966</v>
      </c>
      <c r="AS2">
        <f t="shared" si="1"/>
        <v>1967</v>
      </c>
      <c r="AT2">
        <f t="shared" si="1"/>
        <v>1968</v>
      </c>
      <c r="AU2">
        <f t="shared" si="1"/>
        <v>1969</v>
      </c>
      <c r="AV2">
        <f t="shared" si="1"/>
        <v>1970</v>
      </c>
      <c r="AW2">
        <f t="shared" si="1"/>
        <v>1971</v>
      </c>
      <c r="AX2">
        <f t="shared" si="1"/>
        <v>1972</v>
      </c>
      <c r="AY2">
        <f t="shared" si="1"/>
        <v>1973</v>
      </c>
      <c r="AZ2">
        <f t="shared" si="1"/>
        <v>1974</v>
      </c>
      <c r="BA2">
        <f t="shared" si="1"/>
        <v>1975</v>
      </c>
      <c r="BB2">
        <f t="shared" si="1"/>
        <v>1976</v>
      </c>
      <c r="BC2">
        <f t="shared" si="1"/>
        <v>1977</v>
      </c>
      <c r="BD2">
        <f t="shared" si="1"/>
        <v>1978</v>
      </c>
      <c r="BE2">
        <f t="shared" si="1"/>
        <v>1979</v>
      </c>
      <c r="BF2">
        <f t="shared" si="1"/>
        <v>1980</v>
      </c>
      <c r="BG2">
        <f t="shared" si="1"/>
        <v>1981</v>
      </c>
      <c r="BH2">
        <f t="shared" si="1"/>
        <v>1982</v>
      </c>
      <c r="BI2">
        <f t="shared" si="1"/>
        <v>1983</v>
      </c>
      <c r="BJ2">
        <f t="shared" si="1"/>
        <v>1984</v>
      </c>
      <c r="BK2">
        <f t="shared" si="1"/>
        <v>1985</v>
      </c>
      <c r="BL2">
        <f t="shared" si="1"/>
        <v>1986</v>
      </c>
      <c r="BM2">
        <f t="shared" si="1"/>
        <v>1987</v>
      </c>
      <c r="BN2">
        <f t="shared" si="1"/>
        <v>1988</v>
      </c>
      <c r="BO2">
        <f t="shared" si="1"/>
        <v>1989</v>
      </c>
      <c r="BP2">
        <f t="shared" si="1"/>
        <v>1990</v>
      </c>
      <c r="BQ2">
        <f t="shared" si="1"/>
        <v>1991</v>
      </c>
      <c r="BR2">
        <f t="shared" si="1"/>
        <v>1992</v>
      </c>
      <c r="BS2">
        <f t="shared" si="1"/>
        <v>1993</v>
      </c>
      <c r="BT2">
        <f t="shared" ref="BT2:CX2" si="2">+BS2+1</f>
        <v>1994</v>
      </c>
      <c r="BU2">
        <f t="shared" si="2"/>
        <v>1995</v>
      </c>
      <c r="BV2">
        <f t="shared" si="2"/>
        <v>1996</v>
      </c>
      <c r="BW2">
        <f t="shared" si="2"/>
        <v>1997</v>
      </c>
      <c r="BX2">
        <f t="shared" si="2"/>
        <v>1998</v>
      </c>
      <c r="BY2">
        <f t="shared" si="2"/>
        <v>1999</v>
      </c>
      <c r="BZ2">
        <f t="shared" si="2"/>
        <v>2000</v>
      </c>
      <c r="CA2">
        <f t="shared" si="2"/>
        <v>2001</v>
      </c>
      <c r="CB2">
        <f t="shared" si="2"/>
        <v>2002</v>
      </c>
      <c r="CC2">
        <f t="shared" si="2"/>
        <v>2003</v>
      </c>
      <c r="CD2">
        <f t="shared" si="2"/>
        <v>2004</v>
      </c>
      <c r="CE2">
        <f t="shared" si="2"/>
        <v>2005</v>
      </c>
      <c r="CF2">
        <f t="shared" si="2"/>
        <v>2006</v>
      </c>
      <c r="CG2">
        <f t="shared" si="2"/>
        <v>2007</v>
      </c>
      <c r="CH2">
        <f t="shared" si="2"/>
        <v>2008</v>
      </c>
      <c r="CI2">
        <f t="shared" si="2"/>
        <v>2009</v>
      </c>
      <c r="CJ2">
        <f t="shared" si="2"/>
        <v>2010</v>
      </c>
      <c r="CK2">
        <f t="shared" si="2"/>
        <v>2011</v>
      </c>
      <c r="CL2">
        <f t="shared" si="2"/>
        <v>2012</v>
      </c>
      <c r="CM2">
        <f t="shared" si="2"/>
        <v>2013</v>
      </c>
      <c r="CN2">
        <f t="shared" si="2"/>
        <v>2014</v>
      </c>
      <c r="CO2">
        <f t="shared" si="2"/>
        <v>2015</v>
      </c>
      <c r="CP2">
        <f t="shared" si="2"/>
        <v>2016</v>
      </c>
      <c r="CQ2">
        <f t="shared" si="2"/>
        <v>2017</v>
      </c>
      <c r="CR2">
        <f t="shared" si="2"/>
        <v>2018</v>
      </c>
      <c r="CS2">
        <f t="shared" si="2"/>
        <v>2019</v>
      </c>
      <c r="CT2">
        <f t="shared" si="2"/>
        <v>2020</v>
      </c>
      <c r="CU2">
        <f t="shared" si="2"/>
        <v>2021</v>
      </c>
      <c r="CV2">
        <f t="shared" si="2"/>
        <v>2022</v>
      </c>
      <c r="CW2">
        <f t="shared" si="2"/>
        <v>2023</v>
      </c>
      <c r="CX2">
        <f t="shared" si="2"/>
        <v>2024</v>
      </c>
    </row>
    <row r="3" spans="3:159">
      <c r="C3" t="s">
        <v>1447</v>
      </c>
      <c r="G3">
        <f>+'Summary All Corps'!C2</f>
        <v>54806</v>
      </c>
      <c r="H3">
        <f>+'Summary All Corps'!D2</f>
        <v>48178</v>
      </c>
      <c r="I3">
        <f>+'Summary All Corps'!E2</f>
        <v>37846</v>
      </c>
      <c r="J3">
        <f>+'Summary All Corps'!F2</f>
        <v>27861</v>
      </c>
      <c r="K3">
        <f>+'Summary All Corps'!G2</f>
        <v>26876</v>
      </c>
      <c r="L3">
        <f>+'Summary All Corps'!H2</f>
        <v>33500</v>
      </c>
      <c r="M3">
        <f>+'Summary All Corps'!I2</f>
        <v>37147</v>
      </c>
      <c r="N3">
        <f>+'Summary All Corps'!J2</f>
        <v>42724</v>
      </c>
      <c r="O3">
        <f>+'Summary All Corps'!K2</f>
        <v>48339</v>
      </c>
      <c r="P3">
        <f>+'Summary All Corps'!L2</f>
        <v>43000</v>
      </c>
      <c r="Q3">
        <f>+'Summary All Corps'!M2</f>
        <v>47323</v>
      </c>
      <c r="R3">
        <f>+'Summary All Corps'!N2</f>
        <v>54105</v>
      </c>
      <c r="S3">
        <f>+'Summary All Corps'!O2</f>
        <v>69955</v>
      </c>
      <c r="T3">
        <f>+'Summary All Corps'!P2</f>
        <v>87478</v>
      </c>
      <c r="U3">
        <f>+'Summary All Corps'!Q2</f>
        <v>103482</v>
      </c>
      <c r="V3">
        <f>+'Summary All Corps'!R2</f>
        <v>107266</v>
      </c>
      <c r="W3">
        <f>+'Summary All Corps'!S2</f>
        <v>100821</v>
      </c>
      <c r="X3">
        <f>+'Summary All Corps'!T2</f>
        <v>105807</v>
      </c>
      <c r="Y3">
        <f>+'Summary All Corps'!U2</f>
        <v>127503</v>
      </c>
      <c r="Z3">
        <f>+'Summary All Corps'!V2</f>
        <v>146063</v>
      </c>
      <c r="AA3">
        <f>+'Summary All Corps'!W2</f>
        <v>143022</v>
      </c>
      <c r="AB3">
        <f>+'Summary All Corps'!X2</f>
        <v>162114</v>
      </c>
      <c r="AC3">
        <f>+'Summary All Corps'!Y2</f>
        <v>185791</v>
      </c>
      <c r="AD3">
        <f>+'Summary All Corps'!Z2</f>
        <v>195027</v>
      </c>
      <c r="AE3">
        <f>+'Summary All Corps'!AA2</f>
        <v>209184</v>
      </c>
      <c r="AF3">
        <f>+'Summary All Corps'!AB2</f>
        <v>206865</v>
      </c>
      <c r="AG3">
        <f>+'Summary All Corps'!AC2</f>
        <v>233051</v>
      </c>
      <c r="AH3">
        <f>+'Summary All Corps'!AD2</f>
        <v>250053</v>
      </c>
      <c r="AI3">
        <f>+'Summary All Corps'!AE2</f>
        <v>261661</v>
      </c>
      <c r="AJ3">
        <f>+'Summary All Corps'!AF2</f>
        <v>256831</v>
      </c>
      <c r="AK3">
        <f>+'Summary All Corps'!AG2</f>
        <v>287446</v>
      </c>
      <c r="AL3">
        <f>+'Summary All Corps'!AH2</f>
        <v>299879</v>
      </c>
      <c r="AM3">
        <f>+'Summary All Corps'!AI2</f>
        <v>308729</v>
      </c>
      <c r="AN3">
        <f>+'Summary All Corps'!AJ2</f>
        <v>335950</v>
      </c>
      <c r="AO3">
        <f>+'Summary All Corps'!AK2</f>
        <v>357362</v>
      </c>
      <c r="AP3">
        <f>+'Summary All Corps'!AL2</f>
        <v>385982</v>
      </c>
      <c r="AQ3">
        <f>+'Summary All Corps'!AM2</f>
        <v>423777</v>
      </c>
      <c r="AR3">
        <f>+'Summary All Corps'!AN2</f>
        <v>465090</v>
      </c>
      <c r="AS3">
        <f>+'Summary All Corps'!AO2</f>
        <v>491172</v>
      </c>
      <c r="AT3">
        <f>+'Summary All Corps'!AP2</f>
        <v>542111</v>
      </c>
      <c r="AU3">
        <f>+'Summary All Corps'!AQ2</f>
        <v>590653</v>
      </c>
      <c r="AV3">
        <f>+'Summary All Corps'!AR2</f>
        <v>612127</v>
      </c>
      <c r="AW3">
        <f>+'Summary All Corps'!AS2</f>
        <v>660922</v>
      </c>
      <c r="AX3">
        <f>+'Summary All Corps'!AT2</f>
        <v>732902</v>
      </c>
      <c r="AY3">
        <f>+'Summary All Corps'!AU2</f>
        <v>820208</v>
      </c>
      <c r="AZ3">
        <f>+'Summary All Corps'!AV2</f>
        <v>889579</v>
      </c>
      <c r="BA3">
        <f>+'Summary All Corps'!AW2</f>
        <v>965545</v>
      </c>
      <c r="BB3">
        <f>+'Summary All Corps'!AX2</f>
        <v>1087308</v>
      </c>
      <c r="BC3">
        <f>+'Summary All Corps'!AY2</f>
        <v>1232519</v>
      </c>
      <c r="BD3">
        <f>+'Summary All Corps'!AZ2</f>
        <v>1406890</v>
      </c>
      <c r="BE3">
        <f>+'Summary All Corps'!BA2</f>
        <v>1564355</v>
      </c>
      <c r="BF3">
        <f>+'Summary All Corps'!BB2</f>
        <v>1702381</v>
      </c>
      <c r="BG3">
        <f>+'Summary All Corps'!BC2</f>
        <v>1935130</v>
      </c>
      <c r="BH3">
        <f>+'Summary All Corps'!BD2</f>
        <v>2018565</v>
      </c>
      <c r="BI3">
        <f>+'Summary All Corps'!BE2</f>
        <v>2172454</v>
      </c>
      <c r="BJ3">
        <f>+'Summary All Corps'!BF2</f>
        <v>2434777</v>
      </c>
      <c r="BK3">
        <f>+'Summary All Corps'!BG2</f>
        <v>2601493</v>
      </c>
      <c r="BL3">
        <f>+'Summary All Corps'!BH2</f>
        <v>2706772</v>
      </c>
      <c r="BM3">
        <f>+'Summary All Corps'!BI2</f>
        <v>2895133</v>
      </c>
      <c r="BN3">
        <f>+'Summary All Corps'!BJ2</f>
        <v>3142537</v>
      </c>
      <c r="BO3">
        <f>+'Summary All Corps'!BK2</f>
        <v>3320147</v>
      </c>
      <c r="BP3">
        <f>+'Summary All Corps'!BL2</f>
        <v>3467335</v>
      </c>
      <c r="BQ3">
        <f>+'Summary All Corps'!BM2</f>
        <v>3554697</v>
      </c>
      <c r="BR3">
        <f>+'Summary All Corps'!BN2</f>
        <v>3742365</v>
      </c>
      <c r="BS3">
        <f>+'Summary All Corps'!BO2</f>
        <v>3918863</v>
      </c>
      <c r="BT3">
        <f>+'Summary All Corps'!BP2</f>
        <v>4210085</v>
      </c>
      <c r="BU3">
        <f>+'Summary All Corps'!BQ2</f>
        <v>4474232</v>
      </c>
      <c r="BV3">
        <f>+'Summary All Corps'!BR2</f>
        <v>4770205</v>
      </c>
      <c r="BW3">
        <f>+'Summary All Corps'!BS2</f>
        <v>5143154</v>
      </c>
      <c r="BX3">
        <f>+'Summary All Corps'!BT2</f>
        <v>5474446</v>
      </c>
      <c r="BY3">
        <f>+'Summary All Corps'!BU2</f>
        <v>5802061</v>
      </c>
      <c r="BZ3">
        <f>+'Summary All Corps'!BV2</f>
        <v>6216190</v>
      </c>
      <c r="CA3">
        <f>+'Summary All Corps'!BW2</f>
        <v>6202593</v>
      </c>
      <c r="CB3">
        <f>+'Summary All Corps'!BX2</f>
        <v>6298540</v>
      </c>
      <c r="CC3">
        <f>+'Summary All Corps'!BY2</f>
        <v>6524950</v>
      </c>
      <c r="CD3">
        <f>+'Summary All Corps'!BZ2</f>
        <v>6960008</v>
      </c>
      <c r="CE3">
        <f>+'Summary All Corps'!CA2</f>
        <v>7485433</v>
      </c>
      <c r="CF3">
        <f>+'Summary All Corps'!CB2</f>
        <v>8029316</v>
      </c>
      <c r="CG3">
        <f>+'Summary All Corps'!CC2</f>
        <v>8199258</v>
      </c>
      <c r="CH3">
        <f>+'Summary All Corps'!CD2</f>
        <v>8108788</v>
      </c>
      <c r="CI3">
        <f>+'Summary All Corps'!CE2</f>
        <v>7817337</v>
      </c>
      <c r="CJ3">
        <f>+'Summary All Corps'!CF2</f>
        <v>8236992</v>
      </c>
      <c r="CK3">
        <f>+'Summary All Corps'!CG2</f>
        <v>8623024</v>
      </c>
      <c r="CL3">
        <f>+'Summary All Corps'!CH2</f>
        <v>9173994</v>
      </c>
      <c r="CM3">
        <f>+'Summary All Corps'!CI2</f>
        <v>9456941</v>
      </c>
      <c r="CN3">
        <f>+'Summary All Corps'!CJ2</f>
        <v>10046512</v>
      </c>
      <c r="CO3">
        <f>+'Summary All Corps'!CK2</f>
        <v>10489514</v>
      </c>
      <c r="CP3">
        <f>+'Summary All Corps'!CL2</f>
        <v>10684384</v>
      </c>
      <c r="CQ3">
        <f>+'Summary All Corps'!CM2</f>
        <v>11132703</v>
      </c>
      <c r="CR3">
        <f>+'Summary All Corps'!CN2</f>
        <v>11796349</v>
      </c>
      <c r="CS3">
        <f>+'Summary All Corps'!CO2</f>
        <v>12332556</v>
      </c>
      <c r="CT3">
        <f>+'Summary All Corps'!CP2</f>
        <v>12095295</v>
      </c>
      <c r="CU3">
        <f>+'Summary All Corps'!CQ2</f>
        <v>13818844</v>
      </c>
      <c r="CV3">
        <f>+'Summary All Corps'!CR2</f>
        <v>15322598</v>
      </c>
      <c r="CW3">
        <f>+'Summary All Corps'!CS2</f>
        <v>16125928</v>
      </c>
      <c r="CX3">
        <f>+'Summary All Corps'!CT2</f>
        <v>16961079</v>
      </c>
    </row>
    <row r="4" spans="3:159">
      <c r="C4" t="s">
        <v>1563</v>
      </c>
      <c r="D4">
        <f>+'CRSP Data'!B4</f>
        <v>30273387.199999999</v>
      </c>
      <c r="E4">
        <f>+'CRSP Data'!C4</f>
        <v>41806899.299999997</v>
      </c>
      <c r="F4">
        <f>+'CRSP Data'!D4</f>
        <v>59829707.899999999</v>
      </c>
      <c r="G4">
        <f>+'CRSP Data'!E4</f>
        <v>56455416.700000003</v>
      </c>
      <c r="H4">
        <f>+'CRSP Data'!F4</f>
        <v>41641850.899999999</v>
      </c>
      <c r="I4">
        <f>+'CRSP Data'!G4</f>
        <v>21544308.100000001</v>
      </c>
      <c r="J4">
        <f>+'CRSP Data'!H4</f>
        <v>18339302.199999999</v>
      </c>
      <c r="K4">
        <f>+'CRSP Data'!I4</f>
        <v>27775752.199999999</v>
      </c>
      <c r="L4">
        <f>+'CRSP Data'!J4</f>
        <v>28113229.600000001</v>
      </c>
      <c r="M4">
        <f>+'CRSP Data'!K4</f>
        <v>39582694.200000003</v>
      </c>
      <c r="N4">
        <f>+'CRSP Data'!L4</f>
        <v>51610120.700000003</v>
      </c>
      <c r="O4">
        <f>+'CRSP Data'!M4</f>
        <v>32636697.300000001</v>
      </c>
      <c r="P4">
        <f>+'CRSP Data'!N4</f>
        <v>40503948.399999999</v>
      </c>
      <c r="Q4">
        <f>+'CRSP Data'!O4</f>
        <v>39426600.200000003</v>
      </c>
      <c r="R4">
        <f>+'CRSP Data'!P4</f>
        <v>34823119.700000003</v>
      </c>
      <c r="S4">
        <f>+'CRSP Data'!Q4</f>
        <v>29493311.5</v>
      </c>
      <c r="T4">
        <f>+'CRSP Data'!R4</f>
        <v>32230307.600000001</v>
      </c>
      <c r="U4">
        <f>+'CRSP Data'!S4</f>
        <v>39769111.299999997</v>
      </c>
      <c r="V4">
        <f>+'CRSP Data'!T4</f>
        <v>46856309.399999999</v>
      </c>
      <c r="W4">
        <f>+'CRSP Data'!U4</f>
        <v>64330622.100000001</v>
      </c>
      <c r="X4">
        <f>+'CRSP Data'!V4</f>
        <v>59684383.600000001</v>
      </c>
      <c r="Y4">
        <f>+'CRSP Data'!W4</f>
        <v>59885360.700000003</v>
      </c>
      <c r="Z4">
        <f>+'CRSP Data'!X4</f>
        <v>58301258.200000003</v>
      </c>
      <c r="AA4">
        <f>+'CRSP Data'!Y4</f>
        <v>67344403.400000006</v>
      </c>
      <c r="AB4">
        <f>+'CRSP Data'!Z4</f>
        <v>84833973.900000006</v>
      </c>
      <c r="AC4">
        <f>+'CRSP Data'!AA4</f>
        <v>100725150</v>
      </c>
      <c r="AD4">
        <f>+'CRSP Data'!AB4</f>
        <v>111187860</v>
      </c>
      <c r="AE4">
        <f>+'CRSP Data'!AC4</f>
        <v>108286194</v>
      </c>
      <c r="AF4">
        <f>+'CRSP Data'!AD4</f>
        <v>159614395</v>
      </c>
      <c r="AG4">
        <f>+'CRSP Data'!AE4</f>
        <v>197213978</v>
      </c>
      <c r="AH4">
        <f>+'CRSP Data'!AF4</f>
        <v>211375251</v>
      </c>
      <c r="AI4">
        <f>+'CRSP Data'!AG4</f>
        <v>187753792</v>
      </c>
      <c r="AJ4">
        <f>+'CRSP Data'!AH4</f>
        <v>267804898</v>
      </c>
      <c r="AK4">
        <f>+'CRSP Data'!AI4</f>
        <v>299021494</v>
      </c>
      <c r="AL4">
        <f>+'CRSP Data'!AJ4</f>
        <v>299423865</v>
      </c>
      <c r="AM4">
        <f>+'CRSP Data'!AK4</f>
        <v>378064824</v>
      </c>
      <c r="AN4">
        <f>+'CRSP Data'!AL4</f>
        <v>360092770</v>
      </c>
      <c r="AO4">
        <f>+'CRSP Data'!AM4</f>
        <v>424616841</v>
      </c>
      <c r="AP4">
        <f>+'CRSP Data'!AN4</f>
        <v>490133350</v>
      </c>
      <c r="AQ4">
        <f>+'CRSP Data'!AO4</f>
        <v>552706178</v>
      </c>
      <c r="AR4">
        <f>+'CRSP Data'!AP4</f>
        <v>495607922</v>
      </c>
      <c r="AS4">
        <f>+'CRSP Data'!AQ4</f>
        <v>628633197</v>
      </c>
      <c r="AT4">
        <f>+'CRSP Data'!AR4</f>
        <v>718326082</v>
      </c>
      <c r="AU4">
        <f>+'CRSP Data'!AS4</f>
        <v>641067360</v>
      </c>
      <c r="AV4">
        <f>+'CRSP Data'!AT4</f>
        <v>639973631</v>
      </c>
      <c r="AW4">
        <f>+'CRSP Data'!AU4</f>
        <v>747600652</v>
      </c>
      <c r="AX4">
        <f>+'CRSP Data'!AV4</f>
        <v>1011684210</v>
      </c>
      <c r="AY4">
        <f>+'CRSP Data'!AW4</f>
        <v>798597652</v>
      </c>
      <c r="AZ4">
        <f>+'CRSP Data'!AX4</f>
        <v>552898613</v>
      </c>
      <c r="BA4">
        <f>+'CRSP Data'!AY4</f>
        <v>743822567</v>
      </c>
      <c r="BB4">
        <f>+'CRSP Data'!AZ4</f>
        <v>921745133</v>
      </c>
      <c r="BC4">
        <f>+'CRSP Data'!BA4</f>
        <v>865931915</v>
      </c>
      <c r="BD4">
        <f>+'CRSP Data'!BB4</f>
        <v>898729782</v>
      </c>
      <c r="BE4">
        <f>+'CRSP Data'!BC4</f>
        <v>1068232720</v>
      </c>
      <c r="BF4">
        <f>+'CRSP Data'!BD4</f>
        <v>1385323230</v>
      </c>
      <c r="BG4">
        <f>+'CRSP Data'!BE4</f>
        <v>1288286440</v>
      </c>
      <c r="BH4">
        <f>+'CRSP Data'!BF4</f>
        <v>1475341880</v>
      </c>
      <c r="BI4">
        <f>+'CRSP Data'!BG4</f>
        <v>1829213890</v>
      </c>
      <c r="BJ4">
        <f>+'CRSP Data'!BH4</f>
        <v>1763960960</v>
      </c>
      <c r="BK4">
        <f>+'CRSP Data'!BI4</f>
        <v>2204344770</v>
      </c>
      <c r="BL4">
        <f>+'CRSP Data'!BJ4</f>
        <v>2478214090</v>
      </c>
      <c r="BM4">
        <f>+'CRSP Data'!BK4</f>
        <v>2482045390</v>
      </c>
      <c r="BN4">
        <f>+'CRSP Data'!BL4</f>
        <v>2717130600</v>
      </c>
      <c r="BO4">
        <f>+'CRSP Data'!BM4</f>
        <v>3305740000</v>
      </c>
      <c r="BP4">
        <f>+'CRSP Data'!BN4</f>
        <v>2979693820</v>
      </c>
      <c r="BQ4">
        <f>+'CRSP Data'!BO4</f>
        <v>3998499680</v>
      </c>
      <c r="BR4">
        <f>+'CRSP Data'!BP4</f>
        <v>4398072120</v>
      </c>
      <c r="BS4">
        <f>+'CRSP Data'!BQ4</f>
        <v>5057719780</v>
      </c>
      <c r="BT4">
        <f>+'CRSP Data'!BR4</f>
        <v>5003075170</v>
      </c>
      <c r="BU4">
        <f>+'CRSP Data'!BS4</f>
        <v>6787565600</v>
      </c>
      <c r="BV4">
        <f>+'CRSP Data'!BT4</f>
        <v>8308315630</v>
      </c>
      <c r="BW4">
        <f>+'CRSP Data'!BU4</f>
        <v>10797000000</v>
      </c>
      <c r="BX4">
        <f>+'CRSP Data'!BV4</f>
        <v>13300000000</v>
      </c>
      <c r="BY4">
        <f>+'CRSP Data'!BW4</f>
        <v>17021000000</v>
      </c>
      <c r="BZ4">
        <f>+'CRSP Data'!BX4</f>
        <v>15627000000</v>
      </c>
      <c r="CA4">
        <f>+'CRSP Data'!BY4</f>
        <v>13848000000</v>
      </c>
      <c r="CB4">
        <f>+'CRSP Data'!BZ4</f>
        <v>11030000000</v>
      </c>
      <c r="CC4">
        <f>+'CRSP Data'!CA4</f>
        <v>14582000000</v>
      </c>
      <c r="CD4">
        <f>+'CRSP Data'!CB4</f>
        <v>16455000000</v>
      </c>
      <c r="CE4">
        <f>+'CRSP Data'!CC4</f>
        <v>17376000000</v>
      </c>
      <c r="CF4">
        <f>+'CRSP Data'!CD4</f>
        <v>19557000000</v>
      </c>
      <c r="CG4">
        <f>+'CRSP Data'!CE4</f>
        <v>19873000000</v>
      </c>
      <c r="CH4">
        <f>+'CRSP Data'!CF4</f>
        <v>11719000000</v>
      </c>
      <c r="CI4">
        <f>+'CRSP Data'!CG4</f>
        <v>15071000000</v>
      </c>
      <c r="CJ4">
        <f>+'CRSP Data'!CH4</f>
        <v>17558000000</v>
      </c>
      <c r="CK4">
        <f>+'CRSP Data'!CI4</f>
        <v>16903000000</v>
      </c>
      <c r="CL4">
        <f>+'CRSP Data'!CJ4</f>
        <v>19104000000</v>
      </c>
      <c r="CM4">
        <f>+'CRSP Data'!CK4</f>
        <v>24735000000</v>
      </c>
      <c r="CN4">
        <f>+'CRSP Data'!CL4</f>
        <v>27141000000</v>
      </c>
      <c r="CO4">
        <f>+'CRSP Data'!CM4</f>
        <v>25714000000</v>
      </c>
      <c r="CP4">
        <f>+'CRSP Data'!CN4</f>
        <v>27851000000</v>
      </c>
      <c r="CQ4">
        <f>+'CRSP Data'!CO4</f>
        <v>32937000000</v>
      </c>
      <c r="CR4">
        <f>+'CRSP Data'!CP4</f>
        <v>29902000000</v>
      </c>
      <c r="CS4">
        <f>+'CRSP Data'!CQ4</f>
        <v>37759000000</v>
      </c>
      <c r="CT4">
        <f>+'CRSP Data'!CR4</f>
        <v>45724000000</v>
      </c>
      <c r="CU4">
        <f>+'CRSP Data'!CS4</f>
        <v>57740000000</v>
      </c>
      <c r="CV4">
        <f>+'CRSP Data'!CT4</f>
        <v>44822000000</v>
      </c>
      <c r="CW4">
        <f>+'CRSP Data'!CU4</f>
        <v>54608000000</v>
      </c>
      <c r="CX4">
        <f>+'CRSP Data'!CV4</f>
        <v>66272000000</v>
      </c>
    </row>
    <row r="5" spans="3:159">
      <c r="C5" t="s">
        <v>1839</v>
      </c>
      <c r="F5" s="16">
        <f>+'Summary All Corps'!B12</f>
        <v>173056.56436853419</v>
      </c>
      <c r="G5" s="16">
        <f>+'Summary All Corps'!C12</f>
        <v>164239.53049198946</v>
      </c>
      <c r="H5" s="16">
        <f>+'Summary All Corps'!D12</f>
        <v>132259.85243823251</v>
      </c>
      <c r="I5" s="16">
        <f>+'Summary All Corps'!E12</f>
        <v>85383.618286506506</v>
      </c>
      <c r="J5" s="16">
        <f>+'Summary All Corps'!F12</f>
        <v>73446.333846288093</v>
      </c>
      <c r="K5" s="16">
        <f>+'Summary All Corps'!G12</f>
        <v>96459.518319021503</v>
      </c>
      <c r="L5" s="16">
        <f>+'Summary All Corps'!H12</f>
        <v>84167.435714819585</v>
      </c>
      <c r="M5" s="16">
        <f>+'Summary All Corps'!I12</f>
        <v>111217.37040268263</v>
      </c>
      <c r="N5" s="16">
        <f>+'Summary All Corps'!J12</f>
        <v>141672.87345009367</v>
      </c>
      <c r="O5" s="16">
        <f>+'Summary All Corps'!K12</f>
        <v>100049.12906513148</v>
      </c>
      <c r="P5" s="16">
        <f>+'Summary All Corps'!L12</f>
        <v>120152.81533005257</v>
      </c>
      <c r="Q5" s="16">
        <f>+'Summary All Corps'!M12</f>
        <v>119845.77083429758</v>
      </c>
      <c r="R5" s="16">
        <f>+'Summary All Corps'!N12</f>
        <v>110153.13566978858</v>
      </c>
      <c r="S5" s="16">
        <f>+'Summary All Corps'!O12</f>
        <v>98766.354011973715</v>
      </c>
      <c r="T5" s="16">
        <f>+'Summary All Corps'!P12</f>
        <v>110002.48251871637</v>
      </c>
      <c r="U5" s="16">
        <f>+'Summary All Corps'!Q12</f>
        <v>127157.57478337362</v>
      </c>
      <c r="V5" s="16">
        <f>+'Summary All Corps'!R12</f>
        <v>140989.24790802388</v>
      </c>
      <c r="W5" s="16">
        <f>+'Summary All Corps'!S12</f>
        <v>152328</v>
      </c>
      <c r="X5" s="16">
        <f>+'Summary All Corps'!T12</f>
        <v>158831</v>
      </c>
      <c r="Y5" s="16">
        <f>+'Summary All Corps'!U12</f>
        <v>161921</v>
      </c>
      <c r="Z5" s="16">
        <f>+'Summary All Corps'!V12</f>
        <v>165216</v>
      </c>
      <c r="AA5" s="16">
        <f>+'Summary All Corps'!W12</f>
        <v>170947</v>
      </c>
      <c r="AB5" s="16">
        <f>+'Summary All Corps'!X12</f>
        <v>199319</v>
      </c>
      <c r="AC5" s="16">
        <f>+'Summary All Corps'!Y12</f>
        <v>246419</v>
      </c>
      <c r="AD5" s="16">
        <f>+'Summary All Corps'!Z12</f>
        <v>240284</v>
      </c>
      <c r="AE5" s="16">
        <f>+'Summary All Corps'!AA12</f>
        <v>236353</v>
      </c>
      <c r="AF5" s="16">
        <f>+'Summary All Corps'!AB12</f>
        <v>331169</v>
      </c>
      <c r="AG5" s="16">
        <f>+'Summary All Corps'!AC12</f>
        <v>429646</v>
      </c>
      <c r="AH5" s="16">
        <f>+'Summary All Corps'!AD12</f>
        <v>482419</v>
      </c>
      <c r="AI5" s="16">
        <f>+'Summary All Corps'!AE12</f>
        <v>443458</v>
      </c>
      <c r="AJ5" s="16">
        <f>+'Summary All Corps'!AF12</f>
        <v>592828</v>
      </c>
      <c r="AK5" s="16">
        <f>+'Summary All Corps'!AG12</f>
        <v>666595</v>
      </c>
      <c r="AL5" s="16">
        <f>+'Summary All Corps'!AH12</f>
        <v>676956</v>
      </c>
      <c r="AM5" s="16">
        <f>+'Summary All Corps'!AI12</f>
        <v>831452</v>
      </c>
      <c r="AN5" s="16">
        <f>+'Summary All Corps'!AJ12</f>
        <v>816110</v>
      </c>
      <c r="AO5" s="16">
        <f>+'Summary All Corps'!AK12</f>
        <v>866736</v>
      </c>
      <c r="AP5" s="16">
        <f>+'Summary All Corps'!AL12</f>
        <v>954184</v>
      </c>
      <c r="AQ5" s="16">
        <f>+'Summary All Corps'!AM12</f>
        <v>1038520</v>
      </c>
      <c r="AR5" s="16">
        <f>+'Summary All Corps'!AN12</f>
        <v>992433</v>
      </c>
      <c r="AS5" s="16">
        <f>+'Summary All Corps'!AO12</f>
        <v>1159507</v>
      </c>
      <c r="AT5" s="16">
        <f>+'Summary All Corps'!AP12</f>
        <v>1335224</v>
      </c>
      <c r="AU5" s="16">
        <f>+'Summary All Corps'!AQ12</f>
        <v>1213662</v>
      </c>
      <c r="AV5" s="16">
        <f>+'Summary All Corps'!AR12</f>
        <v>1228693</v>
      </c>
      <c r="AW5" s="16">
        <f>+'Summary All Corps'!AS12</f>
        <v>1356172</v>
      </c>
      <c r="AX5" s="16">
        <f>+'Summary All Corps'!AT12</f>
        <v>1537949</v>
      </c>
      <c r="AY5" s="16">
        <f>+'Summary All Corps'!AU12</f>
        <v>1304968</v>
      </c>
      <c r="AZ5" s="16">
        <f>+'Summary All Corps'!AV12</f>
        <v>993686</v>
      </c>
      <c r="BA5" s="16">
        <f>+'Summary All Corps'!AW12</f>
        <v>1330051</v>
      </c>
      <c r="BB5" s="16">
        <f>+'Summary All Corps'!AX12</f>
        <v>1476930</v>
      </c>
      <c r="BC5" s="16">
        <f>+'Summary All Corps'!AY12</f>
        <v>1399113</v>
      </c>
      <c r="BD5" s="16">
        <f>+'Summary All Corps'!AZ12</f>
        <v>1457404</v>
      </c>
      <c r="BE5" s="16">
        <f>+'Summary All Corps'!BA12</f>
        <v>1657768</v>
      </c>
      <c r="BF5" s="16">
        <f>+'Summary All Corps'!BB12</f>
        <v>2048076</v>
      </c>
      <c r="BG5" s="16">
        <f>+'Summary All Corps'!BC12</f>
        <v>2086764</v>
      </c>
      <c r="BH5" s="16">
        <f>+'Summary All Corps'!BD12</f>
        <v>2210892</v>
      </c>
      <c r="BI5" s="16">
        <f>+'Summary All Corps'!BE12</f>
        <v>2466090</v>
      </c>
      <c r="BJ5" s="16">
        <f>+'Summary All Corps'!BF12</f>
        <v>2520650</v>
      </c>
      <c r="BK5" s="16">
        <f>+'Summary All Corps'!BG12</f>
        <v>2917674</v>
      </c>
      <c r="BL5" s="16">
        <f>+'Summary All Corps'!BH12</f>
        <v>3286142</v>
      </c>
      <c r="BM5" s="16">
        <f>+'Summary All Corps'!BI12</f>
        <v>3395224</v>
      </c>
      <c r="BN5" s="16">
        <f>+'Summary All Corps'!BJ12</f>
        <v>3778294</v>
      </c>
      <c r="BO5" s="16">
        <f>+'Summary All Corps'!BK12</f>
        <v>4473803</v>
      </c>
      <c r="BP5" s="16">
        <f>+'Summary All Corps'!BL12</f>
        <v>4532359</v>
      </c>
      <c r="BQ5" s="16">
        <f>+'Summary All Corps'!BM12</f>
        <v>5667480</v>
      </c>
      <c r="BR5" s="16">
        <f>+'Summary All Corps'!BN12</f>
        <v>6440514</v>
      </c>
      <c r="BS5" s="16">
        <f>+'Summary All Corps'!BO12</f>
        <v>6721593</v>
      </c>
      <c r="BT5" s="16">
        <f>+'Summary All Corps'!BP12</f>
        <v>6735344</v>
      </c>
      <c r="BU5" s="16">
        <f>+'Summary All Corps'!BQ12</f>
        <v>8558357</v>
      </c>
      <c r="BV5" s="16">
        <f>+'Summary All Corps'!BR12</f>
        <v>9791542</v>
      </c>
      <c r="BW5" s="16">
        <f>+'Summary All Corps'!BS12</f>
        <v>12438770</v>
      </c>
      <c r="BX5" s="16">
        <f>+'Summary All Corps'!BT12</f>
        <v>15006702</v>
      </c>
      <c r="BY5" s="16">
        <f>+'Summary All Corps'!BU12</f>
        <v>18449080</v>
      </c>
      <c r="BZ5" s="16">
        <f>+'Summary All Corps'!BV12</f>
        <v>16720697</v>
      </c>
      <c r="CA5" s="16">
        <f>+'Summary All Corps'!BW12</f>
        <v>15587886</v>
      </c>
      <c r="CB5" s="16">
        <f>+'Summary All Corps'!BX12</f>
        <v>12627532</v>
      </c>
      <c r="CC5" s="16">
        <f>+'Summary All Corps'!BY12</f>
        <v>15129360</v>
      </c>
      <c r="CD5" s="16">
        <f>+'Summary All Corps'!BZ12</f>
        <v>16426362</v>
      </c>
      <c r="CE5" s="16">
        <f>+'Summary All Corps'!CA12</f>
        <v>16786232</v>
      </c>
      <c r="CF5" s="16">
        <f>+'Summary All Corps'!CB12</f>
        <v>18715518</v>
      </c>
      <c r="CG5" s="16">
        <f>+'Summary All Corps'!CC12</f>
        <v>18615500</v>
      </c>
      <c r="CH5" s="16">
        <f>+'Summary All Corps'!CD12</f>
        <v>14450976</v>
      </c>
      <c r="CI5" s="16">
        <f>+'Summary All Corps'!CE12</f>
        <v>15394506</v>
      </c>
      <c r="CJ5" s="16">
        <f>+'Summary All Corps'!CF12</f>
        <v>19365636</v>
      </c>
      <c r="CK5" s="16">
        <f>+'Summary All Corps'!CG12</f>
        <v>19737547</v>
      </c>
      <c r="CL5" s="16">
        <f>+'Summary All Corps'!CH12</f>
        <v>22126340</v>
      </c>
      <c r="CM5" s="16">
        <f>+'Summary All Corps'!CI12</f>
        <v>29018692</v>
      </c>
      <c r="CN5" s="16">
        <f>+'Summary All Corps'!CJ12</f>
        <v>32381103</v>
      </c>
      <c r="CO5" s="16">
        <f>+'Summary All Corps'!CK12</f>
        <v>32305927</v>
      </c>
      <c r="CP5" s="16">
        <f>+'Summary All Corps'!CL12</f>
        <v>34797842</v>
      </c>
      <c r="CQ5" s="16">
        <f>+'Summary All Corps'!CM12</f>
        <v>38975422</v>
      </c>
      <c r="CR5" s="16">
        <f>+'Summary All Corps'!CN12</f>
        <v>37754298</v>
      </c>
      <c r="CS5" s="16">
        <f>+'Summary All Corps'!CO12</f>
        <v>45077959</v>
      </c>
      <c r="CT5" s="16">
        <f>+'Summary All Corps'!CP12</f>
        <v>53087782</v>
      </c>
      <c r="CU5" s="16">
        <f>+'Summary All Corps'!CQ12</f>
        <v>66262885</v>
      </c>
      <c r="CV5" s="16">
        <f>+'Summary All Corps'!CR12</f>
        <v>56203327</v>
      </c>
      <c r="CW5" s="16">
        <f>+'Summary All Corps'!CS12</f>
        <v>66626284</v>
      </c>
      <c r="CX5" s="16">
        <f>+'Summary All Corps'!CT12</f>
        <v>81137445</v>
      </c>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row>
    <row r="8" spans="3:159">
      <c r="G8">
        <f t="shared" ref="G8:I8" si="3">+G2</f>
        <v>1929</v>
      </c>
      <c r="H8">
        <f t="shared" si="3"/>
        <v>1930</v>
      </c>
      <c r="I8">
        <f t="shared" si="3"/>
        <v>1931</v>
      </c>
      <c r="J8">
        <f t="shared" ref="J8:BU8" si="4">+J2</f>
        <v>1932</v>
      </c>
      <c r="K8">
        <f t="shared" si="4"/>
        <v>1933</v>
      </c>
      <c r="L8">
        <f t="shared" si="4"/>
        <v>1934</v>
      </c>
      <c r="M8">
        <f t="shared" si="4"/>
        <v>1935</v>
      </c>
      <c r="N8">
        <f t="shared" si="4"/>
        <v>1936</v>
      </c>
      <c r="O8">
        <f t="shared" si="4"/>
        <v>1937</v>
      </c>
      <c r="P8">
        <f t="shared" si="4"/>
        <v>1938</v>
      </c>
      <c r="Q8">
        <f t="shared" si="4"/>
        <v>1939</v>
      </c>
      <c r="R8">
        <f t="shared" si="4"/>
        <v>1940</v>
      </c>
      <c r="S8">
        <f t="shared" si="4"/>
        <v>1941</v>
      </c>
      <c r="T8">
        <f t="shared" si="4"/>
        <v>1942</v>
      </c>
      <c r="U8">
        <f t="shared" si="4"/>
        <v>1943</v>
      </c>
      <c r="V8">
        <f t="shared" si="4"/>
        <v>1944</v>
      </c>
      <c r="W8">
        <f t="shared" si="4"/>
        <v>1945</v>
      </c>
      <c r="X8">
        <f t="shared" si="4"/>
        <v>1946</v>
      </c>
      <c r="Y8">
        <f t="shared" si="4"/>
        <v>1947</v>
      </c>
      <c r="Z8">
        <f t="shared" si="4"/>
        <v>1948</v>
      </c>
      <c r="AA8">
        <f t="shared" si="4"/>
        <v>1949</v>
      </c>
      <c r="AB8">
        <f t="shared" si="4"/>
        <v>1950</v>
      </c>
      <c r="AC8">
        <f t="shared" si="4"/>
        <v>1951</v>
      </c>
      <c r="AD8">
        <f t="shared" si="4"/>
        <v>1952</v>
      </c>
      <c r="AE8">
        <f t="shared" si="4"/>
        <v>1953</v>
      </c>
      <c r="AF8">
        <f t="shared" si="4"/>
        <v>1954</v>
      </c>
      <c r="AG8">
        <f t="shared" si="4"/>
        <v>1955</v>
      </c>
      <c r="AH8">
        <f t="shared" si="4"/>
        <v>1956</v>
      </c>
      <c r="AI8">
        <f t="shared" si="4"/>
        <v>1957</v>
      </c>
      <c r="AJ8">
        <f t="shared" si="4"/>
        <v>1958</v>
      </c>
      <c r="AK8">
        <f t="shared" si="4"/>
        <v>1959</v>
      </c>
      <c r="AL8">
        <f t="shared" si="4"/>
        <v>1960</v>
      </c>
      <c r="AM8">
        <f t="shared" si="4"/>
        <v>1961</v>
      </c>
      <c r="AN8">
        <f t="shared" si="4"/>
        <v>1962</v>
      </c>
      <c r="AO8">
        <f t="shared" si="4"/>
        <v>1963</v>
      </c>
      <c r="AP8">
        <f t="shared" si="4"/>
        <v>1964</v>
      </c>
      <c r="AQ8">
        <f t="shared" si="4"/>
        <v>1965</v>
      </c>
      <c r="AR8">
        <f t="shared" si="4"/>
        <v>1966</v>
      </c>
      <c r="AS8">
        <f t="shared" si="4"/>
        <v>1967</v>
      </c>
      <c r="AT8">
        <f t="shared" si="4"/>
        <v>1968</v>
      </c>
      <c r="AU8">
        <f t="shared" si="4"/>
        <v>1969</v>
      </c>
      <c r="AV8">
        <f t="shared" si="4"/>
        <v>1970</v>
      </c>
      <c r="AW8">
        <f t="shared" si="4"/>
        <v>1971</v>
      </c>
      <c r="AX8">
        <f t="shared" si="4"/>
        <v>1972</v>
      </c>
      <c r="AY8">
        <f t="shared" si="4"/>
        <v>1973</v>
      </c>
      <c r="AZ8">
        <f t="shared" si="4"/>
        <v>1974</v>
      </c>
      <c r="BA8">
        <f t="shared" si="4"/>
        <v>1975</v>
      </c>
      <c r="BB8">
        <f t="shared" si="4"/>
        <v>1976</v>
      </c>
      <c r="BC8">
        <f t="shared" si="4"/>
        <v>1977</v>
      </c>
      <c r="BD8">
        <f t="shared" si="4"/>
        <v>1978</v>
      </c>
      <c r="BE8">
        <f t="shared" si="4"/>
        <v>1979</v>
      </c>
      <c r="BF8">
        <f t="shared" si="4"/>
        <v>1980</v>
      </c>
      <c r="BG8">
        <f t="shared" si="4"/>
        <v>1981</v>
      </c>
      <c r="BH8">
        <f t="shared" si="4"/>
        <v>1982</v>
      </c>
      <c r="BI8">
        <f t="shared" si="4"/>
        <v>1983</v>
      </c>
      <c r="BJ8">
        <f t="shared" si="4"/>
        <v>1984</v>
      </c>
      <c r="BK8">
        <f t="shared" si="4"/>
        <v>1985</v>
      </c>
      <c r="BL8">
        <f t="shared" si="4"/>
        <v>1986</v>
      </c>
      <c r="BM8">
        <f t="shared" si="4"/>
        <v>1987</v>
      </c>
      <c r="BN8">
        <f t="shared" si="4"/>
        <v>1988</v>
      </c>
      <c r="BO8">
        <f t="shared" si="4"/>
        <v>1989</v>
      </c>
      <c r="BP8">
        <f t="shared" si="4"/>
        <v>1990</v>
      </c>
      <c r="BQ8">
        <f t="shared" si="4"/>
        <v>1991</v>
      </c>
      <c r="BR8">
        <f t="shared" si="4"/>
        <v>1992</v>
      </c>
      <c r="BS8">
        <f t="shared" si="4"/>
        <v>1993</v>
      </c>
      <c r="BT8">
        <f t="shared" si="4"/>
        <v>1994</v>
      </c>
      <c r="BU8">
        <f t="shared" si="4"/>
        <v>1995</v>
      </c>
      <c r="BV8">
        <f t="shared" ref="BV8:CX8" si="5">+BV2</f>
        <v>1996</v>
      </c>
      <c r="BW8">
        <f t="shared" si="5"/>
        <v>1997</v>
      </c>
      <c r="BX8">
        <f t="shared" si="5"/>
        <v>1998</v>
      </c>
      <c r="BY8">
        <f t="shared" si="5"/>
        <v>1999</v>
      </c>
      <c r="BZ8">
        <f t="shared" si="5"/>
        <v>2000</v>
      </c>
      <c r="CA8">
        <f t="shared" si="5"/>
        <v>2001</v>
      </c>
      <c r="CB8">
        <f t="shared" si="5"/>
        <v>2002</v>
      </c>
      <c r="CC8">
        <f t="shared" si="5"/>
        <v>2003</v>
      </c>
      <c r="CD8">
        <f t="shared" si="5"/>
        <v>2004</v>
      </c>
      <c r="CE8">
        <f t="shared" si="5"/>
        <v>2005</v>
      </c>
      <c r="CF8">
        <f t="shared" si="5"/>
        <v>2006</v>
      </c>
      <c r="CG8">
        <f t="shared" si="5"/>
        <v>2007</v>
      </c>
      <c r="CH8">
        <f t="shared" si="5"/>
        <v>2008</v>
      </c>
      <c r="CI8">
        <f t="shared" si="5"/>
        <v>2009</v>
      </c>
      <c r="CJ8">
        <f t="shared" si="5"/>
        <v>2010</v>
      </c>
      <c r="CK8">
        <f t="shared" si="5"/>
        <v>2011</v>
      </c>
      <c r="CL8">
        <f t="shared" si="5"/>
        <v>2012</v>
      </c>
      <c r="CM8">
        <f t="shared" si="5"/>
        <v>2013</v>
      </c>
      <c r="CN8">
        <f t="shared" si="5"/>
        <v>2014</v>
      </c>
      <c r="CO8">
        <f t="shared" si="5"/>
        <v>2015</v>
      </c>
      <c r="CP8">
        <f t="shared" si="5"/>
        <v>2016</v>
      </c>
      <c r="CQ8">
        <f t="shared" si="5"/>
        <v>2017</v>
      </c>
      <c r="CR8">
        <f t="shared" si="5"/>
        <v>2018</v>
      </c>
      <c r="CS8">
        <f t="shared" si="5"/>
        <v>2019</v>
      </c>
      <c r="CT8">
        <f t="shared" si="5"/>
        <v>2020</v>
      </c>
      <c r="CU8">
        <f t="shared" si="5"/>
        <v>2021</v>
      </c>
      <c r="CV8">
        <f t="shared" si="5"/>
        <v>2022</v>
      </c>
      <c r="CW8">
        <f t="shared" si="5"/>
        <v>2023</v>
      </c>
      <c r="CX8">
        <f t="shared" si="5"/>
        <v>2024</v>
      </c>
    </row>
    <row r="9" spans="3:159">
      <c r="F9" t="s">
        <v>1563</v>
      </c>
      <c r="G9">
        <f t="shared" ref="G9:I9" si="6">+(G4/1000)/G3</f>
        <v>1.0300955497573259</v>
      </c>
      <c r="H9">
        <f t="shared" si="6"/>
        <v>0.86433332433890986</v>
      </c>
      <c r="I9">
        <f t="shared" si="6"/>
        <v>0.56926248744913599</v>
      </c>
      <c r="J9">
        <f t="shared" ref="J9:BU9" si="7">+(J4/1000)/J3</f>
        <v>0.65824278381967616</v>
      </c>
      <c r="K9">
        <f t="shared" si="7"/>
        <v>1.0334779059383836</v>
      </c>
      <c r="L9">
        <f t="shared" si="7"/>
        <v>0.83920088358208966</v>
      </c>
      <c r="M9">
        <f t="shared" si="7"/>
        <v>1.0655690688346302</v>
      </c>
      <c r="N9">
        <f t="shared" si="7"/>
        <v>1.2079889687295198</v>
      </c>
      <c r="O9">
        <f t="shared" si="7"/>
        <v>0.67516285607894244</v>
      </c>
      <c r="P9">
        <f t="shared" si="7"/>
        <v>0.94195228837209299</v>
      </c>
      <c r="Q9">
        <f t="shared" si="7"/>
        <v>0.8331382245419775</v>
      </c>
      <c r="R9">
        <f t="shared" si="7"/>
        <v>0.6436211015617781</v>
      </c>
      <c r="S9">
        <f t="shared" si="7"/>
        <v>0.42160405260524625</v>
      </c>
      <c r="T9">
        <f t="shared" si="7"/>
        <v>0.36843900866503576</v>
      </c>
      <c r="U9">
        <f t="shared" si="7"/>
        <v>0.38430945768346181</v>
      </c>
      <c r="V9">
        <f t="shared" si="7"/>
        <v>0.43682349859228459</v>
      </c>
      <c r="W9">
        <f t="shared" si="7"/>
        <v>0.63806768530365698</v>
      </c>
      <c r="X9">
        <f t="shared" si="7"/>
        <v>0.56408728723052348</v>
      </c>
      <c r="Y9">
        <f t="shared" si="7"/>
        <v>0.46967805228112286</v>
      </c>
      <c r="Z9">
        <f t="shared" si="7"/>
        <v>0.39915144971690303</v>
      </c>
      <c r="AA9">
        <f t="shared" si="7"/>
        <v>0.47086744277104231</v>
      </c>
      <c r="AB9">
        <f t="shared" si="7"/>
        <v>0.52329825863281398</v>
      </c>
      <c r="AC9">
        <f t="shared" si="7"/>
        <v>0.54214224585690374</v>
      </c>
      <c r="AD9">
        <f t="shared" si="7"/>
        <v>0.57011521481641003</v>
      </c>
      <c r="AE9">
        <f t="shared" si="7"/>
        <v>0.5176600217989904</v>
      </c>
      <c r="AF9">
        <f t="shared" si="7"/>
        <v>0.77158724288787373</v>
      </c>
      <c r="AG9">
        <f t="shared" si="7"/>
        <v>0.84622669716070731</v>
      </c>
      <c r="AH9">
        <f t="shared" si="7"/>
        <v>0.84532179577929478</v>
      </c>
      <c r="AI9">
        <f t="shared" si="7"/>
        <v>0.71754595449837766</v>
      </c>
      <c r="AJ9">
        <f t="shared" si="7"/>
        <v>1.0427280896776479</v>
      </c>
      <c r="AK9">
        <f t="shared" si="7"/>
        <v>1.0402701516110853</v>
      </c>
      <c r="AL9">
        <f t="shared" si="7"/>
        <v>0.99848227118271038</v>
      </c>
      <c r="AM9">
        <f t="shared" si="7"/>
        <v>1.2245847458450616</v>
      </c>
      <c r="AN9">
        <f t="shared" si="7"/>
        <v>1.0718641762166989</v>
      </c>
      <c r="AO9">
        <f t="shared" si="7"/>
        <v>1.188198076460284</v>
      </c>
      <c r="AP9">
        <f t="shared" si="7"/>
        <v>1.2698347332259017</v>
      </c>
      <c r="AQ9">
        <f t="shared" si="7"/>
        <v>1.3042382621048334</v>
      </c>
      <c r="AR9">
        <f t="shared" si="7"/>
        <v>1.0656172396740415</v>
      </c>
      <c r="AS9">
        <f t="shared" si="7"/>
        <v>1.2798636669028365</v>
      </c>
      <c r="AT9">
        <f t="shared" si="7"/>
        <v>1.3250535074920082</v>
      </c>
      <c r="AU9">
        <f t="shared" si="7"/>
        <v>1.0853536001679498</v>
      </c>
      <c r="AV9">
        <f t="shared" si="7"/>
        <v>1.0454915907973346</v>
      </c>
      <c r="AW9">
        <f t="shared" si="7"/>
        <v>1.1311480810140986</v>
      </c>
      <c r="AX9">
        <f t="shared" si="7"/>
        <v>1.3803812924511052</v>
      </c>
      <c r="AY9">
        <f t="shared" si="7"/>
        <v>0.97365260031601741</v>
      </c>
      <c r="AZ9">
        <f t="shared" si="7"/>
        <v>0.62152840051305169</v>
      </c>
      <c r="BA9">
        <f t="shared" si="7"/>
        <v>0.7703655106701397</v>
      </c>
      <c r="BB9">
        <f t="shared" si="7"/>
        <v>0.84773139993451718</v>
      </c>
      <c r="BC9">
        <f t="shared" si="7"/>
        <v>0.70257084474965503</v>
      </c>
      <c r="BD9">
        <f t="shared" si="7"/>
        <v>0.63880600615542082</v>
      </c>
      <c r="BE9">
        <f t="shared" si="7"/>
        <v>0.68285825148383839</v>
      </c>
      <c r="BF9">
        <f t="shared" si="7"/>
        <v>0.81375628017464952</v>
      </c>
      <c r="BG9">
        <f t="shared" si="7"/>
        <v>0.66573637946804609</v>
      </c>
      <c r="BH9">
        <f t="shared" si="7"/>
        <v>0.73088648619192342</v>
      </c>
      <c r="BI9">
        <f t="shared" si="7"/>
        <v>0.84200350847474792</v>
      </c>
      <c r="BJ9">
        <f t="shared" si="7"/>
        <v>0.72448563461869397</v>
      </c>
      <c r="BK9">
        <f t="shared" si="7"/>
        <v>0.84733834378950856</v>
      </c>
      <c r="BL9">
        <f t="shared" si="7"/>
        <v>0.91556070847489179</v>
      </c>
      <c r="BM9">
        <f t="shared" si="7"/>
        <v>0.85731653433538291</v>
      </c>
      <c r="BN9">
        <f t="shared" si="7"/>
        <v>0.86462962886355832</v>
      </c>
      <c r="BO9">
        <f t="shared" si="7"/>
        <v>0.99566073429881263</v>
      </c>
      <c r="BP9">
        <f t="shared" si="7"/>
        <v>0.85936138850154364</v>
      </c>
      <c r="BQ9">
        <f t="shared" si="7"/>
        <v>1.1248496510391743</v>
      </c>
      <c r="BR9">
        <f t="shared" si="7"/>
        <v>1.1752119635578038</v>
      </c>
      <c r="BS9">
        <f t="shared" si="7"/>
        <v>1.2906089802067591</v>
      </c>
      <c r="BT9">
        <f t="shared" si="7"/>
        <v>1.1883549073237238</v>
      </c>
      <c r="BU9">
        <f t="shared" si="7"/>
        <v>1.5170347894342537</v>
      </c>
      <c r="BV9">
        <f t="shared" ref="BV9:CX9" si="8">+(BV4/1000)/BV3</f>
        <v>1.7417103939977423</v>
      </c>
      <c r="BW9">
        <f t="shared" si="8"/>
        <v>2.0992954906658445</v>
      </c>
      <c r="BX9">
        <f t="shared" si="8"/>
        <v>2.4294695755515718</v>
      </c>
      <c r="BY9">
        <f t="shared" si="8"/>
        <v>2.9336127283046491</v>
      </c>
      <c r="BZ9">
        <f t="shared" si="8"/>
        <v>2.5139192978335605</v>
      </c>
      <c r="CA9">
        <f t="shared" si="8"/>
        <v>2.2326146500342681</v>
      </c>
      <c r="CB9">
        <f t="shared" si="8"/>
        <v>1.7511994843249388</v>
      </c>
      <c r="CC9">
        <f t="shared" si="8"/>
        <v>2.2348063969838847</v>
      </c>
      <c r="CD9">
        <f t="shared" si="8"/>
        <v>2.364221420435149</v>
      </c>
      <c r="CE9">
        <f t="shared" si="8"/>
        <v>2.321308600317443</v>
      </c>
      <c r="CF9">
        <f t="shared" si="8"/>
        <v>2.4356993796233701</v>
      </c>
      <c r="CG9">
        <f t="shared" si="8"/>
        <v>2.4237559057173224</v>
      </c>
      <c r="CH9">
        <f t="shared" si="8"/>
        <v>1.4452221466389306</v>
      </c>
      <c r="CI9">
        <f t="shared" si="8"/>
        <v>1.9278943711905985</v>
      </c>
      <c r="CJ9">
        <f t="shared" si="8"/>
        <v>2.1316033814285604</v>
      </c>
      <c r="CK9">
        <f t="shared" si="8"/>
        <v>1.9602172045444846</v>
      </c>
      <c r="CL9">
        <f t="shared" si="8"/>
        <v>2.0824081637725076</v>
      </c>
      <c r="CM9">
        <f t="shared" si="8"/>
        <v>2.6155392108293793</v>
      </c>
      <c r="CN9">
        <f t="shared" si="8"/>
        <v>2.7015346221653842</v>
      </c>
      <c r="CO9">
        <f t="shared" si="8"/>
        <v>2.4514005129312948</v>
      </c>
      <c r="CP9">
        <f t="shared" si="8"/>
        <v>2.606701518777311</v>
      </c>
      <c r="CQ9">
        <f t="shared" si="8"/>
        <v>2.9585806789240672</v>
      </c>
      <c r="CR9">
        <f t="shared" si="8"/>
        <v>2.5348520970344297</v>
      </c>
      <c r="CS9">
        <f t="shared" si="8"/>
        <v>3.0617335125013825</v>
      </c>
      <c r="CT9">
        <f t="shared" si="8"/>
        <v>3.7803129233309316</v>
      </c>
      <c r="CU9">
        <f t="shared" si="8"/>
        <v>4.1783524005336483</v>
      </c>
      <c r="CV9">
        <f t="shared" si="8"/>
        <v>2.925221949959139</v>
      </c>
      <c r="CW9">
        <f t="shared" si="8"/>
        <v>3.3863477500333623</v>
      </c>
      <c r="CX9">
        <f t="shared" si="8"/>
        <v>3.9072985863694165</v>
      </c>
    </row>
    <row r="10" spans="3:159">
      <c r="F10" t="s">
        <v>1839</v>
      </c>
      <c r="G10">
        <f t="shared" ref="G10:I10" si="9">+G5/G3</f>
        <v>2.9967436136917391</v>
      </c>
      <c r="H10">
        <f t="shared" si="9"/>
        <v>2.7452333521157479</v>
      </c>
      <c r="I10">
        <f t="shared" si="9"/>
        <v>2.2560803859458463</v>
      </c>
      <c r="J10">
        <f t="shared" ref="J10:BU10" si="10">+J5/J3</f>
        <v>2.6361700529876204</v>
      </c>
      <c r="K10">
        <f t="shared" si="10"/>
        <v>3.5890578329744569</v>
      </c>
      <c r="L10">
        <f t="shared" si="10"/>
        <v>2.5124607676065547</v>
      </c>
      <c r="M10">
        <f t="shared" si="10"/>
        <v>2.9939798746246704</v>
      </c>
      <c r="N10">
        <f t="shared" si="10"/>
        <v>3.3160020936731969</v>
      </c>
      <c r="O10">
        <f t="shared" si="10"/>
        <v>2.0697393215650197</v>
      </c>
      <c r="P10">
        <f t="shared" si="10"/>
        <v>2.7942515193035482</v>
      </c>
      <c r="Q10">
        <f t="shared" si="10"/>
        <v>2.5325057759292009</v>
      </c>
      <c r="R10">
        <f t="shared" si="10"/>
        <v>2.0359141607945399</v>
      </c>
      <c r="S10">
        <f t="shared" si="10"/>
        <v>1.4118555358726854</v>
      </c>
      <c r="T10">
        <f t="shared" si="10"/>
        <v>1.2574873970451583</v>
      </c>
      <c r="U10">
        <f t="shared" si="10"/>
        <v>1.2287893042594231</v>
      </c>
      <c r="V10">
        <f t="shared" si="10"/>
        <v>1.3143889760783836</v>
      </c>
      <c r="W10">
        <f t="shared" si="10"/>
        <v>1.5108757104174726</v>
      </c>
      <c r="X10">
        <f t="shared" si="10"/>
        <v>1.5011388660485601</v>
      </c>
      <c r="Y10">
        <f t="shared" si="10"/>
        <v>1.2699387465392971</v>
      </c>
      <c r="Z10">
        <f t="shared" si="10"/>
        <v>1.1311283487262345</v>
      </c>
      <c r="AA10">
        <f t="shared" si="10"/>
        <v>1.1952496818671254</v>
      </c>
      <c r="AB10">
        <f t="shared" si="10"/>
        <v>1.2294989945347101</v>
      </c>
      <c r="AC10">
        <f t="shared" si="10"/>
        <v>1.326323664763094</v>
      </c>
      <c r="AD10">
        <f t="shared" si="10"/>
        <v>1.2320550487881166</v>
      </c>
      <c r="AE10">
        <f t="shared" si="10"/>
        <v>1.1298808704298609</v>
      </c>
      <c r="AF10">
        <f t="shared" si="10"/>
        <v>1.6008943030478815</v>
      </c>
      <c r="AG10">
        <f t="shared" si="10"/>
        <v>1.8435707205718921</v>
      </c>
      <c r="AH10">
        <f t="shared" si="10"/>
        <v>1.9292669953969759</v>
      </c>
      <c r="AI10">
        <f t="shared" si="10"/>
        <v>1.6947806513007289</v>
      </c>
      <c r="AJ10">
        <f t="shared" si="10"/>
        <v>2.3082416063481435</v>
      </c>
      <c r="AK10">
        <f t="shared" si="10"/>
        <v>2.319026878091885</v>
      </c>
      <c r="AL10">
        <f t="shared" si="10"/>
        <v>2.25743049696711</v>
      </c>
      <c r="AM10">
        <f t="shared" si="10"/>
        <v>2.6931451208017387</v>
      </c>
      <c r="AN10">
        <f t="shared" si="10"/>
        <v>2.429260306593243</v>
      </c>
      <c r="AO10">
        <f t="shared" si="10"/>
        <v>2.4253725913779305</v>
      </c>
      <c r="AP10">
        <f t="shared" si="10"/>
        <v>2.4720945536320347</v>
      </c>
      <c r="AQ10">
        <f t="shared" si="10"/>
        <v>2.4506285145253281</v>
      </c>
      <c r="AR10">
        <f t="shared" si="10"/>
        <v>2.1338515126104625</v>
      </c>
      <c r="AS10">
        <f t="shared" si="10"/>
        <v>2.3606944206917331</v>
      </c>
      <c r="AT10">
        <f t="shared" si="10"/>
        <v>2.4630084982595815</v>
      </c>
      <c r="AU10">
        <f t="shared" si="10"/>
        <v>2.0547800485225673</v>
      </c>
      <c r="AV10">
        <f t="shared" si="10"/>
        <v>2.007251763114517</v>
      </c>
      <c r="AW10">
        <f t="shared" si="10"/>
        <v>2.0519395632162345</v>
      </c>
      <c r="AX10">
        <f t="shared" si="10"/>
        <v>2.0984374445696696</v>
      </c>
      <c r="AY10">
        <f t="shared" si="10"/>
        <v>1.5910208142324873</v>
      </c>
      <c r="AZ10">
        <f t="shared" si="10"/>
        <v>1.1170295162093529</v>
      </c>
      <c r="BA10">
        <f t="shared" si="10"/>
        <v>1.3775132179235561</v>
      </c>
      <c r="BB10">
        <f t="shared" si="10"/>
        <v>1.3583363683519296</v>
      </c>
      <c r="BC10">
        <f t="shared" si="10"/>
        <v>1.1351654619523106</v>
      </c>
      <c r="BD10">
        <f t="shared" si="10"/>
        <v>1.0359047260269105</v>
      </c>
      <c r="BE10">
        <f t="shared" si="10"/>
        <v>1.0597134282180196</v>
      </c>
      <c r="BF10">
        <f t="shared" si="10"/>
        <v>1.203065588725438</v>
      </c>
      <c r="BG10">
        <f t="shared" si="10"/>
        <v>1.0783585598900332</v>
      </c>
      <c r="BH10">
        <f t="shared" si="10"/>
        <v>1.0952790720140297</v>
      </c>
      <c r="BI10">
        <f t="shared" si="10"/>
        <v>1.1351632761844439</v>
      </c>
      <c r="BJ10">
        <f t="shared" si="10"/>
        <v>1.0352693491026077</v>
      </c>
      <c r="BK10">
        <f t="shared" si="10"/>
        <v>1.1215382858996739</v>
      </c>
      <c r="BL10">
        <f t="shared" si="10"/>
        <v>1.2140446258495359</v>
      </c>
      <c r="BM10">
        <f t="shared" si="10"/>
        <v>1.1727350695114871</v>
      </c>
      <c r="BN10">
        <f t="shared" si="10"/>
        <v>1.202306925900952</v>
      </c>
      <c r="BO10">
        <f t="shared" si="10"/>
        <v>1.3474713619607805</v>
      </c>
      <c r="BP10">
        <f t="shared" si="10"/>
        <v>1.3071592447802129</v>
      </c>
      <c r="BQ10">
        <f t="shared" si="10"/>
        <v>1.5943637390191063</v>
      </c>
      <c r="BR10">
        <f t="shared" si="10"/>
        <v>1.7209743036822971</v>
      </c>
      <c r="BS10">
        <f t="shared" si="10"/>
        <v>1.7151895843258618</v>
      </c>
      <c r="BT10">
        <f t="shared" si="10"/>
        <v>1.5998118802827022</v>
      </c>
      <c r="BU10">
        <f t="shared" si="10"/>
        <v>1.9128102878885136</v>
      </c>
      <c r="BV10">
        <f t="shared" ref="BV10:CX10" si="11">+BV5/BV3</f>
        <v>2.0526459554673226</v>
      </c>
      <c r="BW10">
        <f t="shared" si="11"/>
        <v>2.4185101204436035</v>
      </c>
      <c r="BX10">
        <f t="shared" si="11"/>
        <v>2.7412275141630769</v>
      </c>
      <c r="BY10">
        <f t="shared" si="11"/>
        <v>3.179745955790537</v>
      </c>
      <c r="BZ10">
        <f t="shared" si="11"/>
        <v>2.6898626007248811</v>
      </c>
      <c r="CA10">
        <f t="shared" si="11"/>
        <v>2.5131241079335691</v>
      </c>
      <c r="CB10">
        <f t="shared" si="11"/>
        <v>2.0048347712326984</v>
      </c>
      <c r="CC10">
        <f t="shared" si="11"/>
        <v>2.3186936298362442</v>
      </c>
      <c r="CD10">
        <f t="shared" si="11"/>
        <v>2.3601067699922185</v>
      </c>
      <c r="CE10">
        <f t="shared" si="11"/>
        <v>2.2425198381977367</v>
      </c>
      <c r="CF10">
        <f t="shared" si="11"/>
        <v>2.3308981736426864</v>
      </c>
      <c r="CG10">
        <f t="shared" si="11"/>
        <v>2.2703883692890261</v>
      </c>
      <c r="CH10">
        <f t="shared" si="11"/>
        <v>1.7821376018216286</v>
      </c>
      <c r="CI10">
        <f t="shared" si="11"/>
        <v>1.9692775173949901</v>
      </c>
      <c r="CJ10">
        <f t="shared" si="11"/>
        <v>2.3510567935479361</v>
      </c>
      <c r="CK10">
        <f t="shared" si="11"/>
        <v>2.2889356448503451</v>
      </c>
      <c r="CL10">
        <f t="shared" si="11"/>
        <v>2.4118546404107088</v>
      </c>
      <c r="CM10">
        <f t="shared" si="11"/>
        <v>3.0685072477453335</v>
      </c>
      <c r="CN10">
        <f t="shared" si="11"/>
        <v>3.2231189292363358</v>
      </c>
      <c r="CO10">
        <f t="shared" si="11"/>
        <v>3.079830676616667</v>
      </c>
      <c r="CP10">
        <f t="shared" si="11"/>
        <v>3.2568879965377509</v>
      </c>
      <c r="CQ10">
        <f t="shared" si="11"/>
        <v>3.5009846216143554</v>
      </c>
      <c r="CR10">
        <f t="shared" si="11"/>
        <v>3.2005070382370002</v>
      </c>
      <c r="CS10">
        <f t="shared" si="11"/>
        <v>3.6552000250394161</v>
      </c>
      <c r="CT10">
        <f t="shared" si="11"/>
        <v>4.3891266810772285</v>
      </c>
      <c r="CU10">
        <f t="shared" si="11"/>
        <v>4.7951105750958618</v>
      </c>
      <c r="CV10">
        <f t="shared" si="11"/>
        <v>3.6680024497151202</v>
      </c>
      <c r="CW10">
        <f t="shared" si="11"/>
        <v>4.1316247970349362</v>
      </c>
      <c r="CX10">
        <f t="shared" si="11"/>
        <v>4.7837431215313604</v>
      </c>
    </row>
    <row r="13" spans="3:159">
      <c r="G13">
        <f>+G8</f>
        <v>1929</v>
      </c>
      <c r="H13">
        <f t="shared" ref="H13:BS13" si="12">+H8</f>
        <v>1930</v>
      </c>
      <c r="I13">
        <f t="shared" si="12"/>
        <v>1931</v>
      </c>
      <c r="J13">
        <f t="shared" si="12"/>
        <v>1932</v>
      </c>
      <c r="K13">
        <f t="shared" si="12"/>
        <v>1933</v>
      </c>
      <c r="L13">
        <f t="shared" si="12"/>
        <v>1934</v>
      </c>
      <c r="M13">
        <f t="shared" si="12"/>
        <v>1935</v>
      </c>
      <c r="N13">
        <f t="shared" si="12"/>
        <v>1936</v>
      </c>
      <c r="O13">
        <f t="shared" si="12"/>
        <v>1937</v>
      </c>
      <c r="P13">
        <f t="shared" si="12"/>
        <v>1938</v>
      </c>
      <c r="Q13">
        <f t="shared" si="12"/>
        <v>1939</v>
      </c>
      <c r="R13">
        <f t="shared" si="12"/>
        <v>1940</v>
      </c>
      <c r="S13">
        <f t="shared" si="12"/>
        <v>1941</v>
      </c>
      <c r="T13">
        <f t="shared" si="12"/>
        <v>1942</v>
      </c>
      <c r="U13">
        <f t="shared" si="12"/>
        <v>1943</v>
      </c>
      <c r="V13">
        <f t="shared" si="12"/>
        <v>1944</v>
      </c>
      <c r="W13">
        <f t="shared" si="12"/>
        <v>1945</v>
      </c>
      <c r="X13">
        <f t="shared" si="12"/>
        <v>1946</v>
      </c>
      <c r="Y13">
        <f t="shared" si="12"/>
        <v>1947</v>
      </c>
      <c r="Z13">
        <f t="shared" si="12"/>
        <v>1948</v>
      </c>
      <c r="AA13">
        <f t="shared" si="12"/>
        <v>1949</v>
      </c>
      <c r="AB13">
        <f t="shared" si="12"/>
        <v>1950</v>
      </c>
      <c r="AC13">
        <f t="shared" si="12"/>
        <v>1951</v>
      </c>
      <c r="AD13">
        <f t="shared" si="12"/>
        <v>1952</v>
      </c>
      <c r="AE13">
        <f t="shared" si="12"/>
        <v>1953</v>
      </c>
      <c r="AF13">
        <f t="shared" si="12"/>
        <v>1954</v>
      </c>
      <c r="AG13">
        <f t="shared" si="12"/>
        <v>1955</v>
      </c>
      <c r="AH13">
        <f t="shared" si="12"/>
        <v>1956</v>
      </c>
      <c r="AI13">
        <f t="shared" si="12"/>
        <v>1957</v>
      </c>
      <c r="AJ13">
        <f t="shared" si="12"/>
        <v>1958</v>
      </c>
      <c r="AK13">
        <f t="shared" si="12"/>
        <v>1959</v>
      </c>
      <c r="AL13">
        <f t="shared" si="12"/>
        <v>1960</v>
      </c>
      <c r="AM13">
        <f t="shared" si="12"/>
        <v>1961</v>
      </c>
      <c r="AN13">
        <f t="shared" si="12"/>
        <v>1962</v>
      </c>
      <c r="AO13">
        <f t="shared" si="12"/>
        <v>1963</v>
      </c>
      <c r="AP13">
        <f t="shared" si="12"/>
        <v>1964</v>
      </c>
      <c r="AQ13">
        <f t="shared" si="12"/>
        <v>1965</v>
      </c>
      <c r="AR13">
        <f t="shared" si="12"/>
        <v>1966</v>
      </c>
      <c r="AS13">
        <f t="shared" si="12"/>
        <v>1967</v>
      </c>
      <c r="AT13">
        <f t="shared" si="12"/>
        <v>1968</v>
      </c>
      <c r="AU13">
        <f t="shared" si="12"/>
        <v>1969</v>
      </c>
      <c r="AV13">
        <f t="shared" si="12"/>
        <v>1970</v>
      </c>
      <c r="AW13">
        <f t="shared" si="12"/>
        <v>1971</v>
      </c>
      <c r="AX13">
        <f t="shared" si="12"/>
        <v>1972</v>
      </c>
      <c r="AY13">
        <f t="shared" si="12"/>
        <v>1973</v>
      </c>
      <c r="AZ13">
        <f t="shared" si="12"/>
        <v>1974</v>
      </c>
      <c r="BA13">
        <f t="shared" si="12"/>
        <v>1975</v>
      </c>
      <c r="BB13">
        <f t="shared" si="12"/>
        <v>1976</v>
      </c>
      <c r="BC13">
        <f t="shared" si="12"/>
        <v>1977</v>
      </c>
      <c r="BD13">
        <f t="shared" si="12"/>
        <v>1978</v>
      </c>
      <c r="BE13">
        <f t="shared" si="12"/>
        <v>1979</v>
      </c>
      <c r="BF13">
        <f t="shared" si="12"/>
        <v>1980</v>
      </c>
      <c r="BG13">
        <f t="shared" si="12"/>
        <v>1981</v>
      </c>
      <c r="BH13">
        <f t="shared" si="12"/>
        <v>1982</v>
      </c>
      <c r="BI13">
        <f t="shared" si="12"/>
        <v>1983</v>
      </c>
      <c r="BJ13">
        <f t="shared" si="12"/>
        <v>1984</v>
      </c>
      <c r="BK13">
        <f t="shared" si="12"/>
        <v>1985</v>
      </c>
      <c r="BL13">
        <f t="shared" si="12"/>
        <v>1986</v>
      </c>
      <c r="BM13">
        <f t="shared" si="12"/>
        <v>1987</v>
      </c>
      <c r="BN13">
        <f t="shared" si="12"/>
        <v>1988</v>
      </c>
      <c r="BO13">
        <f t="shared" si="12"/>
        <v>1989</v>
      </c>
      <c r="BP13">
        <f t="shared" si="12"/>
        <v>1990</v>
      </c>
      <c r="BQ13">
        <f t="shared" si="12"/>
        <v>1991</v>
      </c>
      <c r="BR13">
        <f t="shared" si="12"/>
        <v>1992</v>
      </c>
      <c r="BS13">
        <f t="shared" si="12"/>
        <v>1993</v>
      </c>
      <c r="BT13">
        <f t="shared" ref="BT13:CX13" si="13">+BT8</f>
        <v>1994</v>
      </c>
      <c r="BU13">
        <f t="shared" si="13"/>
        <v>1995</v>
      </c>
      <c r="BV13">
        <f t="shared" si="13"/>
        <v>1996</v>
      </c>
      <c r="BW13">
        <f t="shared" si="13"/>
        <v>1997</v>
      </c>
      <c r="BX13">
        <f t="shared" si="13"/>
        <v>1998</v>
      </c>
      <c r="BY13">
        <f t="shared" si="13"/>
        <v>1999</v>
      </c>
      <c r="BZ13">
        <f t="shared" si="13"/>
        <v>2000</v>
      </c>
      <c r="CA13">
        <f t="shared" si="13"/>
        <v>2001</v>
      </c>
      <c r="CB13">
        <f t="shared" si="13"/>
        <v>2002</v>
      </c>
      <c r="CC13">
        <f t="shared" si="13"/>
        <v>2003</v>
      </c>
      <c r="CD13">
        <f t="shared" si="13"/>
        <v>2004</v>
      </c>
      <c r="CE13">
        <f t="shared" si="13"/>
        <v>2005</v>
      </c>
      <c r="CF13">
        <f t="shared" si="13"/>
        <v>2006</v>
      </c>
      <c r="CG13">
        <f t="shared" si="13"/>
        <v>2007</v>
      </c>
      <c r="CH13">
        <f t="shared" si="13"/>
        <v>2008</v>
      </c>
      <c r="CI13">
        <f t="shared" si="13"/>
        <v>2009</v>
      </c>
      <c r="CJ13">
        <f t="shared" si="13"/>
        <v>2010</v>
      </c>
      <c r="CK13">
        <f t="shared" si="13"/>
        <v>2011</v>
      </c>
      <c r="CL13">
        <f t="shared" si="13"/>
        <v>2012</v>
      </c>
      <c r="CM13">
        <f t="shared" si="13"/>
        <v>2013</v>
      </c>
      <c r="CN13">
        <f t="shared" si="13"/>
        <v>2014</v>
      </c>
      <c r="CO13">
        <f t="shared" si="13"/>
        <v>2015</v>
      </c>
      <c r="CP13">
        <f t="shared" si="13"/>
        <v>2016</v>
      </c>
      <c r="CQ13">
        <f t="shared" si="13"/>
        <v>2017</v>
      </c>
      <c r="CR13">
        <f t="shared" si="13"/>
        <v>2018</v>
      </c>
      <c r="CS13">
        <f t="shared" si="13"/>
        <v>2019</v>
      </c>
      <c r="CT13">
        <f t="shared" si="13"/>
        <v>2020</v>
      </c>
      <c r="CU13">
        <f t="shared" si="13"/>
        <v>2021</v>
      </c>
      <c r="CV13">
        <f t="shared" si="13"/>
        <v>2022</v>
      </c>
      <c r="CW13">
        <f t="shared" si="13"/>
        <v>2023</v>
      </c>
      <c r="CX13">
        <f t="shared" si="13"/>
        <v>2024</v>
      </c>
    </row>
    <row r="14" spans="3:159">
      <c r="F14" t="s">
        <v>1563</v>
      </c>
      <c r="G14">
        <f>+G9/$G$9</f>
        <v>1</v>
      </c>
      <c r="H14">
        <f t="shared" ref="H14:BS14" si="14">+H9/$G$9</f>
        <v>0.8390807285232259</v>
      </c>
      <c r="I14">
        <f t="shared" si="14"/>
        <v>0.5526307608874198</v>
      </c>
      <c r="J14">
        <f t="shared" si="14"/>
        <v>0.63901138489021503</v>
      </c>
      <c r="K14">
        <f t="shared" si="14"/>
        <v>1.0032835363494723</v>
      </c>
      <c r="L14">
        <f t="shared" si="14"/>
        <v>0.81468256394253136</v>
      </c>
      <c r="M14">
        <f t="shared" si="14"/>
        <v>1.0344371151643761</v>
      </c>
      <c r="N14">
        <f t="shared" si="14"/>
        <v>1.1726960368036758</v>
      </c>
      <c r="O14">
        <f t="shared" si="14"/>
        <v>0.65543711574911678</v>
      </c>
      <c r="P14">
        <f t="shared" si="14"/>
        <v>0.91443195594234139</v>
      </c>
      <c r="Q14">
        <f t="shared" si="14"/>
        <v>0.80879703318614626</v>
      </c>
      <c r="R14">
        <f t="shared" si="14"/>
        <v>0.62481689364972504</v>
      </c>
      <c r="S14">
        <f t="shared" si="14"/>
        <v>0.40928635475084757</v>
      </c>
      <c r="T14">
        <f t="shared" si="14"/>
        <v>0.35767459509152733</v>
      </c>
      <c r="U14">
        <f t="shared" si="14"/>
        <v>0.37308136878564224</v>
      </c>
      <c r="V14">
        <f t="shared" si="14"/>
        <v>0.42406114529394218</v>
      </c>
      <c r="W14">
        <f t="shared" si="14"/>
        <v>0.61942572750069214</v>
      </c>
      <c r="X14">
        <f t="shared" si="14"/>
        <v>0.5476067607159486</v>
      </c>
      <c r="Y14">
        <f t="shared" si="14"/>
        <v>0.45595581146988895</v>
      </c>
      <c r="Z14">
        <f t="shared" si="14"/>
        <v>0.38748973317177882</v>
      </c>
      <c r="AA14">
        <f t="shared" si="14"/>
        <v>0.45711045240606196</v>
      </c>
      <c r="AB14">
        <f t="shared" si="14"/>
        <v>0.50800943539276011</v>
      </c>
      <c r="AC14">
        <f t="shared" si="14"/>
        <v>0.52630287159732303</v>
      </c>
      <c r="AD14">
        <f t="shared" si="14"/>
        <v>0.55345857474165394</v>
      </c>
      <c r="AE14">
        <f t="shared" si="14"/>
        <v>0.50253592680887016</v>
      </c>
      <c r="AF14">
        <f t="shared" si="14"/>
        <v>0.74904434163379063</v>
      </c>
      <c r="AG14">
        <f t="shared" si="14"/>
        <v>0.8215031094543267</v>
      </c>
      <c r="AH14">
        <f t="shared" si="14"/>
        <v>0.82062464591604067</v>
      </c>
      <c r="AI14">
        <f t="shared" si="14"/>
        <v>0.69658193811964342</v>
      </c>
      <c r="AJ14">
        <f t="shared" si="14"/>
        <v>1.0122634642226132</v>
      </c>
      <c r="AK14">
        <f t="shared" si="14"/>
        <v>1.0098773379383654</v>
      </c>
      <c r="AL14">
        <f t="shared" si="14"/>
        <v>0.96931034350933454</v>
      </c>
      <c r="AM14">
        <f t="shared" si="14"/>
        <v>1.1888069472133476</v>
      </c>
      <c r="AN14">
        <f t="shared" si="14"/>
        <v>1.0405483029891869</v>
      </c>
      <c r="AO14">
        <f t="shared" si="14"/>
        <v>1.1534833605874761</v>
      </c>
      <c r="AP14">
        <f t="shared" si="14"/>
        <v>1.2327348987431841</v>
      </c>
      <c r="AQ14">
        <f t="shared" si="14"/>
        <v>1.2661332848317723</v>
      </c>
      <c r="AR14">
        <f t="shared" si="14"/>
        <v>1.0344838786315347</v>
      </c>
      <c r="AS14">
        <f t="shared" si="14"/>
        <v>1.2424708243855165</v>
      </c>
      <c r="AT14">
        <f t="shared" si="14"/>
        <v>1.2863403863885925</v>
      </c>
      <c r="AU14">
        <f t="shared" si="14"/>
        <v>1.0536436162874812</v>
      </c>
      <c r="AV14">
        <f t="shared" si="14"/>
        <v>1.0149462261473081</v>
      </c>
      <c r="AW14">
        <f t="shared" si="14"/>
        <v>1.0981001532145043</v>
      </c>
      <c r="AX14">
        <f t="shared" si="14"/>
        <v>1.3400516998411469</v>
      </c>
      <c r="AY14">
        <f t="shared" si="14"/>
        <v>0.94520610301189489</v>
      </c>
      <c r="AZ14">
        <f t="shared" si="14"/>
        <v>0.60336965892093597</v>
      </c>
      <c r="BA14">
        <f t="shared" si="14"/>
        <v>0.74785830387445662</v>
      </c>
      <c r="BB14">
        <f t="shared" si="14"/>
        <v>0.82296385042555442</v>
      </c>
      <c r="BC14">
        <f t="shared" si="14"/>
        <v>0.68204434522134338</v>
      </c>
      <c r="BD14">
        <f t="shared" si="14"/>
        <v>0.62014247737106853</v>
      </c>
      <c r="BE14">
        <f t="shared" si="14"/>
        <v>0.66290768040373438</v>
      </c>
      <c r="BF14">
        <f t="shared" si="14"/>
        <v>0.78998135693951654</v>
      </c>
      <c r="BG14">
        <f t="shared" si="14"/>
        <v>0.64628604562448888</v>
      </c>
      <c r="BH14">
        <f t="shared" si="14"/>
        <v>0.7095327092366418</v>
      </c>
      <c r="BI14">
        <f t="shared" si="14"/>
        <v>0.81740330658948146</v>
      </c>
      <c r="BJ14">
        <f t="shared" si="14"/>
        <v>0.70331886667151533</v>
      </c>
      <c r="BK14">
        <f t="shared" si="14"/>
        <v>0.82258227791502259</v>
      </c>
      <c r="BL14">
        <f t="shared" si="14"/>
        <v>0.88881143957041975</v>
      </c>
      <c r="BM14">
        <f t="shared" si="14"/>
        <v>0.83226894295131459</v>
      </c>
      <c r="BN14">
        <f t="shared" si="14"/>
        <v>0.8393683761348657</v>
      </c>
      <c r="BO14">
        <f t="shared" si="14"/>
        <v>0.9665712414089882</v>
      </c>
      <c r="BP14">
        <f t="shared" si="14"/>
        <v>0.83425405410594733</v>
      </c>
      <c r="BQ14">
        <f t="shared" si="14"/>
        <v>1.0919857398706081</v>
      </c>
      <c r="BR14">
        <f t="shared" si="14"/>
        <v>1.1408766534664334</v>
      </c>
      <c r="BS14">
        <f t="shared" si="14"/>
        <v>1.2529021997141974</v>
      </c>
      <c r="BT14">
        <f t="shared" ref="BT14:CX14" si="15">+BT9/$G$9</f>
        <v>1.1536356094380578</v>
      </c>
      <c r="BU14">
        <f t="shared" si="15"/>
        <v>1.4727126913533828</v>
      </c>
      <c r="BV14">
        <f t="shared" si="15"/>
        <v>1.6908241127806654</v>
      </c>
      <c r="BW14">
        <f t="shared" si="15"/>
        <v>2.0379619066992429</v>
      </c>
      <c r="BX14">
        <f t="shared" si="15"/>
        <v>2.3584895363579781</v>
      </c>
      <c r="BY14">
        <f t="shared" si="15"/>
        <v>2.8479035066171887</v>
      </c>
      <c r="BZ14">
        <f t="shared" si="15"/>
        <v>2.440471952748267</v>
      </c>
      <c r="CA14">
        <f t="shared" si="15"/>
        <v>2.1673859775049378</v>
      </c>
      <c r="CB14">
        <f t="shared" si="15"/>
        <v>1.7000359672823493</v>
      </c>
      <c r="CC14">
        <f t="shared" si="15"/>
        <v>2.169513689783797</v>
      </c>
      <c r="CD14">
        <f t="shared" si="15"/>
        <v>2.295147688961594</v>
      </c>
      <c r="CE14">
        <f t="shared" si="15"/>
        <v>2.2534886213849834</v>
      </c>
      <c r="CF14">
        <f t="shared" si="15"/>
        <v>2.3645373287916662</v>
      </c>
      <c r="CG14">
        <f t="shared" si="15"/>
        <v>2.3529427986445732</v>
      </c>
      <c r="CH14">
        <f t="shared" si="15"/>
        <v>1.4029981461228542</v>
      </c>
      <c r="CI14">
        <f t="shared" si="15"/>
        <v>1.8715684886171771</v>
      </c>
      <c r="CJ14">
        <f t="shared" si="15"/>
        <v>2.0693258814007423</v>
      </c>
      <c r="CK14">
        <f t="shared" si="15"/>
        <v>1.9029469693430678</v>
      </c>
      <c r="CL14">
        <f t="shared" si="15"/>
        <v>2.0215679645088165</v>
      </c>
      <c r="CM14">
        <f t="shared" si="15"/>
        <v>2.5391229109237088</v>
      </c>
      <c r="CN14">
        <f t="shared" si="15"/>
        <v>2.622605857099201</v>
      </c>
      <c r="CO14">
        <f t="shared" si="15"/>
        <v>2.3797797335488013</v>
      </c>
      <c r="CP14">
        <f t="shared" si="15"/>
        <v>2.5305434232692381</v>
      </c>
      <c r="CQ14">
        <f t="shared" si="15"/>
        <v>2.8721419868487557</v>
      </c>
      <c r="CR14">
        <f t="shared" si="15"/>
        <v>2.4607931736348152</v>
      </c>
      <c r="CS14">
        <f t="shared" si="15"/>
        <v>2.9722810793840222</v>
      </c>
      <c r="CT14">
        <f t="shared" si="15"/>
        <v>3.6698662800955826</v>
      </c>
      <c r="CU14">
        <f t="shared" si="15"/>
        <v>4.056276528442436</v>
      </c>
      <c r="CV14">
        <f t="shared" si="15"/>
        <v>2.8397578755177371</v>
      </c>
      <c r="CW14">
        <f t="shared" si="15"/>
        <v>3.2874112996907248</v>
      </c>
      <c r="CX14">
        <f t="shared" si="15"/>
        <v>3.7931418957104648</v>
      </c>
    </row>
    <row r="15" spans="3:159">
      <c r="F15" t="s">
        <v>1839</v>
      </c>
      <c r="G15">
        <f>+G10/$G$10</f>
        <v>1</v>
      </c>
      <c r="H15">
        <f t="shared" ref="H15:BS15" si="16">+H10/$G$10</f>
        <v>0.91607214563605877</v>
      </c>
      <c r="I15">
        <f t="shared" si="16"/>
        <v>0.75284397892369004</v>
      </c>
      <c r="J15">
        <f t="shared" si="16"/>
        <v>0.87967820835365962</v>
      </c>
      <c r="K15">
        <f t="shared" si="16"/>
        <v>1.1976526175200672</v>
      </c>
      <c r="L15">
        <f t="shared" si="16"/>
        <v>0.83839697067424857</v>
      </c>
      <c r="M15">
        <f t="shared" si="16"/>
        <v>0.99907775257968634</v>
      </c>
      <c r="N15">
        <f t="shared" si="16"/>
        <v>1.1065351331768278</v>
      </c>
      <c r="O15">
        <f t="shared" si="16"/>
        <v>0.69066279547861387</v>
      </c>
      <c r="P15">
        <f t="shared" si="16"/>
        <v>0.93242928975871331</v>
      </c>
      <c r="Q15">
        <f t="shared" si="16"/>
        <v>0.84508590069517631</v>
      </c>
      <c r="R15">
        <f t="shared" si="16"/>
        <v>0.67937548994605612</v>
      </c>
      <c r="S15">
        <f t="shared" si="16"/>
        <v>0.47112990561558143</v>
      </c>
      <c r="T15">
        <f t="shared" si="16"/>
        <v>0.41961794505871602</v>
      </c>
      <c r="U15">
        <f t="shared" si="16"/>
        <v>0.41004151928287813</v>
      </c>
      <c r="V15">
        <f t="shared" si="16"/>
        <v>0.43860574861096158</v>
      </c>
      <c r="W15">
        <f t="shared" si="16"/>
        <v>0.50417249694450816</v>
      </c>
      <c r="X15">
        <f t="shared" si="16"/>
        <v>0.50092335533478682</v>
      </c>
      <c r="Y15">
        <f t="shared" si="16"/>
        <v>0.42377290494158693</v>
      </c>
      <c r="Z15">
        <f t="shared" si="16"/>
        <v>0.37745249328579644</v>
      </c>
      <c r="AA15">
        <f t="shared" si="16"/>
        <v>0.39884949663567554</v>
      </c>
      <c r="AB15">
        <f t="shared" si="16"/>
        <v>0.41027833976763517</v>
      </c>
      <c r="AC15">
        <f t="shared" si="16"/>
        <v>0.44258830108231162</v>
      </c>
      <c r="AD15">
        <f t="shared" si="16"/>
        <v>0.41113128369040791</v>
      </c>
      <c r="AE15">
        <f t="shared" si="16"/>
        <v>0.37703621533306331</v>
      </c>
      <c r="AF15">
        <f t="shared" si="16"/>
        <v>0.53421130047081766</v>
      </c>
      <c r="AG15">
        <f t="shared" si="16"/>
        <v>0.61519134040992118</v>
      </c>
      <c r="AH15">
        <f t="shared" si="16"/>
        <v>0.64378780573099448</v>
      </c>
      <c r="AI15">
        <f t="shared" si="16"/>
        <v>0.5655407568260068</v>
      </c>
      <c r="AJ15">
        <f t="shared" si="16"/>
        <v>0.77024994590864637</v>
      </c>
      <c r="AK15">
        <f t="shared" si="16"/>
        <v>0.77384894306491459</v>
      </c>
      <c r="AL15">
        <f t="shared" si="16"/>
        <v>0.75329450495971628</v>
      </c>
      <c r="AM15">
        <f t="shared" si="16"/>
        <v>0.89869053478485861</v>
      </c>
      <c r="AN15">
        <f t="shared" si="16"/>
        <v>0.81063334730881298</v>
      </c>
      <c r="AO15">
        <f t="shared" si="16"/>
        <v>0.8093360340526673</v>
      </c>
      <c r="AP15">
        <f t="shared" si="16"/>
        <v>0.82492694481348028</v>
      </c>
      <c r="AQ15">
        <f t="shared" si="16"/>
        <v>0.8177638231474722</v>
      </c>
      <c r="AR15">
        <f t="shared" si="16"/>
        <v>0.71205674815194975</v>
      </c>
      <c r="AS15">
        <f t="shared" si="16"/>
        <v>0.78775321649340357</v>
      </c>
      <c r="AT15">
        <f t="shared" si="16"/>
        <v>0.82189496859404654</v>
      </c>
      <c r="AU15">
        <f t="shared" si="16"/>
        <v>0.68567095267494338</v>
      </c>
      <c r="AV15">
        <f t="shared" si="16"/>
        <v>0.66981097546805135</v>
      </c>
      <c r="AW15">
        <f t="shared" si="16"/>
        <v>0.6847230953763227</v>
      </c>
      <c r="AX15">
        <f t="shared" si="16"/>
        <v>0.70023923133836896</v>
      </c>
      <c r="AY15">
        <f t="shared" si="16"/>
        <v>0.53091656121775521</v>
      </c>
      <c r="AZ15">
        <f t="shared" si="16"/>
        <v>0.37274777565414258</v>
      </c>
      <c r="BA15">
        <f t="shared" si="16"/>
        <v>0.45967002703530391</v>
      </c>
      <c r="BB15">
        <f t="shared" si="16"/>
        <v>0.45327079772385737</v>
      </c>
      <c r="BC15">
        <f t="shared" si="16"/>
        <v>0.37879965999289511</v>
      </c>
      <c r="BD15">
        <f t="shared" si="16"/>
        <v>0.34567679440242871</v>
      </c>
      <c r="BE15">
        <f t="shared" si="16"/>
        <v>0.35362165230830034</v>
      </c>
      <c r="BF15">
        <f t="shared" si="16"/>
        <v>0.40145762995165313</v>
      </c>
      <c r="BG15">
        <f t="shared" si="16"/>
        <v>0.35984344972427756</v>
      </c>
      <c r="BH15">
        <f t="shared" si="16"/>
        <v>0.36548974927646111</v>
      </c>
      <c r="BI15">
        <f t="shared" si="16"/>
        <v>0.37879893061189079</v>
      </c>
      <c r="BJ15">
        <f t="shared" si="16"/>
        <v>0.34546477195199288</v>
      </c>
      <c r="BK15">
        <f t="shared" si="16"/>
        <v>0.3742523320231696</v>
      </c>
      <c r="BL15">
        <f t="shared" si="16"/>
        <v>0.40512128575254852</v>
      </c>
      <c r="BM15">
        <f t="shared" si="16"/>
        <v>0.39133647074558203</v>
      </c>
      <c r="BN15">
        <f t="shared" si="16"/>
        <v>0.40120446754529321</v>
      </c>
      <c r="BO15">
        <f t="shared" si="16"/>
        <v>0.4496451934707914</v>
      </c>
      <c r="BP15">
        <f t="shared" si="16"/>
        <v>0.43619321946928297</v>
      </c>
      <c r="BQ15">
        <f t="shared" si="16"/>
        <v>0.53203208033368687</v>
      </c>
      <c r="BR15">
        <f t="shared" si="16"/>
        <v>0.57428146199073726</v>
      </c>
      <c r="BS15">
        <f t="shared" si="16"/>
        <v>0.57235112689967182</v>
      </c>
      <c r="BT15">
        <f t="shared" ref="BT15:CX15" si="17">+BT10/$G$10</f>
        <v>0.5338501008138854</v>
      </c>
      <c r="BU15">
        <f t="shared" si="17"/>
        <v>0.63829627571378733</v>
      </c>
      <c r="BV15">
        <f t="shared" si="17"/>
        <v>0.68495881532508995</v>
      </c>
      <c r="BW15">
        <f t="shared" si="17"/>
        <v>0.80704605805906759</v>
      </c>
      <c r="BX15">
        <f t="shared" si="17"/>
        <v>0.91473541534843295</v>
      </c>
      <c r="BY15">
        <f t="shared" si="17"/>
        <v>1.0610670666862134</v>
      </c>
      <c r="BZ15">
        <f t="shared" si="17"/>
        <v>0.89759517245160458</v>
      </c>
      <c r="CA15">
        <f t="shared" si="17"/>
        <v>0.83861832438765394</v>
      </c>
      <c r="CB15">
        <f t="shared" si="17"/>
        <v>0.66900443603946103</v>
      </c>
      <c r="CC15">
        <f t="shared" si="17"/>
        <v>0.77373773960589387</v>
      </c>
      <c r="CD15">
        <f t="shared" si="17"/>
        <v>0.78755712007166445</v>
      </c>
      <c r="CE15">
        <f t="shared" si="17"/>
        <v>0.74831888452250295</v>
      </c>
      <c r="CF15">
        <f t="shared" si="17"/>
        <v>0.77781034152975581</v>
      </c>
      <c r="CG15">
        <f t="shared" si="17"/>
        <v>0.75761848925477349</v>
      </c>
      <c r="CH15">
        <f t="shared" si="17"/>
        <v>0.59469138223212337</v>
      </c>
      <c r="CI15">
        <f t="shared" si="17"/>
        <v>0.65713913876302676</v>
      </c>
      <c r="CJ15">
        <f t="shared" si="17"/>
        <v>0.78453718322990917</v>
      </c>
      <c r="CK15">
        <f t="shared" si="17"/>
        <v>0.76380763252234529</v>
      </c>
      <c r="CL15">
        <f t="shared" si="17"/>
        <v>0.8048251540075877</v>
      </c>
      <c r="CM15">
        <f t="shared" si="17"/>
        <v>1.0239472051348388</v>
      </c>
      <c r="CN15">
        <f t="shared" si="17"/>
        <v>1.07554043479406</v>
      </c>
      <c r="CO15">
        <f t="shared" si="17"/>
        <v>1.0277257829282804</v>
      </c>
      <c r="CP15">
        <f t="shared" si="17"/>
        <v>1.0868090221857636</v>
      </c>
      <c r="CQ15">
        <f t="shared" si="17"/>
        <v>1.1682629790612729</v>
      </c>
      <c r="CR15">
        <f t="shared" si="17"/>
        <v>1.0679949474537267</v>
      </c>
      <c r="CS15">
        <f t="shared" si="17"/>
        <v>1.2197239724944349</v>
      </c>
      <c r="CT15">
        <f t="shared" si="17"/>
        <v>1.4646320295883402</v>
      </c>
      <c r="CU15">
        <f t="shared" si="17"/>
        <v>1.6001070472587691</v>
      </c>
      <c r="CV15">
        <f t="shared" si="17"/>
        <v>1.2239960846021278</v>
      </c>
      <c r="CW15">
        <f t="shared" si="17"/>
        <v>1.3787047974868687</v>
      </c>
      <c r="CX15">
        <f t="shared" si="17"/>
        <v>1.5963137786212502</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8C9BE-4F56-4712-852E-F8B54BFCA01C}">
  <dimension ref="B2:DA8"/>
  <sheetViews>
    <sheetView workbookViewId="0">
      <selection activeCell="C6" sqref="C6"/>
    </sheetView>
  </sheetViews>
  <sheetFormatPr baseColWidth="10" defaultColWidth="8.83203125" defaultRowHeight="16"/>
  <sheetData>
    <row r="2" spans="2:105">
      <c r="C2">
        <f>+'Summary All Corps'!B1</f>
        <v>1928</v>
      </c>
      <c r="D2">
        <f>+'Summary All Corps'!C1</f>
        <v>1929</v>
      </c>
      <c r="E2">
        <f>+'Summary All Corps'!D1</f>
        <v>1930</v>
      </c>
      <c r="F2">
        <f>+'Summary All Corps'!E1</f>
        <v>1931</v>
      </c>
      <c r="G2">
        <f>+'Summary All Corps'!F1</f>
        <v>1932</v>
      </c>
      <c r="H2">
        <f>+'Summary All Corps'!G1</f>
        <v>1933</v>
      </c>
      <c r="I2">
        <f>+'Summary All Corps'!H1</f>
        <v>1934</v>
      </c>
      <c r="J2">
        <f>+'Summary All Corps'!I1</f>
        <v>1935</v>
      </c>
      <c r="K2">
        <f>+'Summary All Corps'!J1</f>
        <v>1936</v>
      </c>
      <c r="L2">
        <f>+'Summary All Corps'!K1</f>
        <v>1937</v>
      </c>
      <c r="M2">
        <f>+'Summary All Corps'!L1</f>
        <v>1938</v>
      </c>
      <c r="N2">
        <f>+'Summary All Corps'!M1</f>
        <v>1939</v>
      </c>
      <c r="O2">
        <f>+'Summary All Corps'!N1</f>
        <v>1940</v>
      </c>
      <c r="P2">
        <f>+'Summary All Corps'!O1</f>
        <v>1941</v>
      </c>
      <c r="Q2">
        <f>+'Summary All Corps'!P1</f>
        <v>1942</v>
      </c>
      <c r="R2">
        <f>+'Summary All Corps'!Q1</f>
        <v>1943</v>
      </c>
      <c r="S2">
        <f>+'Summary All Corps'!R1</f>
        <v>1944</v>
      </c>
      <c r="T2">
        <f>+'Summary All Corps'!S1</f>
        <v>1945</v>
      </c>
      <c r="U2">
        <f>+'Summary All Corps'!T1</f>
        <v>1946</v>
      </c>
      <c r="V2">
        <f>+'Summary All Corps'!U1</f>
        <v>1947</v>
      </c>
      <c r="W2">
        <f>+'Summary All Corps'!V1</f>
        <v>1948</v>
      </c>
      <c r="X2">
        <f>+'Summary All Corps'!W1</f>
        <v>1949</v>
      </c>
      <c r="Y2">
        <f>+'Summary All Corps'!X1</f>
        <v>1950</v>
      </c>
      <c r="Z2">
        <f>+'Summary All Corps'!Y1</f>
        <v>1951</v>
      </c>
      <c r="AA2">
        <f>+'Summary All Corps'!Z1</f>
        <v>1952</v>
      </c>
      <c r="AB2">
        <f>+'Summary All Corps'!AA1</f>
        <v>1953</v>
      </c>
      <c r="AC2">
        <f>+'Summary All Corps'!AB1</f>
        <v>1954</v>
      </c>
      <c r="AD2">
        <f>+'Summary All Corps'!AC1</f>
        <v>1955</v>
      </c>
      <c r="AE2">
        <f>+'Summary All Corps'!AD1</f>
        <v>1956</v>
      </c>
      <c r="AF2">
        <f>+'Summary All Corps'!AE1</f>
        <v>1957</v>
      </c>
      <c r="AG2">
        <f>+'Summary All Corps'!AF1</f>
        <v>1958</v>
      </c>
      <c r="AH2">
        <f>+'Summary All Corps'!AG1</f>
        <v>1959</v>
      </c>
      <c r="AI2">
        <f>+'Summary All Corps'!AH1</f>
        <v>1960</v>
      </c>
      <c r="AJ2">
        <f>+'Summary All Corps'!AI1</f>
        <v>1961</v>
      </c>
      <c r="AK2">
        <f>+'Summary All Corps'!AJ1</f>
        <v>1962</v>
      </c>
      <c r="AL2">
        <f>+'Summary All Corps'!AK1</f>
        <v>1963</v>
      </c>
      <c r="AM2">
        <f>+'Summary All Corps'!AL1</f>
        <v>1964</v>
      </c>
      <c r="AN2">
        <f>+'Summary All Corps'!AM1</f>
        <v>1965</v>
      </c>
      <c r="AO2">
        <f>+'Summary All Corps'!AN1</f>
        <v>1966</v>
      </c>
      <c r="AP2">
        <f>+'Summary All Corps'!AO1</f>
        <v>1967</v>
      </c>
      <c r="AQ2">
        <f>+'Summary All Corps'!AP1</f>
        <v>1968</v>
      </c>
      <c r="AR2">
        <f>+'Summary All Corps'!AQ1</f>
        <v>1969</v>
      </c>
      <c r="AS2">
        <f>+'Summary All Corps'!AR1</f>
        <v>1970</v>
      </c>
      <c r="AT2">
        <f>+'Summary All Corps'!AS1</f>
        <v>1971</v>
      </c>
      <c r="AU2">
        <f>+'Summary All Corps'!AT1</f>
        <v>1972</v>
      </c>
      <c r="AV2">
        <f>+'Summary All Corps'!AU1</f>
        <v>1973</v>
      </c>
      <c r="AW2">
        <f>+'Summary All Corps'!AV1</f>
        <v>1974</v>
      </c>
      <c r="AX2">
        <f>+'Summary All Corps'!AW1</f>
        <v>1975</v>
      </c>
      <c r="AY2">
        <f>+'Summary All Corps'!AX1</f>
        <v>1976</v>
      </c>
      <c r="AZ2">
        <f>+'Summary All Corps'!AY1</f>
        <v>1977</v>
      </c>
      <c r="BA2">
        <f>+'Summary All Corps'!AZ1</f>
        <v>1978</v>
      </c>
      <c r="BB2">
        <f>+'Summary All Corps'!BA1</f>
        <v>1979</v>
      </c>
      <c r="BC2">
        <f>+'Summary All Corps'!BB1</f>
        <v>1980</v>
      </c>
      <c r="BD2">
        <f>+'Summary All Corps'!BC1</f>
        <v>1981</v>
      </c>
      <c r="BE2">
        <f>+'Summary All Corps'!BD1</f>
        <v>1982</v>
      </c>
      <c r="BF2">
        <f>+'Summary All Corps'!BE1</f>
        <v>1983</v>
      </c>
      <c r="BG2">
        <f>+'Summary All Corps'!BF1</f>
        <v>1984</v>
      </c>
      <c r="BH2">
        <f>+'Summary All Corps'!BG1</f>
        <v>1985</v>
      </c>
      <c r="BI2">
        <f>+'Summary All Corps'!BH1</f>
        <v>1986</v>
      </c>
      <c r="BJ2">
        <f>+'Summary All Corps'!BI1</f>
        <v>1987</v>
      </c>
      <c r="BK2">
        <f>+'Summary All Corps'!BJ1</f>
        <v>1988</v>
      </c>
      <c r="BL2">
        <f>+'Summary All Corps'!BK1</f>
        <v>1989</v>
      </c>
      <c r="BM2">
        <f>+'Summary All Corps'!BL1</f>
        <v>1990</v>
      </c>
      <c r="BN2">
        <f>+'Summary All Corps'!BM1</f>
        <v>1991</v>
      </c>
      <c r="BO2">
        <f>+'Summary All Corps'!BN1</f>
        <v>1992</v>
      </c>
      <c r="BP2">
        <f>+'Summary All Corps'!BO1</f>
        <v>1993</v>
      </c>
      <c r="BQ2">
        <f>+'Summary All Corps'!BP1</f>
        <v>1994</v>
      </c>
      <c r="BR2">
        <f>+'Summary All Corps'!BQ1</f>
        <v>1995</v>
      </c>
      <c r="BS2">
        <f>+'Summary All Corps'!BR1</f>
        <v>1996</v>
      </c>
      <c r="BT2">
        <f>+'Summary All Corps'!BS1</f>
        <v>1997</v>
      </c>
      <c r="BU2">
        <f>+'Summary All Corps'!BT1</f>
        <v>1998</v>
      </c>
      <c r="BV2">
        <f>+'Summary All Corps'!BU1</f>
        <v>1999</v>
      </c>
      <c r="BW2">
        <f>+'Summary All Corps'!BV1</f>
        <v>2000</v>
      </c>
      <c r="BX2">
        <f>+'Summary All Corps'!BW1</f>
        <v>2001</v>
      </c>
      <c r="BY2">
        <f>+'Summary All Corps'!BX1</f>
        <v>2002</v>
      </c>
      <c r="BZ2">
        <f>+'Summary All Corps'!BY1</f>
        <v>2003</v>
      </c>
      <c r="CA2">
        <f>+'Summary All Corps'!BZ1</f>
        <v>2004</v>
      </c>
      <c r="CB2">
        <f>+'Summary All Corps'!CA1</f>
        <v>2005</v>
      </c>
      <c r="CC2">
        <f>+'Summary All Corps'!CB1</f>
        <v>2006</v>
      </c>
      <c r="CD2">
        <f>+'Summary All Corps'!CC1</f>
        <v>2007</v>
      </c>
      <c r="CE2">
        <f>+'Summary All Corps'!CD1</f>
        <v>2008</v>
      </c>
      <c r="CF2">
        <f>+'Summary All Corps'!CE1</f>
        <v>2009</v>
      </c>
      <c r="CG2">
        <f>+'Summary All Corps'!CF1</f>
        <v>2010</v>
      </c>
      <c r="CH2">
        <f>+'Summary All Corps'!CG1</f>
        <v>2011</v>
      </c>
      <c r="CI2">
        <f>+'Summary All Corps'!CH1</f>
        <v>2012</v>
      </c>
      <c r="CJ2">
        <f>+'Summary All Corps'!CI1</f>
        <v>2013</v>
      </c>
      <c r="CK2">
        <f>+'Summary All Corps'!CJ1</f>
        <v>2014</v>
      </c>
      <c r="CL2">
        <f>+'Summary All Corps'!CK1</f>
        <v>2015</v>
      </c>
      <c r="CM2">
        <f>+'Summary All Corps'!CL1</f>
        <v>2016</v>
      </c>
      <c r="CN2">
        <f>+'Summary All Corps'!CM1</f>
        <v>2017</v>
      </c>
      <c r="CO2">
        <f>+'Summary All Corps'!CN1</f>
        <v>2018</v>
      </c>
      <c r="CP2">
        <f>+'Summary All Corps'!CO1</f>
        <v>2019</v>
      </c>
      <c r="CQ2">
        <f>+'Summary All Corps'!CP1</f>
        <v>2020</v>
      </c>
      <c r="CR2">
        <f>+'Summary All Corps'!CQ1</f>
        <v>2021</v>
      </c>
      <c r="CS2">
        <f>+'Summary All Corps'!CR1</f>
        <v>2022</v>
      </c>
      <c r="CT2">
        <f>+'Summary All Corps'!CS1</f>
        <v>2023</v>
      </c>
      <c r="CU2">
        <f>+'Summary All Corps'!CT1</f>
        <v>2024</v>
      </c>
    </row>
    <row r="3" spans="2:105">
      <c r="B3" t="s">
        <v>1557</v>
      </c>
      <c r="C3" t="str">
        <f>+'Summary All Corps'!B10</f>
        <v>NaN</v>
      </c>
      <c r="D3">
        <f>+'Summary All Corps'!C10</f>
        <v>7687</v>
      </c>
      <c r="E3">
        <f>+'Summary All Corps'!D10</f>
        <v>6378</v>
      </c>
      <c r="F3">
        <f>+'Summary All Corps'!E10</f>
        <v>4350</v>
      </c>
      <c r="G3">
        <f>+'Summary All Corps'!F10</f>
        <v>2411</v>
      </c>
      <c r="H3">
        <f>+'Summary All Corps'!G10</f>
        <v>1995</v>
      </c>
      <c r="I3">
        <f>+'Summary All Corps'!H10</f>
        <v>4146</v>
      </c>
      <c r="J3">
        <f>+'Summary All Corps'!I10</f>
        <v>5043</v>
      </c>
      <c r="K3">
        <f>+'Summary All Corps'!J10</f>
        <v>5726</v>
      </c>
      <c r="L3">
        <f>+'Summary All Corps'!K10</f>
        <v>5385</v>
      </c>
      <c r="M3">
        <f>+'Summary All Corps'!L10</f>
        <v>5187</v>
      </c>
      <c r="N3">
        <f>+'Summary All Corps'!M10</f>
        <v>5987</v>
      </c>
      <c r="O3">
        <f>+'Summary All Corps'!N10</f>
        <v>6727</v>
      </c>
      <c r="P3">
        <f>+'Summary All Corps'!O10</f>
        <v>6632</v>
      </c>
      <c r="Q3">
        <f>+'Summary All Corps'!P10</f>
        <v>10227</v>
      </c>
      <c r="R3">
        <f>+'Summary All Corps'!Q10</f>
        <v>12607</v>
      </c>
      <c r="S3">
        <f>+'Summary All Corps'!R10</f>
        <v>12295</v>
      </c>
      <c r="T3">
        <f>+'Summary All Corps'!S10</f>
        <v>7840</v>
      </c>
      <c r="U3">
        <f>+'Summary All Corps'!T10</f>
        <v>2595</v>
      </c>
      <c r="V3">
        <f>+'Summary All Corps'!U10</f>
        <v>4122</v>
      </c>
      <c r="W3">
        <f>+'Summary All Corps'!V10</f>
        <v>9551</v>
      </c>
      <c r="X3">
        <f>+'Summary All Corps'!W10</f>
        <v>12255</v>
      </c>
      <c r="Y3">
        <f>+'Summary All Corps'!X10</f>
        <v>10398</v>
      </c>
      <c r="Z3">
        <f>+'Summary All Corps'!Y10</f>
        <v>8280</v>
      </c>
      <c r="AA3">
        <f>+'Summary All Corps'!Z10</f>
        <v>9226</v>
      </c>
      <c r="AB3">
        <f>+'Summary All Corps'!AA10</f>
        <v>7700</v>
      </c>
      <c r="AC3">
        <f>+'Summary All Corps'!AB10</f>
        <v>10768</v>
      </c>
      <c r="AD3">
        <f>+'Summary All Corps'!AC10</f>
        <v>14769</v>
      </c>
      <c r="AE3">
        <f>+'Summary All Corps'!AD10</f>
        <v>9972</v>
      </c>
      <c r="AF3">
        <f>+'Summary All Corps'!AE10</f>
        <v>9594</v>
      </c>
      <c r="AG3">
        <f>+'Summary All Corps'!AF10</f>
        <v>14470</v>
      </c>
      <c r="AH3">
        <f>+'Summary All Corps'!AG10</f>
        <v>18286</v>
      </c>
      <c r="AI3">
        <f>+'Summary All Corps'!AH10</f>
        <v>15452</v>
      </c>
      <c r="AJ3">
        <f>+'Summary All Corps'!AI10</f>
        <v>17867</v>
      </c>
      <c r="AK3">
        <f>+'Summary All Corps'!AJ10</f>
        <v>22676</v>
      </c>
      <c r="AL3">
        <f>+'Summary All Corps'!AK10</f>
        <v>25020</v>
      </c>
      <c r="AM3">
        <f>+'Summary All Corps'!AL10</f>
        <v>27058</v>
      </c>
      <c r="AN3">
        <f>+'Summary All Corps'!AM10</f>
        <v>27964</v>
      </c>
      <c r="AO3">
        <f>+'Summary All Corps'!AN10</f>
        <v>26911</v>
      </c>
      <c r="AP3">
        <f>+'Summary All Corps'!AO10</f>
        <v>29319</v>
      </c>
      <c r="AQ3">
        <f>+'Summary All Corps'!AP10</f>
        <v>27658</v>
      </c>
      <c r="AR3">
        <f>+'Summary All Corps'!AQ10</f>
        <v>24151</v>
      </c>
      <c r="AS3">
        <f>+'Summary All Corps'!AR10</f>
        <v>23919</v>
      </c>
      <c r="AT3">
        <f>+'Summary All Corps'!AS10</f>
        <v>35864</v>
      </c>
      <c r="AU3">
        <f>+'Summary All Corps'!AT10</f>
        <v>39130</v>
      </c>
      <c r="AV3">
        <f>+'Summary All Corps'!AU10</f>
        <v>34000</v>
      </c>
      <c r="AW3">
        <f>+'Summary All Corps'!AV10</f>
        <v>26424</v>
      </c>
      <c r="AX3">
        <f>+'Summary All Corps'!AW10</f>
        <v>61385</v>
      </c>
      <c r="AY3">
        <f>+'Summary All Corps'!AX10</f>
        <v>69958</v>
      </c>
      <c r="AZ3">
        <f>+'Summary All Corps'!AY10</f>
        <v>77267</v>
      </c>
      <c r="BA3">
        <f>+'Summary All Corps'!AZ10</f>
        <v>73554</v>
      </c>
      <c r="BB3">
        <f>+'Summary All Corps'!BA10</f>
        <v>52566</v>
      </c>
      <c r="BC3">
        <f>+'Summary All Corps'!BB10</f>
        <v>52341</v>
      </c>
      <c r="BD3">
        <f>+'Summary All Corps'!BC10</f>
        <v>94647</v>
      </c>
      <c r="BE3">
        <f>+'Summary All Corps'!BD10</f>
        <v>122571</v>
      </c>
      <c r="BF3">
        <f>+'Summary All Corps'!BE10</f>
        <v>161605</v>
      </c>
      <c r="BG3">
        <f>+'Summary All Corps'!BF10</f>
        <v>167479</v>
      </c>
      <c r="BH3">
        <f>+'Summary All Corps'!BG10</f>
        <v>167804</v>
      </c>
      <c r="BI3">
        <f>+'Summary All Corps'!BH10</f>
        <v>145260</v>
      </c>
      <c r="BJ3">
        <f>+'Summary All Corps'!BI10</f>
        <v>180763</v>
      </c>
      <c r="BK3">
        <f>+'Summary All Corps'!BJ10</f>
        <v>206044</v>
      </c>
      <c r="BL3">
        <f>+'Summary All Corps'!BK10</f>
        <v>195144</v>
      </c>
      <c r="BM3">
        <f>+'Summary All Corps'!BL10</f>
        <v>178543</v>
      </c>
      <c r="BN3">
        <f>+'Summary All Corps'!BM10</f>
        <v>213230</v>
      </c>
      <c r="BO3">
        <f>+'Summary All Corps'!BN10</f>
        <v>205111</v>
      </c>
      <c r="BP3">
        <f>+'Summary All Corps'!BO10</f>
        <v>200398</v>
      </c>
      <c r="BQ3">
        <f>+'Summary All Corps'!BP10</f>
        <v>246152</v>
      </c>
      <c r="BR3">
        <f>+'Summary All Corps'!BQ10</f>
        <v>252041</v>
      </c>
      <c r="BS3">
        <f>+'Summary All Corps'!BR10</f>
        <v>272648</v>
      </c>
      <c r="BT3">
        <f>+'Summary All Corps'!BS10</f>
        <v>314735</v>
      </c>
      <c r="BU3">
        <f>+'Summary All Corps'!BT10</f>
        <v>264609</v>
      </c>
      <c r="BV3">
        <f>+'Summary All Corps'!BU10</f>
        <v>232511</v>
      </c>
      <c r="BW3">
        <f>+'Summary All Corps'!BV10</f>
        <v>161606</v>
      </c>
      <c r="BX3">
        <f>+'Summary All Corps'!BW10</f>
        <v>245553</v>
      </c>
      <c r="BY3">
        <f>+'Summary All Corps'!BX10</f>
        <v>504953</v>
      </c>
      <c r="BZ3">
        <f>+'Summary All Corps'!BY10</f>
        <v>576114</v>
      </c>
      <c r="CA3">
        <f>+'Summary All Corps'!BZ10</f>
        <v>623010</v>
      </c>
      <c r="CB3">
        <f>+'Summary All Corps'!CA10</f>
        <v>665411</v>
      </c>
      <c r="CC3">
        <f>+'Summary All Corps'!CB10</f>
        <v>753221</v>
      </c>
      <c r="CD3">
        <f>+'Summary All Corps'!CC10</f>
        <v>585892</v>
      </c>
      <c r="CE3">
        <f>+'Summary All Corps'!CD10</f>
        <v>529159</v>
      </c>
      <c r="CF3">
        <f>+'Summary All Corps'!CE10</f>
        <v>904800</v>
      </c>
      <c r="CG3">
        <f>+'Summary All Corps'!CF10</f>
        <v>1075832</v>
      </c>
      <c r="CH3">
        <f>+'Summary All Corps'!CG10</f>
        <v>1029699</v>
      </c>
      <c r="CI3">
        <f>+'Summary All Corps'!CH10</f>
        <v>1124136</v>
      </c>
      <c r="CJ3">
        <f>+'Summary All Corps'!CI10</f>
        <v>1110730</v>
      </c>
      <c r="CK3">
        <f>+'Summary All Corps'!CJ10</f>
        <v>1106380</v>
      </c>
      <c r="CL3">
        <f>+'Summary All Corps'!CK10</f>
        <v>1156962</v>
      </c>
      <c r="CM3">
        <f>+'Summary All Corps'!CL10</f>
        <v>1138970</v>
      </c>
      <c r="CN3">
        <f>+'Summary All Corps'!CM10</f>
        <v>1240021</v>
      </c>
      <c r="CO3">
        <f>+'Summary All Corps'!CN10</f>
        <v>1296004</v>
      </c>
      <c r="CP3">
        <f>+'Summary All Corps'!CO10</f>
        <v>1369201</v>
      </c>
      <c r="CQ3">
        <f>+'Summary All Corps'!CP10</f>
        <v>1576113</v>
      </c>
      <c r="CR3">
        <f>+'Summary All Corps'!CQ10</f>
        <v>2009996</v>
      </c>
      <c r="CS3">
        <f>+'Summary All Corps'!CR10</f>
        <v>1974328</v>
      </c>
      <c r="CT3">
        <f>+'Summary All Corps'!CS10</f>
        <v>1977104</v>
      </c>
      <c r="CU3">
        <f>+'Summary All Corps'!CT10</f>
        <v>2027082</v>
      </c>
    </row>
    <row r="4" spans="2:105">
      <c r="B4" t="s">
        <v>1839</v>
      </c>
      <c r="C4" s="16">
        <f>+'Summary All Corps'!B12</f>
        <v>173056.56436853419</v>
      </c>
      <c r="D4" s="16">
        <f>+'Summary All Corps'!C12</f>
        <v>164239.53049198946</v>
      </c>
      <c r="E4" s="16">
        <f>+'Summary All Corps'!D12</f>
        <v>132259.85243823251</v>
      </c>
      <c r="F4" s="16">
        <f>+'Summary All Corps'!E12</f>
        <v>85383.618286506506</v>
      </c>
      <c r="G4" s="16">
        <f>+'Summary All Corps'!F12</f>
        <v>73446.333846288093</v>
      </c>
      <c r="H4" s="16">
        <f>+'Summary All Corps'!G12</f>
        <v>96459.518319021503</v>
      </c>
      <c r="I4" s="16">
        <f>+'Summary All Corps'!H12</f>
        <v>84167.435714819585</v>
      </c>
      <c r="J4" s="16">
        <f>+'Summary All Corps'!I12</f>
        <v>111217.37040268263</v>
      </c>
      <c r="K4" s="16">
        <f>+'Summary All Corps'!J12</f>
        <v>141672.87345009367</v>
      </c>
      <c r="L4" s="16">
        <f>+'Summary All Corps'!K12</f>
        <v>100049.12906513148</v>
      </c>
      <c r="M4" s="16">
        <f>+'Summary All Corps'!L12</f>
        <v>120152.81533005257</v>
      </c>
      <c r="N4" s="16">
        <f>+'Summary All Corps'!M12</f>
        <v>119845.77083429758</v>
      </c>
      <c r="O4" s="16">
        <f>+'Summary All Corps'!N12</f>
        <v>110153.13566978858</v>
      </c>
      <c r="P4" s="16">
        <f>+'Summary All Corps'!O12</f>
        <v>98766.354011973715</v>
      </c>
      <c r="Q4" s="16">
        <f>+'Summary All Corps'!P12</f>
        <v>110002.48251871637</v>
      </c>
      <c r="R4" s="16">
        <f>+'Summary All Corps'!Q12</f>
        <v>127157.57478337362</v>
      </c>
      <c r="S4" s="16">
        <f>+'Summary All Corps'!R12</f>
        <v>140989.24790802388</v>
      </c>
      <c r="T4" s="16">
        <f>+'Summary All Corps'!S12</f>
        <v>152328</v>
      </c>
      <c r="U4" s="16">
        <f>+'Summary All Corps'!T12</f>
        <v>158831</v>
      </c>
      <c r="V4" s="16">
        <f>+'Summary All Corps'!U12</f>
        <v>161921</v>
      </c>
      <c r="W4" s="16">
        <f>+'Summary All Corps'!V12</f>
        <v>165216</v>
      </c>
      <c r="X4" s="16">
        <f>+'Summary All Corps'!W12</f>
        <v>170947</v>
      </c>
      <c r="Y4" s="16">
        <f>+'Summary All Corps'!X12</f>
        <v>199319</v>
      </c>
      <c r="Z4" s="16">
        <f>+'Summary All Corps'!Y12</f>
        <v>246419</v>
      </c>
      <c r="AA4" s="16">
        <f>+'Summary All Corps'!Z12</f>
        <v>240284</v>
      </c>
      <c r="AB4" s="16">
        <f>+'Summary All Corps'!AA12</f>
        <v>236353</v>
      </c>
      <c r="AC4" s="16">
        <f>+'Summary All Corps'!AB12</f>
        <v>331169</v>
      </c>
      <c r="AD4" s="16">
        <f>+'Summary All Corps'!AC12</f>
        <v>429646</v>
      </c>
      <c r="AE4" s="16">
        <f>+'Summary All Corps'!AD12</f>
        <v>482419</v>
      </c>
      <c r="AF4" s="16">
        <f>+'Summary All Corps'!AE12</f>
        <v>443458</v>
      </c>
      <c r="AG4" s="16">
        <f>+'Summary All Corps'!AF12</f>
        <v>592828</v>
      </c>
      <c r="AH4" s="16">
        <f>+'Summary All Corps'!AG12</f>
        <v>666595</v>
      </c>
      <c r="AI4" s="16">
        <f>+'Summary All Corps'!AH12</f>
        <v>676956</v>
      </c>
      <c r="AJ4" s="16">
        <f>+'Summary All Corps'!AI12</f>
        <v>831452</v>
      </c>
      <c r="AK4" s="16">
        <f>+'Summary All Corps'!AJ12</f>
        <v>816110</v>
      </c>
      <c r="AL4" s="16">
        <f>+'Summary All Corps'!AK12</f>
        <v>866736</v>
      </c>
      <c r="AM4" s="16">
        <f>+'Summary All Corps'!AL12</f>
        <v>954184</v>
      </c>
      <c r="AN4" s="16">
        <f>+'Summary All Corps'!AM12</f>
        <v>1038520</v>
      </c>
      <c r="AO4" s="16">
        <f>+'Summary All Corps'!AN12</f>
        <v>992433</v>
      </c>
      <c r="AP4" s="16">
        <f>+'Summary All Corps'!AO12</f>
        <v>1159507</v>
      </c>
      <c r="AQ4" s="16">
        <f>+'Summary All Corps'!AP12</f>
        <v>1335224</v>
      </c>
      <c r="AR4" s="16">
        <f>+'Summary All Corps'!AQ12</f>
        <v>1213662</v>
      </c>
      <c r="AS4" s="16">
        <f>+'Summary All Corps'!AR12</f>
        <v>1228693</v>
      </c>
      <c r="AT4" s="16">
        <f>+'Summary All Corps'!AS12</f>
        <v>1356172</v>
      </c>
      <c r="AU4" s="16">
        <f>+'Summary All Corps'!AT12</f>
        <v>1537949</v>
      </c>
      <c r="AV4" s="16">
        <f>+'Summary All Corps'!AU12</f>
        <v>1304968</v>
      </c>
      <c r="AW4" s="16">
        <f>+'Summary All Corps'!AV12</f>
        <v>993686</v>
      </c>
      <c r="AX4" s="16">
        <f>+'Summary All Corps'!AW12</f>
        <v>1330051</v>
      </c>
      <c r="AY4" s="16">
        <f>+'Summary All Corps'!AX12</f>
        <v>1476930</v>
      </c>
      <c r="AZ4" s="16">
        <f>+'Summary All Corps'!AY12</f>
        <v>1399113</v>
      </c>
      <c r="BA4" s="16">
        <f>+'Summary All Corps'!AZ12</f>
        <v>1457404</v>
      </c>
      <c r="BB4" s="16">
        <f>+'Summary All Corps'!BA12</f>
        <v>1657768</v>
      </c>
      <c r="BC4" s="16">
        <f>+'Summary All Corps'!BB12</f>
        <v>2048076</v>
      </c>
      <c r="BD4" s="16">
        <f>+'Summary All Corps'!BC12</f>
        <v>2086764</v>
      </c>
      <c r="BE4" s="16">
        <f>+'Summary All Corps'!BD12</f>
        <v>2210892</v>
      </c>
      <c r="BF4" s="16">
        <f>+'Summary All Corps'!BE12</f>
        <v>2466090</v>
      </c>
      <c r="BG4" s="16">
        <f>+'Summary All Corps'!BF12</f>
        <v>2520650</v>
      </c>
      <c r="BH4" s="16">
        <f>+'Summary All Corps'!BG12</f>
        <v>2917674</v>
      </c>
      <c r="BI4" s="16">
        <f>+'Summary All Corps'!BH12</f>
        <v>3286142</v>
      </c>
      <c r="BJ4" s="16">
        <f>+'Summary All Corps'!BI12</f>
        <v>3395224</v>
      </c>
      <c r="BK4" s="16">
        <f>+'Summary All Corps'!BJ12</f>
        <v>3778294</v>
      </c>
      <c r="BL4" s="16">
        <f>+'Summary All Corps'!BK12</f>
        <v>4473803</v>
      </c>
      <c r="BM4" s="16">
        <f>+'Summary All Corps'!BL12</f>
        <v>4532359</v>
      </c>
      <c r="BN4" s="16">
        <f>+'Summary All Corps'!BM12</f>
        <v>5667480</v>
      </c>
      <c r="BO4" s="16">
        <f>+'Summary All Corps'!BN12</f>
        <v>6440514</v>
      </c>
      <c r="BP4" s="16">
        <f>+'Summary All Corps'!BO12</f>
        <v>6721593</v>
      </c>
      <c r="BQ4" s="16">
        <f>+'Summary All Corps'!BP12</f>
        <v>6735344</v>
      </c>
      <c r="BR4" s="16">
        <f>+'Summary All Corps'!BQ12</f>
        <v>8558357</v>
      </c>
      <c r="BS4" s="16">
        <f>+'Summary All Corps'!BR12</f>
        <v>9791542</v>
      </c>
      <c r="BT4" s="16">
        <f>+'Summary All Corps'!BS12</f>
        <v>12438770</v>
      </c>
      <c r="BU4" s="16">
        <f>+'Summary All Corps'!BT12</f>
        <v>15006702</v>
      </c>
      <c r="BV4" s="16">
        <f>+'Summary All Corps'!BU12</f>
        <v>18449080</v>
      </c>
      <c r="BW4" s="16">
        <f>+'Summary All Corps'!BV12</f>
        <v>16720697</v>
      </c>
      <c r="BX4" s="16">
        <f>+'Summary All Corps'!BW12</f>
        <v>15587886</v>
      </c>
      <c r="BY4" s="16">
        <f>+'Summary All Corps'!BX12</f>
        <v>12627532</v>
      </c>
      <c r="BZ4" s="16">
        <f>+'Summary All Corps'!BY12</f>
        <v>15129360</v>
      </c>
      <c r="CA4" s="16">
        <f>+'Summary All Corps'!BZ12</f>
        <v>16426362</v>
      </c>
      <c r="CB4" s="16">
        <f>+'Summary All Corps'!CA12</f>
        <v>16786232</v>
      </c>
      <c r="CC4" s="16">
        <f>+'Summary All Corps'!CB12</f>
        <v>18715518</v>
      </c>
      <c r="CD4" s="16">
        <f>+'Summary All Corps'!CC12</f>
        <v>18615500</v>
      </c>
      <c r="CE4" s="16">
        <f>+'Summary All Corps'!CD12</f>
        <v>14450976</v>
      </c>
      <c r="CF4" s="16">
        <f>+'Summary All Corps'!CE12</f>
        <v>15394506</v>
      </c>
      <c r="CG4" s="16">
        <f>+'Summary All Corps'!CF12</f>
        <v>19365636</v>
      </c>
      <c r="CH4" s="16">
        <f>+'Summary All Corps'!CG12</f>
        <v>19737547</v>
      </c>
      <c r="CI4" s="16">
        <f>+'Summary All Corps'!CH12</f>
        <v>22126340</v>
      </c>
      <c r="CJ4" s="16">
        <f>+'Summary All Corps'!CI12</f>
        <v>29018692</v>
      </c>
      <c r="CK4" s="16">
        <f>+'Summary All Corps'!CJ12</f>
        <v>32381103</v>
      </c>
      <c r="CL4" s="16">
        <f>+'Summary All Corps'!CK12</f>
        <v>32305927</v>
      </c>
      <c r="CM4" s="16">
        <f>+'Summary All Corps'!CL12</f>
        <v>34797842</v>
      </c>
      <c r="CN4" s="16">
        <f>+'Summary All Corps'!CM12</f>
        <v>38975422</v>
      </c>
      <c r="CO4" s="16">
        <f>+'Summary All Corps'!CN12</f>
        <v>37754298</v>
      </c>
      <c r="CP4" s="16">
        <f>+'Summary All Corps'!CO12</f>
        <v>45077959</v>
      </c>
      <c r="CQ4" s="16">
        <f>+'Summary All Corps'!CP12</f>
        <v>53087782</v>
      </c>
      <c r="CR4" s="16">
        <f>+'Summary All Corps'!CQ12</f>
        <v>66262885</v>
      </c>
      <c r="CS4" s="16">
        <f>+'Summary All Corps'!CR12</f>
        <v>56203327</v>
      </c>
      <c r="CT4" s="16">
        <f>+'Summary All Corps'!CS12</f>
        <v>66626284</v>
      </c>
      <c r="CU4" s="16">
        <f>+'Summary All Corps'!CT12</f>
        <v>81137445</v>
      </c>
      <c r="CV4" s="16"/>
      <c r="CW4" s="16"/>
      <c r="CX4" s="16"/>
      <c r="CY4" s="16"/>
      <c r="CZ4" s="16"/>
      <c r="DA4" s="16"/>
    </row>
    <row r="5" spans="2:105">
      <c r="D5">
        <f t="shared" ref="D5:BO5" si="0">+D2</f>
        <v>1929</v>
      </c>
      <c r="E5">
        <f t="shared" si="0"/>
        <v>1930</v>
      </c>
      <c r="F5">
        <f t="shared" si="0"/>
        <v>1931</v>
      </c>
      <c r="G5">
        <f t="shared" si="0"/>
        <v>1932</v>
      </c>
      <c r="H5">
        <f t="shared" si="0"/>
        <v>1933</v>
      </c>
      <c r="I5">
        <f t="shared" si="0"/>
        <v>1934</v>
      </c>
      <c r="J5">
        <f t="shared" si="0"/>
        <v>1935</v>
      </c>
      <c r="K5">
        <f t="shared" si="0"/>
        <v>1936</v>
      </c>
      <c r="L5">
        <f t="shared" si="0"/>
        <v>1937</v>
      </c>
      <c r="M5">
        <f t="shared" si="0"/>
        <v>1938</v>
      </c>
      <c r="N5">
        <f t="shared" si="0"/>
        <v>1939</v>
      </c>
      <c r="O5">
        <f t="shared" si="0"/>
        <v>1940</v>
      </c>
      <c r="P5">
        <f t="shared" si="0"/>
        <v>1941</v>
      </c>
      <c r="Q5">
        <f t="shared" si="0"/>
        <v>1942</v>
      </c>
      <c r="R5">
        <f t="shared" si="0"/>
        <v>1943</v>
      </c>
      <c r="S5">
        <f t="shared" si="0"/>
        <v>1944</v>
      </c>
      <c r="T5">
        <f t="shared" si="0"/>
        <v>1945</v>
      </c>
      <c r="U5">
        <f t="shared" si="0"/>
        <v>1946</v>
      </c>
      <c r="V5">
        <f t="shared" si="0"/>
        <v>1947</v>
      </c>
      <c r="W5">
        <f t="shared" si="0"/>
        <v>1948</v>
      </c>
      <c r="X5">
        <f t="shared" si="0"/>
        <v>1949</v>
      </c>
      <c r="Y5">
        <f t="shared" si="0"/>
        <v>1950</v>
      </c>
      <c r="Z5">
        <f t="shared" si="0"/>
        <v>1951</v>
      </c>
      <c r="AA5">
        <f t="shared" si="0"/>
        <v>1952</v>
      </c>
      <c r="AB5">
        <f t="shared" si="0"/>
        <v>1953</v>
      </c>
      <c r="AC5">
        <f t="shared" si="0"/>
        <v>1954</v>
      </c>
      <c r="AD5">
        <f t="shared" si="0"/>
        <v>1955</v>
      </c>
      <c r="AE5">
        <f t="shared" si="0"/>
        <v>1956</v>
      </c>
      <c r="AF5">
        <f t="shared" si="0"/>
        <v>1957</v>
      </c>
      <c r="AG5">
        <f t="shared" si="0"/>
        <v>1958</v>
      </c>
      <c r="AH5">
        <f t="shared" si="0"/>
        <v>1959</v>
      </c>
      <c r="AI5">
        <f t="shared" si="0"/>
        <v>1960</v>
      </c>
      <c r="AJ5">
        <f t="shared" si="0"/>
        <v>1961</v>
      </c>
      <c r="AK5">
        <f t="shared" si="0"/>
        <v>1962</v>
      </c>
      <c r="AL5">
        <f t="shared" si="0"/>
        <v>1963</v>
      </c>
      <c r="AM5">
        <f t="shared" si="0"/>
        <v>1964</v>
      </c>
      <c r="AN5">
        <f t="shared" si="0"/>
        <v>1965</v>
      </c>
      <c r="AO5">
        <f t="shared" si="0"/>
        <v>1966</v>
      </c>
      <c r="AP5">
        <f t="shared" si="0"/>
        <v>1967</v>
      </c>
      <c r="AQ5">
        <f t="shared" si="0"/>
        <v>1968</v>
      </c>
      <c r="AR5">
        <f t="shared" si="0"/>
        <v>1969</v>
      </c>
      <c r="AS5">
        <f t="shared" si="0"/>
        <v>1970</v>
      </c>
      <c r="AT5">
        <f t="shared" si="0"/>
        <v>1971</v>
      </c>
      <c r="AU5">
        <f t="shared" si="0"/>
        <v>1972</v>
      </c>
      <c r="AV5">
        <f t="shared" si="0"/>
        <v>1973</v>
      </c>
      <c r="AW5">
        <f t="shared" si="0"/>
        <v>1974</v>
      </c>
      <c r="AX5">
        <f t="shared" si="0"/>
        <v>1975</v>
      </c>
      <c r="AY5">
        <f t="shared" si="0"/>
        <v>1976</v>
      </c>
      <c r="AZ5">
        <f t="shared" si="0"/>
        <v>1977</v>
      </c>
      <c r="BA5">
        <f t="shared" si="0"/>
        <v>1978</v>
      </c>
      <c r="BB5">
        <f t="shared" si="0"/>
        <v>1979</v>
      </c>
      <c r="BC5">
        <f t="shared" si="0"/>
        <v>1980</v>
      </c>
      <c r="BD5">
        <f t="shared" si="0"/>
        <v>1981</v>
      </c>
      <c r="BE5">
        <f t="shared" si="0"/>
        <v>1982</v>
      </c>
      <c r="BF5">
        <f t="shared" si="0"/>
        <v>1983</v>
      </c>
      <c r="BG5">
        <f t="shared" si="0"/>
        <v>1984</v>
      </c>
      <c r="BH5">
        <f t="shared" si="0"/>
        <v>1985</v>
      </c>
      <c r="BI5">
        <f t="shared" si="0"/>
        <v>1986</v>
      </c>
      <c r="BJ5">
        <f t="shared" si="0"/>
        <v>1987</v>
      </c>
      <c r="BK5">
        <f t="shared" si="0"/>
        <v>1988</v>
      </c>
      <c r="BL5">
        <f t="shared" si="0"/>
        <v>1989</v>
      </c>
      <c r="BM5">
        <f t="shared" si="0"/>
        <v>1990</v>
      </c>
      <c r="BN5">
        <f t="shared" si="0"/>
        <v>1991</v>
      </c>
      <c r="BO5">
        <f t="shared" si="0"/>
        <v>1992</v>
      </c>
      <c r="BP5">
        <f t="shared" ref="BP5:CT5" si="1">+BP2</f>
        <v>1993</v>
      </c>
      <c r="BQ5">
        <f t="shared" si="1"/>
        <v>1994</v>
      </c>
      <c r="BR5">
        <f t="shared" si="1"/>
        <v>1995</v>
      </c>
      <c r="BS5">
        <f t="shared" si="1"/>
        <v>1996</v>
      </c>
      <c r="BT5">
        <f t="shared" si="1"/>
        <v>1997</v>
      </c>
      <c r="BU5">
        <f t="shared" si="1"/>
        <v>1998</v>
      </c>
      <c r="BV5">
        <f t="shared" si="1"/>
        <v>1999</v>
      </c>
      <c r="BW5">
        <f t="shared" si="1"/>
        <v>2000</v>
      </c>
      <c r="BX5">
        <f t="shared" si="1"/>
        <v>2001</v>
      </c>
      <c r="BY5">
        <f t="shared" si="1"/>
        <v>2002</v>
      </c>
      <c r="BZ5">
        <f t="shared" si="1"/>
        <v>2003</v>
      </c>
      <c r="CA5">
        <f t="shared" si="1"/>
        <v>2004</v>
      </c>
      <c r="CB5">
        <f t="shared" si="1"/>
        <v>2005</v>
      </c>
      <c r="CC5">
        <f t="shared" si="1"/>
        <v>2006</v>
      </c>
      <c r="CD5">
        <f t="shared" si="1"/>
        <v>2007</v>
      </c>
      <c r="CE5">
        <f t="shared" si="1"/>
        <v>2008</v>
      </c>
      <c r="CF5">
        <f t="shared" si="1"/>
        <v>2009</v>
      </c>
      <c r="CG5">
        <f t="shared" si="1"/>
        <v>2010</v>
      </c>
      <c r="CH5">
        <f t="shared" si="1"/>
        <v>2011</v>
      </c>
      <c r="CI5">
        <f t="shared" si="1"/>
        <v>2012</v>
      </c>
      <c r="CJ5">
        <f t="shared" si="1"/>
        <v>2013</v>
      </c>
      <c r="CK5">
        <f t="shared" si="1"/>
        <v>2014</v>
      </c>
      <c r="CL5">
        <f t="shared" si="1"/>
        <v>2015</v>
      </c>
      <c r="CM5">
        <f t="shared" si="1"/>
        <v>2016</v>
      </c>
      <c r="CN5">
        <f t="shared" si="1"/>
        <v>2017</v>
      </c>
      <c r="CO5">
        <f t="shared" si="1"/>
        <v>2018</v>
      </c>
      <c r="CP5">
        <f t="shared" si="1"/>
        <v>2019</v>
      </c>
      <c r="CQ5">
        <f t="shared" si="1"/>
        <v>2020</v>
      </c>
      <c r="CR5">
        <f t="shared" si="1"/>
        <v>2021</v>
      </c>
      <c r="CS5">
        <f t="shared" si="1"/>
        <v>2022</v>
      </c>
      <c r="CT5">
        <f t="shared" si="1"/>
        <v>2023</v>
      </c>
      <c r="CU5">
        <f>+CU2</f>
        <v>2024</v>
      </c>
    </row>
    <row r="6" spans="2:105">
      <c r="C6" t="s">
        <v>1842</v>
      </c>
      <c r="D6">
        <f t="shared" ref="D6:BO6" si="2">+D3/D4</f>
        <v>4.6803592149667783E-2</v>
      </c>
      <c r="E6">
        <f t="shared" si="2"/>
        <v>4.8223250536126444E-2</v>
      </c>
      <c r="F6">
        <f t="shared" si="2"/>
        <v>5.0946540885670653E-2</v>
      </c>
      <c r="G6">
        <f t="shared" si="2"/>
        <v>3.2826689553298233E-2</v>
      </c>
      <c r="H6">
        <f t="shared" si="2"/>
        <v>2.0682251319169117E-2</v>
      </c>
      <c r="I6">
        <f t="shared" si="2"/>
        <v>4.9258955851378072E-2</v>
      </c>
      <c r="J6">
        <f t="shared" si="2"/>
        <v>4.5343636355911897E-2</v>
      </c>
      <c r="K6">
        <f t="shared" si="2"/>
        <v>4.041705275369506E-2</v>
      </c>
      <c r="L6">
        <f t="shared" si="2"/>
        <v>5.3823556989630483E-2</v>
      </c>
      <c r="M6">
        <f t="shared" si="2"/>
        <v>4.3170024653618161E-2</v>
      </c>
      <c r="N6">
        <f t="shared" si="2"/>
        <v>4.9955872103971101E-2</v>
      </c>
      <c r="O6">
        <f t="shared" si="2"/>
        <v>6.1069527972093827E-2</v>
      </c>
      <c r="P6">
        <f t="shared" si="2"/>
        <v>6.7148373212156692E-2</v>
      </c>
      <c r="Q6">
        <f t="shared" si="2"/>
        <v>9.2970629078847636E-2</v>
      </c>
      <c r="R6">
        <f t="shared" si="2"/>
        <v>9.9144703109329962E-2</v>
      </c>
      <c r="S6">
        <f t="shared" si="2"/>
        <v>8.7205231479926745E-2</v>
      </c>
      <c r="T6">
        <f t="shared" si="2"/>
        <v>5.1467885090068798E-2</v>
      </c>
      <c r="U6">
        <f t="shared" si="2"/>
        <v>1.633812039211489E-2</v>
      </c>
      <c r="V6">
        <f t="shared" si="2"/>
        <v>2.5456858591535379E-2</v>
      </c>
      <c r="W6">
        <f t="shared" si="2"/>
        <v>5.7809171024598101E-2</v>
      </c>
      <c r="X6">
        <f t="shared" si="2"/>
        <v>7.168888602900314E-2</v>
      </c>
      <c r="Y6">
        <f t="shared" si="2"/>
        <v>5.2167630782815486E-2</v>
      </c>
      <c r="Z6">
        <f t="shared" si="2"/>
        <v>3.3601305094168872E-2</v>
      </c>
      <c r="AA6">
        <f t="shared" si="2"/>
        <v>3.8396231126500306E-2</v>
      </c>
      <c r="AB6">
        <f t="shared" si="2"/>
        <v>3.2578389104432774E-2</v>
      </c>
      <c r="AC6">
        <f t="shared" si="2"/>
        <v>3.2515120678565927E-2</v>
      </c>
      <c r="AD6">
        <f t="shared" si="2"/>
        <v>3.4374810890826404E-2</v>
      </c>
      <c r="AE6">
        <f t="shared" si="2"/>
        <v>2.0670827641531532E-2</v>
      </c>
      <c r="AF6">
        <f t="shared" si="2"/>
        <v>2.1634517812284364E-2</v>
      </c>
      <c r="AG6">
        <f t="shared" si="2"/>
        <v>2.4408428751678396E-2</v>
      </c>
      <c r="AH6">
        <f t="shared" si="2"/>
        <v>2.743194893451046E-2</v>
      </c>
      <c r="AI6">
        <f t="shared" si="2"/>
        <v>2.2825708022382547E-2</v>
      </c>
      <c r="AJ6">
        <f t="shared" si="2"/>
        <v>2.1488913370825976E-2</v>
      </c>
      <c r="AK6">
        <f t="shared" si="2"/>
        <v>2.7785470095942948E-2</v>
      </c>
      <c r="AL6">
        <f t="shared" si="2"/>
        <v>2.8866921415517527E-2</v>
      </c>
      <c r="AM6">
        <f t="shared" si="2"/>
        <v>2.8357214122223806E-2</v>
      </c>
      <c r="AN6">
        <f t="shared" si="2"/>
        <v>2.6926780418287562E-2</v>
      </c>
      <c r="AO6">
        <f t="shared" si="2"/>
        <v>2.7116188196079735E-2</v>
      </c>
      <c r="AP6">
        <f t="shared" si="2"/>
        <v>2.5285746442237952E-2</v>
      </c>
      <c r="AQ6">
        <f t="shared" si="2"/>
        <v>2.0714127367393035E-2</v>
      </c>
      <c r="AR6">
        <f t="shared" si="2"/>
        <v>1.9899280030189623E-2</v>
      </c>
      <c r="AS6">
        <f t="shared" si="2"/>
        <v>1.9467027158126562E-2</v>
      </c>
      <c r="AT6">
        <f t="shared" si="2"/>
        <v>2.6445023197647497E-2</v>
      </c>
      <c r="AU6">
        <f t="shared" si="2"/>
        <v>2.5442976327563527E-2</v>
      </c>
      <c r="AV6">
        <f t="shared" si="2"/>
        <v>2.6054278725608598E-2</v>
      </c>
      <c r="AW6">
        <f t="shared" si="2"/>
        <v>2.6591901264584588E-2</v>
      </c>
      <c r="AX6">
        <f t="shared" si="2"/>
        <v>4.6152365585981292E-2</v>
      </c>
      <c r="AY6">
        <f t="shared" si="2"/>
        <v>4.7367173799706147E-2</v>
      </c>
      <c r="AZ6">
        <f t="shared" si="2"/>
        <v>5.5225703713710043E-2</v>
      </c>
      <c r="BA6">
        <f t="shared" si="2"/>
        <v>5.0469190423520174E-2</v>
      </c>
      <c r="BB6">
        <f t="shared" si="2"/>
        <v>3.1708900159732843E-2</v>
      </c>
      <c r="BC6">
        <f t="shared" si="2"/>
        <v>2.5556180532363058E-2</v>
      </c>
      <c r="BD6">
        <f t="shared" si="2"/>
        <v>4.5355871579153176E-2</v>
      </c>
      <c r="BE6">
        <f t="shared" si="2"/>
        <v>5.5439614418071985E-2</v>
      </c>
      <c r="BF6">
        <f t="shared" si="2"/>
        <v>6.5530860593084606E-2</v>
      </c>
      <c r="BG6">
        <f t="shared" si="2"/>
        <v>6.6442782615595178E-2</v>
      </c>
      <c r="BH6">
        <f t="shared" si="2"/>
        <v>5.7512936674899255E-2</v>
      </c>
      <c r="BI6">
        <f t="shared" si="2"/>
        <v>4.4203811034337528E-2</v>
      </c>
      <c r="BJ6">
        <f t="shared" si="2"/>
        <v>5.3240375303661852E-2</v>
      </c>
      <c r="BK6">
        <f t="shared" si="2"/>
        <v>5.4533606966530396E-2</v>
      </c>
      <c r="BL6">
        <f t="shared" si="2"/>
        <v>4.3619265309625836E-2</v>
      </c>
      <c r="BM6">
        <f t="shared" si="2"/>
        <v>3.9392951882231748E-2</v>
      </c>
      <c r="BN6">
        <f t="shared" si="2"/>
        <v>3.7623423461573748E-2</v>
      </c>
      <c r="BO6">
        <f t="shared" si="2"/>
        <v>3.1846992336325951E-2</v>
      </c>
      <c r="BP6">
        <f t="shared" ref="BP6:CU6" si="3">+BP3/BP4</f>
        <v>2.9814063422167931E-2</v>
      </c>
      <c r="BQ6">
        <f t="shared" si="3"/>
        <v>3.6546314486683974E-2</v>
      </c>
      <c r="BR6">
        <f t="shared" si="3"/>
        <v>2.9449694608439447E-2</v>
      </c>
      <c r="BS6">
        <f t="shared" si="3"/>
        <v>2.7845256651097446E-2</v>
      </c>
      <c r="BT6">
        <f t="shared" si="3"/>
        <v>2.5302742956096143E-2</v>
      </c>
      <c r="BU6">
        <f t="shared" si="3"/>
        <v>1.7632721699944464E-2</v>
      </c>
      <c r="BV6">
        <f t="shared" si="3"/>
        <v>1.2602850657051733E-2</v>
      </c>
      <c r="BW6">
        <f t="shared" si="3"/>
        <v>9.665027719837278E-3</v>
      </c>
      <c r="BX6">
        <f t="shared" si="3"/>
        <v>1.5752809585597431E-2</v>
      </c>
      <c r="BY6">
        <f t="shared" si="3"/>
        <v>3.9988257404534787E-2</v>
      </c>
      <c r="BZ6">
        <f t="shared" si="3"/>
        <v>3.8079204936626532E-2</v>
      </c>
      <c r="CA6">
        <f t="shared" si="3"/>
        <v>3.7927448573214201E-2</v>
      </c>
      <c r="CB6">
        <f t="shared" si="3"/>
        <v>3.9640283775417853E-2</v>
      </c>
      <c r="CC6">
        <f t="shared" si="3"/>
        <v>4.024580030325637E-2</v>
      </c>
      <c r="CD6">
        <f t="shared" si="3"/>
        <v>3.1473342107383631E-2</v>
      </c>
      <c r="CE6">
        <f t="shared" si="3"/>
        <v>3.6617526733142454E-2</v>
      </c>
      <c r="CF6">
        <f t="shared" si="3"/>
        <v>5.8774214645146781E-2</v>
      </c>
      <c r="CG6">
        <f t="shared" si="3"/>
        <v>5.5553662167356653E-2</v>
      </c>
      <c r="CH6">
        <f t="shared" si="3"/>
        <v>5.2169552781812248E-2</v>
      </c>
      <c r="CI6">
        <f t="shared" si="3"/>
        <v>5.0805329756299505E-2</v>
      </c>
      <c r="CJ6">
        <f t="shared" si="3"/>
        <v>3.8276363386743964E-2</v>
      </c>
      <c r="CK6">
        <f t="shared" si="3"/>
        <v>3.4167458718129519E-2</v>
      </c>
      <c r="CL6">
        <f t="shared" si="3"/>
        <v>3.581268539361214E-2</v>
      </c>
      <c r="CM6">
        <f t="shared" si="3"/>
        <v>3.2731052689991526E-2</v>
      </c>
      <c r="CN6">
        <f t="shared" si="3"/>
        <v>3.1815460522787928E-2</v>
      </c>
      <c r="CO6">
        <f t="shared" si="3"/>
        <v>3.4327323474535272E-2</v>
      </c>
      <c r="CP6">
        <f t="shared" si="3"/>
        <v>3.0374068178197686E-2</v>
      </c>
      <c r="CQ6">
        <f t="shared" si="3"/>
        <v>2.9688808622669524E-2</v>
      </c>
      <c r="CR6">
        <f t="shared" si="3"/>
        <v>3.0333662652931578E-2</v>
      </c>
      <c r="CS6">
        <f t="shared" si="3"/>
        <v>3.5128311888013318E-2</v>
      </c>
      <c r="CT6">
        <f t="shared" si="3"/>
        <v>2.9674535052862921E-2</v>
      </c>
      <c r="CU6">
        <f t="shared" si="3"/>
        <v>2.4983310726631829E-2</v>
      </c>
    </row>
    <row r="7" spans="2:105">
      <c r="C7" t="s">
        <v>1843</v>
      </c>
      <c r="D7" t="s">
        <v>1448</v>
      </c>
      <c r="E7" t="s">
        <v>1448</v>
      </c>
      <c r="F7" t="s">
        <v>1448</v>
      </c>
      <c r="G7" t="s">
        <v>1448</v>
      </c>
      <c r="H7" t="s">
        <v>1448</v>
      </c>
      <c r="I7" t="s">
        <v>1448</v>
      </c>
      <c r="J7" t="s">
        <v>1448</v>
      </c>
      <c r="K7" t="s">
        <v>1448</v>
      </c>
      <c r="L7" t="s">
        <v>1448</v>
      </c>
      <c r="M7" t="s">
        <v>1448</v>
      </c>
      <c r="N7" t="s">
        <v>1448</v>
      </c>
      <c r="O7" t="s">
        <v>1448</v>
      </c>
      <c r="P7" t="s">
        <v>1448</v>
      </c>
      <c r="Q7" t="s">
        <v>1448</v>
      </c>
      <c r="R7" t="s">
        <v>1448</v>
      </c>
      <c r="S7" t="s">
        <v>1448</v>
      </c>
      <c r="T7" t="s">
        <v>1448</v>
      </c>
      <c r="U7" t="s">
        <v>1448</v>
      </c>
      <c r="V7" t="s">
        <v>1448</v>
      </c>
      <c r="W7" t="s">
        <v>1448</v>
      </c>
      <c r="X7" t="s">
        <v>1448</v>
      </c>
      <c r="Y7" t="s">
        <v>1448</v>
      </c>
      <c r="Z7" t="s">
        <v>1448</v>
      </c>
      <c r="AA7" t="s">
        <v>1448</v>
      </c>
      <c r="AB7" t="s">
        <v>1448</v>
      </c>
      <c r="AC7" t="s">
        <v>1448</v>
      </c>
      <c r="AD7" t="s">
        <v>1448</v>
      </c>
      <c r="AE7" t="s">
        <v>1448</v>
      </c>
      <c r="AF7" t="s">
        <v>1448</v>
      </c>
      <c r="AG7" t="s">
        <v>1448</v>
      </c>
      <c r="AH7" t="s">
        <v>1448</v>
      </c>
      <c r="AI7" t="s">
        <v>1448</v>
      </c>
      <c r="AJ7" t="s">
        <v>1448</v>
      </c>
      <c r="AK7" t="s">
        <v>1448</v>
      </c>
      <c r="AL7" t="s">
        <v>1448</v>
      </c>
      <c r="AM7" t="s">
        <v>1448</v>
      </c>
      <c r="AN7" t="s">
        <v>1448</v>
      </c>
      <c r="AO7" t="s">
        <v>1448</v>
      </c>
      <c r="AP7" t="s">
        <v>1448</v>
      </c>
      <c r="AQ7" t="s">
        <v>1448</v>
      </c>
      <c r="AR7" t="s">
        <v>1448</v>
      </c>
      <c r="AS7">
        <v>3.1771598452820772E-2</v>
      </c>
      <c r="AT7">
        <v>4.4524057763707166E-2</v>
      </c>
      <c r="AU7">
        <v>3.6049285552876016E-2</v>
      </c>
      <c r="AV7">
        <v>3.5025162096418157E-2</v>
      </c>
      <c r="AW7">
        <v>4.0802323768749198E-2</v>
      </c>
      <c r="AX7">
        <v>4.2311361909704144E-2</v>
      </c>
      <c r="AY7">
        <v>4.9323281753389604E-2</v>
      </c>
      <c r="AZ7">
        <v>4.6924324405722334E-2</v>
      </c>
      <c r="BA7">
        <v>4.3724142150656925E-2</v>
      </c>
      <c r="BB7">
        <v>3.8433935306772152E-2</v>
      </c>
      <c r="BC7">
        <v>2.5966816082254169E-2</v>
      </c>
      <c r="BD7">
        <v>2.2311695406848579E-2</v>
      </c>
      <c r="BE7">
        <v>2.3886116789511351E-2</v>
      </c>
      <c r="BF7">
        <v>4.5192719568271318E-2</v>
      </c>
      <c r="BG7">
        <v>5.351041118197674E-2</v>
      </c>
      <c r="BH7">
        <v>3.7867263722840237E-2</v>
      </c>
      <c r="BI7">
        <v>4.5056122645648136E-2</v>
      </c>
      <c r="BJ7">
        <v>5.7353634665879109E-2</v>
      </c>
      <c r="BK7">
        <v>6.0580563147065225E-2</v>
      </c>
      <c r="BL7">
        <v>5.0415355843811238E-2</v>
      </c>
      <c r="BM7">
        <v>4.9426249788138484E-2</v>
      </c>
      <c r="BN7">
        <v>3.7783898388255258E-2</v>
      </c>
      <c r="BO7">
        <v>4.4177895196653286E-2</v>
      </c>
      <c r="BP7">
        <v>3.8828843543988946E-2</v>
      </c>
      <c r="BQ7">
        <v>5.2366423207972065E-2</v>
      </c>
      <c r="BR7">
        <v>4.5438101789969584E-2</v>
      </c>
      <c r="BS7">
        <v>3.9583003404019095E-2</v>
      </c>
      <c r="BT7">
        <v>3.0858692758436983E-2</v>
      </c>
      <c r="BU7">
        <v>2.377626328810134E-2</v>
      </c>
      <c r="BV7">
        <v>2.6471668858630198E-2</v>
      </c>
      <c r="BW7">
        <v>2.3822324074074076E-2</v>
      </c>
      <c r="BX7">
        <v>1.2732788430162881E-2</v>
      </c>
      <c r="BY7">
        <v>2.3785036371280245E-2</v>
      </c>
      <c r="BZ7">
        <v>4.1964659431338723E-2</v>
      </c>
      <c r="CA7">
        <v>4.1461490384615385E-2</v>
      </c>
      <c r="CB7">
        <v>4.4052084112149531E-2</v>
      </c>
      <c r="CC7">
        <v>4.284217094017094E-2</v>
      </c>
      <c r="CD7">
        <v>3.5631057971014492E-2</v>
      </c>
      <c r="CE7">
        <v>2.8878018691588785E-2</v>
      </c>
      <c r="CF7">
        <v>4.5800182608695651E-2</v>
      </c>
      <c r="CG7">
        <v>5.5220853846153842E-2</v>
      </c>
      <c r="CH7">
        <v>5.2412386861313866E-2</v>
      </c>
      <c r="CI7">
        <v>4.1327756578947369E-2</v>
      </c>
      <c r="CJ7">
        <v>4.0482646739130435E-2</v>
      </c>
      <c r="CK7">
        <v>3.4518229268292677E-2</v>
      </c>
      <c r="CL7">
        <v>2.9814139423076921E-2</v>
      </c>
      <c r="CM7">
        <v>3.6872741071428572E-2</v>
      </c>
      <c r="CN7">
        <v>4.0024839999999999E-2</v>
      </c>
      <c r="CO7">
        <v>4.1718464566929132E-2</v>
      </c>
      <c r="CP7">
        <v>3.7262390572390572E-2</v>
      </c>
      <c r="CQ7">
        <v>2.6275008474576273E-2</v>
      </c>
      <c r="CR7">
        <v>3.5117126168224301E-2</v>
      </c>
      <c r="CS7">
        <v>3.9844543010752687E-2</v>
      </c>
      <c r="CT7">
        <v>3.3113634204275537E-2</v>
      </c>
      <c r="CU7">
        <v>2.8594870689655171E-2</v>
      </c>
    </row>
    <row r="8" spans="2:105">
      <c r="C8" t="s">
        <v>1844</v>
      </c>
      <c r="D8" t="s">
        <v>1448</v>
      </c>
      <c r="E8" t="s">
        <v>1448</v>
      </c>
      <c r="F8" t="s">
        <v>1448</v>
      </c>
      <c r="G8" t="s">
        <v>1448</v>
      </c>
      <c r="H8" t="s">
        <v>1448</v>
      </c>
      <c r="I8" t="s">
        <v>1448</v>
      </c>
      <c r="J8" t="s">
        <v>1448</v>
      </c>
      <c r="K8" t="s">
        <v>1448</v>
      </c>
      <c r="L8" t="s">
        <v>1448</v>
      </c>
      <c r="M8" t="s">
        <v>1448</v>
      </c>
      <c r="N8" t="s">
        <v>1448</v>
      </c>
      <c r="O8" t="s">
        <v>1448</v>
      </c>
      <c r="P8" t="s">
        <v>1448</v>
      </c>
      <c r="Q8" t="s">
        <v>1448</v>
      </c>
      <c r="R8" t="s">
        <v>1448</v>
      </c>
      <c r="S8" t="s">
        <v>1448</v>
      </c>
      <c r="T8" t="s">
        <v>1448</v>
      </c>
      <c r="U8" t="s">
        <v>1448</v>
      </c>
      <c r="V8" t="s">
        <v>1448</v>
      </c>
      <c r="W8" t="s">
        <v>1448</v>
      </c>
      <c r="X8" t="s">
        <v>1448</v>
      </c>
      <c r="Y8" t="s">
        <v>1448</v>
      </c>
      <c r="Z8" t="s">
        <v>1448</v>
      </c>
      <c r="AA8" t="s">
        <v>1448</v>
      </c>
      <c r="AB8" t="s">
        <v>1448</v>
      </c>
      <c r="AC8" t="s">
        <v>1448</v>
      </c>
      <c r="AD8" t="s">
        <v>1448</v>
      </c>
      <c r="AE8" t="s">
        <v>1448</v>
      </c>
      <c r="AF8" t="s">
        <v>1448</v>
      </c>
      <c r="AG8" t="s">
        <v>1448</v>
      </c>
      <c r="AH8" t="s">
        <v>1448</v>
      </c>
      <c r="AI8" t="s">
        <v>1448</v>
      </c>
      <c r="AJ8" t="s">
        <v>1448</v>
      </c>
      <c r="AK8" t="s">
        <v>1448</v>
      </c>
      <c r="AL8" t="s">
        <v>1448</v>
      </c>
      <c r="AM8" t="s">
        <v>1448</v>
      </c>
      <c r="AN8" t="s">
        <v>1448</v>
      </c>
      <c r="AO8" t="s">
        <v>1448</v>
      </c>
      <c r="AP8" t="s">
        <v>1448</v>
      </c>
      <c r="AQ8" t="s">
        <v>1448</v>
      </c>
      <c r="AR8" t="s">
        <v>1448</v>
      </c>
      <c r="AS8" t="s">
        <v>1448</v>
      </c>
      <c r="AT8" t="s">
        <v>1448</v>
      </c>
      <c r="AU8" t="s">
        <v>1448</v>
      </c>
      <c r="AV8" t="s">
        <v>1448</v>
      </c>
      <c r="AW8" t="s">
        <v>1448</v>
      </c>
      <c r="AX8" t="s">
        <v>1448</v>
      </c>
      <c r="AY8" t="s">
        <v>1448</v>
      </c>
      <c r="AZ8" t="s">
        <v>1448</v>
      </c>
      <c r="BA8" t="s">
        <v>1448</v>
      </c>
      <c r="BB8" t="s">
        <v>1448</v>
      </c>
      <c r="BC8" t="s">
        <v>1448</v>
      </c>
      <c r="BD8" t="s">
        <v>1448</v>
      </c>
      <c r="BE8" t="s">
        <v>1448</v>
      </c>
      <c r="BF8" t="s">
        <v>1448</v>
      </c>
      <c r="BG8" t="s">
        <v>1448</v>
      </c>
      <c r="BH8" t="s">
        <v>1448</v>
      </c>
      <c r="BI8" t="s">
        <v>1448</v>
      </c>
      <c r="BJ8" t="s">
        <v>1448</v>
      </c>
      <c r="BK8" t="s">
        <v>1448</v>
      </c>
      <c r="BL8" t="s">
        <v>1448</v>
      </c>
      <c r="BM8" t="s">
        <v>1448</v>
      </c>
      <c r="BN8" t="s">
        <v>1448</v>
      </c>
      <c r="BO8" t="s">
        <v>1448</v>
      </c>
      <c r="BP8" t="s">
        <v>1448</v>
      </c>
      <c r="BQ8" t="s">
        <v>1448</v>
      </c>
      <c r="BR8" t="s">
        <v>1448</v>
      </c>
      <c r="BS8" t="s">
        <v>1448</v>
      </c>
      <c r="BT8" t="s">
        <v>1448</v>
      </c>
      <c r="BU8">
        <v>9.9929909090909104E-3</v>
      </c>
      <c r="BV8">
        <v>9.8028380281690169E-3</v>
      </c>
      <c r="BW8">
        <v>6.7395652173912997E-3</v>
      </c>
      <c r="BX8">
        <v>1.3821724999999997E-2</v>
      </c>
      <c r="BY8">
        <v>2.8063441176470586E-2</v>
      </c>
      <c r="BZ8">
        <v>3.315200819672131E-2</v>
      </c>
      <c r="CA8">
        <v>3.4074689393939393E-2</v>
      </c>
      <c r="CB8">
        <v>3.433668115942029E-2</v>
      </c>
      <c r="CC8">
        <v>3.0954078947368423E-2</v>
      </c>
      <c r="CD8">
        <v>2.9476036809815951E-2</v>
      </c>
      <c r="CE8">
        <v>3.7119073770491798E-2</v>
      </c>
      <c r="CF8">
        <v>4.4703897810218982E-2</v>
      </c>
      <c r="CG8">
        <v>4.3038789473684211E-2</v>
      </c>
      <c r="CH8">
        <v>4.2452310126582279E-2</v>
      </c>
      <c r="CI8">
        <v>3.5883090395480224E-2</v>
      </c>
      <c r="CJ8">
        <v>3.1826962616822427E-2</v>
      </c>
      <c r="CK8">
        <v>2.728216806722689E-2</v>
      </c>
      <c r="CL8">
        <v>2.9586753138075315E-2</v>
      </c>
      <c r="CM8">
        <v>3.0942579766536967E-2</v>
      </c>
      <c r="CN8">
        <v>2.8384411564625848E-2</v>
      </c>
      <c r="CO8">
        <v>3.3440672297297296E-2</v>
      </c>
      <c r="CP8">
        <v>2.8777246334310849E-2</v>
      </c>
      <c r="CQ8">
        <v>2.6433700956937797E-2</v>
      </c>
      <c r="CR8">
        <v>2.742685657370518E-2</v>
      </c>
      <c r="CS8">
        <v>2.9873927710843372E-2</v>
      </c>
      <c r="CT8">
        <v>2.8061612244897959E-2</v>
      </c>
      <c r="CU8">
        <v>2.4940436974789915E-2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Summary All Corps</vt:lpstr>
      <vt:lpstr>B1</vt:lpstr>
      <vt:lpstr>L4</vt:lpstr>
      <vt:lpstr>CapitalDataL4+</vt:lpstr>
      <vt:lpstr>L224</vt:lpstr>
      <vt:lpstr>S5</vt:lpstr>
      <vt:lpstr>S6</vt:lpstr>
      <vt:lpstr>NIPA 1.14</vt:lpstr>
      <vt:lpstr>FA 6.1</vt:lpstr>
      <vt:lpstr>FA 6.4</vt:lpstr>
      <vt:lpstr>FA 6.7</vt:lpstr>
      <vt:lpstr>SOI 1945</vt:lpstr>
      <vt:lpstr>Inflation Forecasts</vt:lpstr>
      <vt:lpstr>Interest Rates</vt:lpstr>
      <vt:lpstr>PCE Deflator</vt:lpstr>
      <vt:lpstr>Top Corporate Tax Rate</vt:lpstr>
      <vt:lpstr>Gravelle Rates</vt:lpstr>
      <vt:lpstr>CRSP Data</vt:lpstr>
      <vt:lpstr>rstar estimates</vt:lpstr>
      <vt:lpstr>estimating expected growth</vt:lpstr>
      <vt:lpstr>CRSP-EV</vt:lpstr>
      <vt:lpstr>compustat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Atkeson</dc:creator>
  <cp:lastModifiedBy>Alejandro Gabriel Munoz</cp:lastModifiedBy>
  <dcterms:created xsi:type="dcterms:W3CDTF">2026-03-10T17:34:45Z</dcterms:created>
  <dcterms:modified xsi:type="dcterms:W3CDTF">2026-06-29T01:59:26Z</dcterms:modified>
</cp:coreProperties>
</file>